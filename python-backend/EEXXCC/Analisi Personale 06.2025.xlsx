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quidonlus.sharepoint.com/sites/ControllodiGestione/Documenti condivisi/Report mensile/02.REPORT MENSILE/2025/06.2025/"/>
    </mc:Choice>
  </mc:AlternateContent>
  <xr:revisionPtr revIDLastSave="321" documentId="13_ncr:20001_{B992F114-F074-45C1-94FC-B1024009E518}" xr6:coauthVersionLast="47" xr6:coauthVersionMax="47" xr10:uidLastSave="{0D268F43-2D32-4924-99BA-82F45C1C2F28}"/>
  <bookViews>
    <workbookView xWindow="-108" yWindow="-108" windowWidth="23256" windowHeight="12456" firstSheet="1" activeTab="1" xr2:uid="{00000000-000D-0000-FFFF-FFFF00000000}"/>
  </bookViews>
  <sheets>
    <sheet name="LuT_CdC" sheetId="5" state="hidden" r:id="rId1"/>
    <sheet name="Pivot_MoM" sheetId="10" r:id="rId2"/>
    <sheet name="Pivot_Scostamento" sheetId="9" r:id="rId3"/>
    <sheet name="DB_Varianza BdgAct" sheetId="8" r:id="rId4"/>
    <sheet name="DB Costi-Ore YtD" sheetId="3" r:id="rId5"/>
    <sheet name="DB Costo Mese" sheetId="2" r:id="rId6"/>
    <sheet name="DB Ore Mese" sheetId="4" r:id="rId7"/>
  </sheets>
  <definedNames>
    <definedName name="ExternalData_1" localSheetId="5" hidden="1">'DB Costo Mese'!$A$1:$C$214</definedName>
    <definedName name="ExternalData_1" localSheetId="6" hidden="1">'DB Ore Mese'!$A$1:$C$214</definedName>
    <definedName name="ExternalData_2" localSheetId="4" hidden="1">'DB Costi-Ore YtD'!$A$1:$G$1148</definedName>
    <definedName name="ExternalData_2" localSheetId="3" hidden="1">'DB_Varianza BdgAct'!$A$1:$G$2381</definedName>
    <definedName name="NativeTimeline_Mese">#N/A</definedName>
  </definedNames>
  <calcPr calcId="191028"/>
  <pivotCaches>
    <pivotCache cacheId="1" r:id="rId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E6" i="4" s="1"/>
  <c r="F6" i="4" s="1"/>
  <c r="G6" i="4" s="1"/>
  <c r="D7" i="4"/>
  <c r="E7" i="4" s="1"/>
  <c r="F7" i="4" s="1"/>
  <c r="D8" i="4"/>
  <c r="E8" i="4" s="1"/>
  <c r="F8" i="4" s="1"/>
  <c r="G8" i="4" s="1"/>
  <c r="D9" i="4"/>
  <c r="D10" i="4"/>
  <c r="D11" i="4"/>
  <c r="D12" i="4"/>
  <c r="E12" i="4" s="1"/>
  <c r="F12" i="4" s="1"/>
  <c r="G12" i="4" s="1"/>
  <c r="D13" i="4"/>
  <c r="D14" i="4"/>
  <c r="D15" i="4"/>
  <c r="E15" i="4" s="1"/>
  <c r="F15" i="4" s="1"/>
  <c r="G15" i="4" s="1"/>
  <c r="D16" i="4"/>
  <c r="E16" i="4" s="1"/>
  <c r="F16" i="4" s="1"/>
  <c r="G16" i="4" s="1"/>
  <c r="D17" i="4"/>
  <c r="D18" i="4"/>
  <c r="D19" i="4"/>
  <c r="D20" i="4"/>
  <c r="E20" i="4" s="1"/>
  <c r="F20" i="4" s="1"/>
  <c r="G20" i="4" s="1"/>
  <c r="D21" i="4"/>
  <c r="D22" i="4"/>
  <c r="E22" i="4" s="1"/>
  <c r="F22" i="4" s="1"/>
  <c r="G22" i="4" s="1"/>
  <c r="D23" i="4"/>
  <c r="E23" i="4" s="1"/>
  <c r="F23" i="4" s="1"/>
  <c r="G23" i="4" s="1"/>
  <c r="D24" i="4"/>
  <c r="E24" i="4" s="1"/>
  <c r="F24" i="4" s="1"/>
  <c r="G24" i="4" s="1"/>
  <c r="D25" i="4"/>
  <c r="E25" i="4" s="1"/>
  <c r="F25" i="4" s="1"/>
  <c r="G25" i="4" s="1"/>
  <c r="D26" i="4"/>
  <c r="D27" i="4"/>
  <c r="D28" i="4"/>
  <c r="E28" i="4" s="1"/>
  <c r="F28" i="4" s="1"/>
  <c r="G28" i="4" s="1"/>
  <c r="D29" i="4"/>
  <c r="D30" i="4"/>
  <c r="E30" i="4" s="1"/>
  <c r="F30" i="4" s="1"/>
  <c r="G30" i="4" s="1"/>
  <c r="D31" i="4"/>
  <c r="E31" i="4" s="1"/>
  <c r="F31" i="4" s="1"/>
  <c r="G31" i="4" s="1"/>
  <c r="D32" i="4"/>
  <c r="E32" i="4" s="1"/>
  <c r="F32" i="4" s="1"/>
  <c r="G32" i="4" s="1"/>
  <c r="D33" i="4"/>
  <c r="E33" i="4" s="1"/>
  <c r="F33" i="4" s="1"/>
  <c r="G33" i="4" s="1"/>
  <c r="D34" i="4"/>
  <c r="D35" i="4"/>
  <c r="D36" i="4"/>
  <c r="E36" i="4" s="1"/>
  <c r="F36" i="4" s="1"/>
  <c r="G36" i="4" s="1"/>
  <c r="D37" i="4"/>
  <c r="D38" i="4"/>
  <c r="E38" i="4" s="1"/>
  <c r="F38" i="4" s="1"/>
  <c r="G38" i="4" s="1"/>
  <c r="D39" i="4"/>
  <c r="E39" i="4" s="1"/>
  <c r="F39" i="4" s="1"/>
  <c r="G39" i="4" s="1"/>
  <c r="D40" i="4"/>
  <c r="E40" i="4" s="1"/>
  <c r="F40" i="4" s="1"/>
  <c r="G40" i="4" s="1"/>
  <c r="D41" i="4"/>
  <c r="E41" i="4" s="1"/>
  <c r="F41" i="4" s="1"/>
  <c r="G41" i="4" s="1"/>
  <c r="D42" i="4"/>
  <c r="D43" i="4"/>
  <c r="D44" i="4"/>
  <c r="E44" i="4" s="1"/>
  <c r="F44" i="4" s="1"/>
  <c r="G44" i="4" s="1"/>
  <c r="D45" i="4"/>
  <c r="D46" i="4"/>
  <c r="E46" i="4" s="1"/>
  <c r="F46" i="4" s="1"/>
  <c r="G46" i="4" s="1"/>
  <c r="D47" i="4"/>
  <c r="E47" i="4" s="1"/>
  <c r="F47" i="4" s="1"/>
  <c r="G47" i="4" s="1"/>
  <c r="D48" i="4"/>
  <c r="E48" i="4" s="1"/>
  <c r="F48" i="4" s="1"/>
  <c r="G48" i="4" s="1"/>
  <c r="D49" i="4"/>
  <c r="E49" i="4" s="1"/>
  <c r="F49" i="4" s="1"/>
  <c r="G49" i="4" s="1"/>
  <c r="D50" i="4"/>
  <c r="D51" i="4"/>
  <c r="D52" i="4"/>
  <c r="E52" i="4" s="1"/>
  <c r="F52" i="4" s="1"/>
  <c r="G52" i="4" s="1"/>
  <c r="D53" i="4"/>
  <c r="D54" i="4"/>
  <c r="E54" i="4" s="1"/>
  <c r="F54" i="4" s="1"/>
  <c r="G54" i="4" s="1"/>
  <c r="D55" i="4"/>
  <c r="E55" i="4" s="1"/>
  <c r="F55" i="4" s="1"/>
  <c r="G55" i="4" s="1"/>
  <c r="D56" i="4"/>
  <c r="E56" i="4" s="1"/>
  <c r="F56" i="4" s="1"/>
  <c r="G56" i="4" s="1"/>
  <c r="D57" i="4"/>
  <c r="E57" i="4" s="1"/>
  <c r="F57" i="4" s="1"/>
  <c r="G57" i="4" s="1"/>
  <c r="D58" i="4"/>
  <c r="D59" i="4"/>
  <c r="D60" i="4"/>
  <c r="E60" i="4" s="1"/>
  <c r="F60" i="4" s="1"/>
  <c r="G60" i="4" s="1"/>
  <c r="D61" i="4"/>
  <c r="D62" i="4"/>
  <c r="E62" i="4" s="1"/>
  <c r="F62" i="4" s="1"/>
  <c r="G62" i="4" s="1"/>
  <c r="D63" i="4"/>
  <c r="E63" i="4" s="1"/>
  <c r="F63" i="4" s="1"/>
  <c r="G63" i="4" s="1"/>
  <c r="D64" i="4"/>
  <c r="E64" i="4" s="1"/>
  <c r="F64" i="4" s="1"/>
  <c r="G64" i="4" s="1"/>
  <c r="D65" i="4"/>
  <c r="E65" i="4" s="1"/>
  <c r="F65" i="4" s="1"/>
  <c r="G65" i="4" s="1"/>
  <c r="D66" i="4"/>
  <c r="D67" i="4"/>
  <c r="D68" i="4"/>
  <c r="E68" i="4" s="1"/>
  <c r="F68" i="4" s="1"/>
  <c r="G68" i="4" s="1"/>
  <c r="D69" i="4"/>
  <c r="D70" i="4"/>
  <c r="E70" i="4" s="1"/>
  <c r="F70" i="4" s="1"/>
  <c r="G70" i="4" s="1"/>
  <c r="D71" i="4"/>
  <c r="E71" i="4" s="1"/>
  <c r="F71" i="4" s="1"/>
  <c r="G71" i="4" s="1"/>
  <c r="D72" i="4"/>
  <c r="E72" i="4" s="1"/>
  <c r="F72" i="4" s="1"/>
  <c r="G72" i="4" s="1"/>
  <c r="D73" i="4"/>
  <c r="E73" i="4" s="1"/>
  <c r="F73" i="4" s="1"/>
  <c r="G73" i="4" s="1"/>
  <c r="D74" i="4"/>
  <c r="D75" i="4"/>
  <c r="D76" i="4"/>
  <c r="E76" i="4" s="1"/>
  <c r="F76" i="4" s="1"/>
  <c r="G76" i="4" s="1"/>
  <c r="D77" i="4"/>
  <c r="D78" i="4"/>
  <c r="E78" i="4" s="1"/>
  <c r="F78" i="4" s="1"/>
  <c r="G78" i="4" s="1"/>
  <c r="D79" i="4"/>
  <c r="E79" i="4" s="1"/>
  <c r="F79" i="4" s="1"/>
  <c r="G79" i="4" s="1"/>
  <c r="D80" i="4"/>
  <c r="E80" i="4" s="1"/>
  <c r="F80" i="4" s="1"/>
  <c r="G80" i="4" s="1"/>
  <c r="D81" i="4"/>
  <c r="E81" i="4" s="1"/>
  <c r="F81" i="4" s="1"/>
  <c r="G81" i="4" s="1"/>
  <c r="D82" i="4"/>
  <c r="D83" i="4"/>
  <c r="D84" i="4"/>
  <c r="E84" i="4" s="1"/>
  <c r="F84" i="4" s="1"/>
  <c r="D85" i="4"/>
  <c r="D86" i="4"/>
  <c r="E86" i="4" s="1"/>
  <c r="F86" i="4" s="1"/>
  <c r="D87" i="4"/>
  <c r="D88" i="4"/>
  <c r="D89" i="4"/>
  <c r="D90" i="4"/>
  <c r="D91" i="4"/>
  <c r="D92" i="4"/>
  <c r="D93" i="4"/>
  <c r="D94" i="4"/>
  <c r="E94" i="4" s="1"/>
  <c r="D95" i="4"/>
  <c r="E95" i="4" s="1"/>
  <c r="F95" i="4" s="1"/>
  <c r="D96" i="4"/>
  <c r="E96" i="4" s="1"/>
  <c r="F96" i="4" s="1"/>
  <c r="G96" i="4" s="1"/>
  <c r="D97" i="4"/>
  <c r="D98" i="4"/>
  <c r="D99" i="4"/>
  <c r="D100" i="4"/>
  <c r="D101" i="4"/>
  <c r="D102" i="4"/>
  <c r="E102" i="4" s="1"/>
  <c r="D103" i="4"/>
  <c r="E103" i="4" s="1"/>
  <c r="F103" i="4" s="1"/>
  <c r="D104" i="4"/>
  <c r="E104" i="4" s="1"/>
  <c r="D105" i="4"/>
  <c r="D106" i="4"/>
  <c r="D107" i="4"/>
  <c r="D108" i="4"/>
  <c r="D109" i="4"/>
  <c r="D110" i="4"/>
  <c r="E110" i="4" s="1"/>
  <c r="D111" i="4"/>
  <c r="E111" i="4" s="1"/>
  <c r="D112" i="4"/>
  <c r="D113" i="4"/>
  <c r="D114" i="4"/>
  <c r="D115" i="4"/>
  <c r="D116" i="4"/>
  <c r="D117" i="4"/>
  <c r="D118" i="4"/>
  <c r="E118" i="4" s="1"/>
  <c r="D119" i="4"/>
  <c r="E119" i="4" s="1"/>
  <c r="F119" i="4" s="1"/>
  <c r="G119" i="4" s="1"/>
  <c r="D120" i="4"/>
  <c r="D121" i="4"/>
  <c r="D122" i="4"/>
  <c r="D123" i="4"/>
  <c r="D124" i="4"/>
  <c r="D125" i="4"/>
  <c r="D126" i="4"/>
  <c r="E126" i="4" s="1"/>
  <c r="D127" i="4"/>
  <c r="E127" i="4" s="1"/>
  <c r="F127" i="4" s="1"/>
  <c r="D128" i="4"/>
  <c r="D129" i="4"/>
  <c r="D130" i="4"/>
  <c r="D131" i="4"/>
  <c r="D132" i="4"/>
  <c r="D133" i="4"/>
  <c r="D134" i="4"/>
  <c r="E134" i="4" s="1"/>
  <c r="D135" i="4"/>
  <c r="E135" i="4" s="1"/>
  <c r="D136" i="4"/>
  <c r="E136" i="4" s="1"/>
  <c r="D137" i="4"/>
  <c r="D138" i="4"/>
  <c r="D139" i="4"/>
  <c r="D140" i="4"/>
  <c r="D141" i="4"/>
  <c r="D142" i="4"/>
  <c r="E142" i="4" s="1"/>
  <c r="D143" i="4"/>
  <c r="E143" i="4" s="1"/>
  <c r="F143" i="4" s="1"/>
  <c r="D144" i="4"/>
  <c r="E144" i="4" s="1"/>
  <c r="F144" i="4" s="1"/>
  <c r="G144" i="4" s="1"/>
  <c r="D145" i="4"/>
  <c r="D146" i="4"/>
  <c r="D147" i="4"/>
  <c r="D148" i="4"/>
  <c r="E148" i="4" s="1"/>
  <c r="D149" i="4"/>
  <c r="D150" i="4"/>
  <c r="E150" i="4" s="1"/>
  <c r="D151" i="4"/>
  <c r="E151" i="4" s="1"/>
  <c r="F151" i="4" s="1"/>
  <c r="D152" i="4"/>
  <c r="D153" i="4"/>
  <c r="D154" i="4"/>
  <c r="D155" i="4"/>
  <c r="D156" i="4"/>
  <c r="E156" i="4" s="1"/>
  <c r="D157" i="4"/>
  <c r="D158" i="4"/>
  <c r="E158" i="4" s="1"/>
  <c r="D159" i="4"/>
  <c r="E159" i="4" s="1"/>
  <c r="D160" i="4"/>
  <c r="E160" i="4" s="1"/>
  <c r="D161" i="4"/>
  <c r="E161" i="4" s="1"/>
  <c r="D162" i="4"/>
  <c r="D163" i="4"/>
  <c r="D164" i="4"/>
  <c r="E164" i="4" s="1"/>
  <c r="D165" i="4"/>
  <c r="D166" i="4"/>
  <c r="E166" i="4" s="1"/>
  <c r="D167" i="4"/>
  <c r="E167" i="4" s="1"/>
  <c r="D168" i="4"/>
  <c r="E168" i="4" s="1"/>
  <c r="D169" i="4"/>
  <c r="E169" i="4" s="1"/>
  <c r="D170" i="4"/>
  <c r="D171" i="4"/>
  <c r="D172" i="4"/>
  <c r="E172" i="4" s="1"/>
  <c r="D173" i="4"/>
  <c r="D174" i="4"/>
  <c r="E174" i="4" s="1"/>
  <c r="D175" i="4"/>
  <c r="E175" i="4" s="1"/>
  <c r="D176" i="4"/>
  <c r="E176" i="4" s="1"/>
  <c r="D177" i="4"/>
  <c r="E177" i="4" s="1"/>
  <c r="D178" i="4"/>
  <c r="D179" i="4"/>
  <c r="D180" i="4"/>
  <c r="E180" i="4" s="1"/>
  <c r="D181" i="4"/>
  <c r="D182" i="4"/>
  <c r="E182" i="4" s="1"/>
  <c r="D183" i="4"/>
  <c r="E183" i="4" s="1"/>
  <c r="D184" i="4"/>
  <c r="E184" i="4" s="1"/>
  <c r="D185" i="4"/>
  <c r="E185" i="4" s="1"/>
  <c r="D186" i="4"/>
  <c r="D187" i="4"/>
  <c r="D188" i="4"/>
  <c r="E188" i="4" s="1"/>
  <c r="D189" i="4"/>
  <c r="E189" i="4" s="1"/>
  <c r="D190" i="4"/>
  <c r="E190" i="4" s="1"/>
  <c r="D191" i="4"/>
  <c r="E191" i="4" s="1"/>
  <c r="D192" i="4"/>
  <c r="E192" i="4" s="1"/>
  <c r="D193" i="4"/>
  <c r="E193" i="4" s="1"/>
  <c r="D194" i="4"/>
  <c r="D195" i="4"/>
  <c r="D196" i="4"/>
  <c r="E196" i="4" s="1"/>
  <c r="D197" i="4"/>
  <c r="D198" i="4"/>
  <c r="E198" i="4" s="1"/>
  <c r="F198" i="4" s="1"/>
  <c r="D199" i="4"/>
  <c r="E199" i="4" s="1"/>
  <c r="D200" i="4"/>
  <c r="E200" i="4" s="1"/>
  <c r="F200" i="4" s="1"/>
  <c r="D201" i="4"/>
  <c r="E201" i="4" s="1"/>
  <c r="F201" i="4" s="1"/>
  <c r="D202" i="4"/>
  <c r="E202" i="4" s="1"/>
  <c r="F202" i="4" s="1"/>
  <c r="D203" i="4"/>
  <c r="E203" i="4" s="1"/>
  <c r="D204" i="4"/>
  <c r="E204" i="4" s="1"/>
  <c r="F204" i="4" s="1"/>
  <c r="D205" i="4"/>
  <c r="E205" i="4" s="1"/>
  <c r="F205" i="4" s="1"/>
  <c r="D206" i="4"/>
  <c r="E206" i="4" s="1"/>
  <c r="F206" i="4" s="1"/>
  <c r="D207" i="4"/>
  <c r="E207" i="4" s="1"/>
  <c r="D208" i="4"/>
  <c r="E208" i="4" s="1"/>
  <c r="F208" i="4" s="1"/>
  <c r="D209" i="4"/>
  <c r="E209" i="4" s="1"/>
  <c r="D210" i="4"/>
  <c r="E210" i="4" s="1"/>
  <c r="F210" i="4" s="1"/>
  <c r="D211" i="4"/>
  <c r="E211" i="4" s="1"/>
  <c r="F211" i="4" s="1"/>
  <c r="D212" i="4"/>
  <c r="E212" i="4" s="1"/>
  <c r="D213" i="4"/>
  <c r="E213" i="4" s="1"/>
  <c r="F213" i="4" s="1"/>
  <c r="D214" i="4"/>
  <c r="E214" i="4" s="1"/>
  <c r="F214" i="4" s="1"/>
  <c r="E2" i="4"/>
  <c r="F2" i="4" s="1"/>
  <c r="G2" i="4" s="1"/>
  <c r="E3" i="4"/>
  <c r="F3" i="4" s="1"/>
  <c r="E4" i="4"/>
  <c r="F4" i="4" s="1"/>
  <c r="G4" i="4" s="1"/>
  <c r="E5" i="4"/>
  <c r="F5" i="4" s="1"/>
  <c r="G5" i="4" s="1"/>
  <c r="E9" i="4"/>
  <c r="F9" i="4" s="1"/>
  <c r="G9" i="4" s="1"/>
  <c r="E11" i="4"/>
  <c r="F11" i="4" s="1"/>
  <c r="G11" i="4" s="1"/>
  <c r="E13" i="4"/>
  <c r="F13" i="4" s="1"/>
  <c r="G13" i="4" s="1"/>
  <c r="E17" i="4"/>
  <c r="F17" i="4" s="1"/>
  <c r="G17" i="4" s="1"/>
  <c r="E18" i="4"/>
  <c r="F18" i="4" s="1"/>
  <c r="G18" i="4" s="1"/>
  <c r="E19" i="4"/>
  <c r="F19" i="4" s="1"/>
  <c r="G19" i="4" s="1"/>
  <c r="E21" i="4"/>
  <c r="F21" i="4" s="1"/>
  <c r="G21" i="4" s="1"/>
  <c r="E26" i="4"/>
  <c r="F26" i="4" s="1"/>
  <c r="G26" i="4" s="1"/>
  <c r="E27" i="4"/>
  <c r="F27" i="4" s="1"/>
  <c r="G27" i="4" s="1"/>
  <c r="E29" i="4"/>
  <c r="F29" i="4" s="1"/>
  <c r="G29" i="4" s="1"/>
  <c r="E34" i="4"/>
  <c r="F34" i="4" s="1"/>
  <c r="G34" i="4" s="1"/>
  <c r="E35" i="4"/>
  <c r="F35" i="4" s="1"/>
  <c r="G35" i="4" s="1"/>
  <c r="E37" i="4"/>
  <c r="F37" i="4" s="1"/>
  <c r="G37" i="4" s="1"/>
  <c r="E42" i="4"/>
  <c r="F42" i="4" s="1"/>
  <c r="G42" i="4" s="1"/>
  <c r="E43" i="4"/>
  <c r="F43" i="4" s="1"/>
  <c r="G43" i="4" s="1"/>
  <c r="E45" i="4"/>
  <c r="F45" i="4" s="1"/>
  <c r="G45" i="4" s="1"/>
  <c r="E50" i="4"/>
  <c r="F50" i="4" s="1"/>
  <c r="G50" i="4" s="1"/>
  <c r="E51" i="4"/>
  <c r="F51" i="4" s="1"/>
  <c r="G51" i="4" s="1"/>
  <c r="E53" i="4"/>
  <c r="F53" i="4" s="1"/>
  <c r="G53" i="4" s="1"/>
  <c r="E58" i="4"/>
  <c r="F58" i="4" s="1"/>
  <c r="G58" i="4" s="1"/>
  <c r="E59" i="4"/>
  <c r="F59" i="4" s="1"/>
  <c r="G59" i="4" s="1"/>
  <c r="E61" i="4"/>
  <c r="F61" i="4" s="1"/>
  <c r="G61" i="4" s="1"/>
  <c r="E66" i="4"/>
  <c r="F66" i="4" s="1"/>
  <c r="G66" i="4" s="1"/>
  <c r="E67" i="4"/>
  <c r="F67" i="4" s="1"/>
  <c r="G67" i="4" s="1"/>
  <c r="E69" i="4"/>
  <c r="F69" i="4" s="1"/>
  <c r="G69" i="4" s="1"/>
  <c r="E74" i="4"/>
  <c r="F74" i="4" s="1"/>
  <c r="G74" i="4" s="1"/>
  <c r="E75" i="4"/>
  <c r="F75" i="4" s="1"/>
  <c r="G75" i="4" s="1"/>
  <c r="E77" i="4"/>
  <c r="F77" i="4" s="1"/>
  <c r="G77" i="4" s="1"/>
  <c r="E82" i="4"/>
  <c r="F82" i="4" s="1"/>
  <c r="G82" i="4" s="1"/>
  <c r="E83" i="4"/>
  <c r="F83" i="4" s="1"/>
  <c r="E85" i="4"/>
  <c r="F85" i="4" s="1"/>
  <c r="E87" i="4"/>
  <c r="F87" i="4" s="1"/>
  <c r="E90" i="4"/>
  <c r="E91" i="4"/>
  <c r="F91" i="4" s="1"/>
  <c r="E93" i="4"/>
  <c r="F93" i="4" s="1"/>
  <c r="G93" i="4" s="1"/>
  <c r="H93" i="4" s="1"/>
  <c r="E98" i="4"/>
  <c r="F98" i="4" s="1"/>
  <c r="E99" i="4"/>
  <c r="F99" i="4" s="1"/>
  <c r="E101" i="4"/>
  <c r="F101" i="4" s="1"/>
  <c r="G101" i="4" s="1"/>
  <c r="H101" i="4" s="1"/>
  <c r="E106" i="4"/>
  <c r="F106" i="4" s="1"/>
  <c r="E107" i="4"/>
  <c r="F107" i="4" s="1"/>
  <c r="E109" i="4"/>
  <c r="E114" i="4"/>
  <c r="F114" i="4" s="1"/>
  <c r="E115" i="4"/>
  <c r="F115" i="4" s="1"/>
  <c r="E117" i="4"/>
  <c r="F117" i="4" s="1"/>
  <c r="E122" i="4"/>
  <c r="F122" i="4" s="1"/>
  <c r="E123" i="4"/>
  <c r="F123" i="4" s="1"/>
  <c r="E125" i="4"/>
  <c r="F125" i="4" s="1"/>
  <c r="E130" i="4"/>
  <c r="E131" i="4"/>
  <c r="F131" i="4" s="1"/>
  <c r="E133" i="4"/>
  <c r="F133" i="4" s="1"/>
  <c r="G133" i="4" s="1"/>
  <c r="H133" i="4" s="1"/>
  <c r="E138" i="4"/>
  <c r="F138" i="4" s="1"/>
  <c r="E139" i="4"/>
  <c r="F139" i="4" s="1"/>
  <c r="E141" i="4"/>
  <c r="F141" i="4" s="1"/>
  <c r="G141" i="4" s="1"/>
  <c r="H141" i="4" s="1"/>
  <c r="E146" i="4"/>
  <c r="E147" i="4"/>
  <c r="F147" i="4" s="1"/>
  <c r="E149" i="4"/>
  <c r="E154" i="4"/>
  <c r="F154" i="4" s="1"/>
  <c r="E155" i="4"/>
  <c r="E157" i="4"/>
  <c r="E162" i="4"/>
  <c r="E163" i="4"/>
  <c r="E165" i="4"/>
  <c r="E170" i="4"/>
  <c r="E171" i="4"/>
  <c r="E173" i="4"/>
  <c r="E178" i="4"/>
  <c r="E179" i="4"/>
  <c r="E181" i="4"/>
  <c r="E186" i="4"/>
  <c r="E187" i="4"/>
  <c r="E194" i="4"/>
  <c r="E195" i="4"/>
  <c r="E197" i="4"/>
  <c r="F90" i="4"/>
  <c r="G90" i="4" s="1"/>
  <c r="H90" i="4" s="1"/>
  <c r="I90" i="4" s="1"/>
  <c r="F109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E164" i="2" s="1"/>
  <c r="F164" i="2" s="1"/>
  <c r="D165" i="2"/>
  <c r="E165" i="2" s="1"/>
  <c r="D166" i="2"/>
  <c r="E166" i="2" s="1"/>
  <c r="F166" i="2" s="1"/>
  <c r="D167" i="2"/>
  <c r="E167" i="2" s="1"/>
  <c r="F167" i="2" s="1"/>
  <c r="D168" i="2"/>
  <c r="E168" i="2" s="1"/>
  <c r="F168" i="2" s="1"/>
  <c r="D169" i="2"/>
  <c r="E169" i="2" s="1"/>
  <c r="D170" i="2"/>
  <c r="E170" i="2" s="1"/>
  <c r="F170" i="2" s="1"/>
  <c r="D171" i="2"/>
  <c r="E171" i="2" s="1"/>
  <c r="F171" i="2" s="1"/>
  <c r="D172" i="2"/>
  <c r="E172" i="2" s="1"/>
  <c r="F172" i="2" s="1"/>
  <c r="D173" i="2"/>
  <c r="E173" i="2" s="1"/>
  <c r="D174" i="2"/>
  <c r="E174" i="2" s="1"/>
  <c r="F174" i="2" s="1"/>
  <c r="D175" i="2"/>
  <c r="E175" i="2" s="1"/>
  <c r="F175" i="2" s="1"/>
  <c r="D176" i="2"/>
  <c r="E176" i="2" s="1"/>
  <c r="F176" i="2" s="1"/>
  <c r="D177" i="2"/>
  <c r="E177" i="2" s="1"/>
  <c r="D178" i="2"/>
  <c r="E178" i="2" s="1"/>
  <c r="F178" i="2" s="1"/>
  <c r="D179" i="2"/>
  <c r="E179" i="2" s="1"/>
  <c r="F179" i="2" s="1"/>
  <c r="D180" i="2"/>
  <c r="E180" i="2" s="1"/>
  <c r="F180" i="2" s="1"/>
  <c r="D181" i="2"/>
  <c r="E181" i="2" s="1"/>
  <c r="D182" i="2"/>
  <c r="E182" i="2" s="1"/>
  <c r="F182" i="2" s="1"/>
  <c r="D183" i="2"/>
  <c r="E183" i="2" s="1"/>
  <c r="F183" i="2" s="1"/>
  <c r="D184" i="2"/>
  <c r="E184" i="2" s="1"/>
  <c r="F184" i="2" s="1"/>
  <c r="D185" i="2"/>
  <c r="E185" i="2" s="1"/>
  <c r="D186" i="2"/>
  <c r="E186" i="2" s="1"/>
  <c r="F186" i="2" s="1"/>
  <c r="D187" i="2"/>
  <c r="E187" i="2" s="1"/>
  <c r="F187" i="2" s="1"/>
  <c r="D188" i="2"/>
  <c r="E188" i="2" s="1"/>
  <c r="F188" i="2" s="1"/>
  <c r="D189" i="2"/>
  <c r="E189" i="2" s="1"/>
  <c r="F189" i="2" s="1"/>
  <c r="D190" i="2"/>
  <c r="E190" i="2" s="1"/>
  <c r="F190" i="2" s="1"/>
  <c r="D191" i="2"/>
  <c r="E191" i="2" s="1"/>
  <c r="F191" i="2" s="1"/>
  <c r="D192" i="2"/>
  <c r="E192" i="2" s="1"/>
  <c r="F192" i="2" s="1"/>
  <c r="D193" i="2"/>
  <c r="E193" i="2" s="1"/>
  <c r="F193" i="2" s="1"/>
  <c r="D194" i="2"/>
  <c r="E194" i="2" s="1"/>
  <c r="F194" i="2" s="1"/>
  <c r="D195" i="2"/>
  <c r="E195" i="2" s="1"/>
  <c r="F195" i="2" s="1"/>
  <c r="D196" i="2"/>
  <c r="E196" i="2" s="1"/>
  <c r="F196" i="2" s="1"/>
  <c r="D197" i="2"/>
  <c r="E197" i="2" s="1"/>
  <c r="F197" i="2" s="1"/>
  <c r="D198" i="2"/>
  <c r="E198" i="2" s="1"/>
  <c r="F198" i="2" s="1"/>
  <c r="D199" i="2"/>
  <c r="E199" i="2" s="1"/>
  <c r="F199" i="2" s="1"/>
  <c r="D200" i="2"/>
  <c r="E200" i="2" s="1"/>
  <c r="F200" i="2" s="1"/>
  <c r="D201" i="2"/>
  <c r="E201" i="2" s="1"/>
  <c r="F201" i="2" s="1"/>
  <c r="D202" i="2"/>
  <c r="E202" i="2" s="1"/>
  <c r="F202" i="2" s="1"/>
  <c r="D203" i="2"/>
  <c r="E203" i="2" s="1"/>
  <c r="F203" i="2" s="1"/>
  <c r="D204" i="2"/>
  <c r="E204" i="2" s="1"/>
  <c r="F204" i="2" s="1"/>
  <c r="D205" i="2"/>
  <c r="E205" i="2" s="1"/>
  <c r="F205" i="2" s="1"/>
  <c r="D206" i="2"/>
  <c r="E206" i="2" s="1"/>
  <c r="F206" i="2" s="1"/>
  <c r="D207" i="2"/>
  <c r="E207" i="2" s="1"/>
  <c r="F207" i="2" s="1"/>
  <c r="D208" i="2"/>
  <c r="E208" i="2" s="1"/>
  <c r="F208" i="2" s="1"/>
  <c r="D209" i="2"/>
  <c r="E209" i="2" s="1"/>
  <c r="F209" i="2" s="1"/>
  <c r="D210" i="2"/>
  <c r="E210" i="2" s="1"/>
  <c r="F210" i="2" s="1"/>
  <c r="D211" i="2"/>
  <c r="E211" i="2" s="1"/>
  <c r="F211" i="2" s="1"/>
  <c r="D212" i="2"/>
  <c r="E212" i="2" s="1"/>
  <c r="F212" i="2" s="1"/>
  <c r="D213" i="2"/>
  <c r="E213" i="2" s="1"/>
  <c r="F213" i="2" s="1"/>
  <c r="D214" i="2"/>
  <c r="E214" i="2" s="1"/>
  <c r="F214" i="2" s="1"/>
  <c r="E2" i="2"/>
  <c r="F2" i="2" s="1"/>
  <c r="G2" i="2" s="1"/>
  <c r="E3" i="2"/>
  <c r="F3" i="2" s="1"/>
  <c r="G3" i="2" s="1"/>
  <c r="E4" i="2"/>
  <c r="F4" i="2" s="1"/>
  <c r="G4" i="2" s="1"/>
  <c r="E5" i="2"/>
  <c r="F5" i="2" s="1"/>
  <c r="G5" i="2" s="1"/>
  <c r="E6" i="2"/>
  <c r="F6" i="2" s="1"/>
  <c r="G6" i="2" s="1"/>
  <c r="E7" i="2"/>
  <c r="F7" i="2" s="1"/>
  <c r="G7" i="2" s="1"/>
  <c r="E8" i="2"/>
  <c r="F8" i="2" s="1"/>
  <c r="G8" i="2" s="1"/>
  <c r="E9" i="2"/>
  <c r="F9" i="2" s="1"/>
  <c r="G9" i="2" s="1"/>
  <c r="E10" i="2"/>
  <c r="F10" i="2" s="1"/>
  <c r="G10" i="2" s="1"/>
  <c r="E12" i="2"/>
  <c r="F12" i="2" s="1"/>
  <c r="G12" i="2" s="1"/>
  <c r="E13" i="2"/>
  <c r="F13" i="2" s="1"/>
  <c r="G13" i="2" s="1"/>
  <c r="E14" i="2"/>
  <c r="F14" i="2" s="1"/>
  <c r="G14" i="2" s="1"/>
  <c r="E16" i="2"/>
  <c r="F16" i="2" s="1"/>
  <c r="G16" i="2" s="1"/>
  <c r="E17" i="2"/>
  <c r="F17" i="2" s="1"/>
  <c r="G17" i="2" s="1"/>
  <c r="E18" i="2"/>
  <c r="F18" i="2" s="1"/>
  <c r="G18" i="2" s="1"/>
  <c r="E19" i="2"/>
  <c r="F19" i="2" s="1"/>
  <c r="G19" i="2" s="1"/>
  <c r="E20" i="2"/>
  <c r="F20" i="2" s="1"/>
  <c r="G20" i="2" s="1"/>
  <c r="E21" i="2"/>
  <c r="F21" i="2" s="1"/>
  <c r="G21" i="2" s="1"/>
  <c r="E22" i="2"/>
  <c r="F22" i="2" s="1"/>
  <c r="G22" i="2" s="1"/>
  <c r="E23" i="2"/>
  <c r="F23" i="2" s="1"/>
  <c r="G23" i="2" s="1"/>
  <c r="E24" i="2"/>
  <c r="F24" i="2" s="1"/>
  <c r="G24" i="2" s="1"/>
  <c r="E25" i="2"/>
  <c r="F25" i="2" s="1"/>
  <c r="G25" i="2" s="1"/>
  <c r="E26" i="2"/>
  <c r="F26" i="2" s="1"/>
  <c r="G26" i="2" s="1"/>
  <c r="E27" i="2"/>
  <c r="F27" i="2" s="1"/>
  <c r="G27" i="2" s="1"/>
  <c r="E28" i="2"/>
  <c r="F28" i="2" s="1"/>
  <c r="G28" i="2" s="1"/>
  <c r="E29" i="2"/>
  <c r="F29" i="2" s="1"/>
  <c r="G29" i="2" s="1"/>
  <c r="E30" i="2"/>
  <c r="F30" i="2" s="1"/>
  <c r="G30" i="2" s="1"/>
  <c r="E31" i="2"/>
  <c r="F31" i="2" s="1"/>
  <c r="G31" i="2" s="1"/>
  <c r="E32" i="2"/>
  <c r="F32" i="2" s="1"/>
  <c r="G32" i="2" s="1"/>
  <c r="E33" i="2"/>
  <c r="F33" i="2" s="1"/>
  <c r="G33" i="2" s="1"/>
  <c r="E34" i="2"/>
  <c r="F34" i="2" s="1"/>
  <c r="G34" i="2" s="1"/>
  <c r="E35" i="2"/>
  <c r="F35" i="2" s="1"/>
  <c r="G35" i="2" s="1"/>
  <c r="E36" i="2"/>
  <c r="F36" i="2" s="1"/>
  <c r="G36" i="2" s="1"/>
  <c r="E37" i="2"/>
  <c r="F37" i="2" s="1"/>
  <c r="G37" i="2" s="1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G46" i="2" s="1"/>
  <c r="H46" i="2" s="1"/>
  <c r="F47" i="2"/>
  <c r="G47" i="2" s="1"/>
  <c r="H47" i="2" s="1"/>
  <c r="F48" i="2"/>
  <c r="G48" i="2" s="1"/>
  <c r="H48" i="2" s="1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F111" i="4" l="1"/>
  <c r="G109" i="4"/>
  <c r="H109" i="4" s="1"/>
  <c r="G154" i="4"/>
  <c r="H154" i="4" s="1"/>
  <c r="G103" i="4"/>
  <c r="H103" i="4" s="1"/>
  <c r="I103" i="4" s="1"/>
  <c r="F135" i="4"/>
  <c r="G135" i="4" s="1"/>
  <c r="G114" i="4"/>
  <c r="H114" i="4" s="1"/>
  <c r="I114" i="4" s="1"/>
  <c r="G98" i="4"/>
  <c r="H98" i="4" s="1"/>
  <c r="I98" i="4" s="1"/>
  <c r="G143" i="4"/>
  <c r="H143" i="4" s="1"/>
  <c r="I143" i="4" s="1"/>
  <c r="G122" i="4"/>
  <c r="H122" i="4" s="1"/>
  <c r="I122" i="4" s="1"/>
  <c r="F149" i="4"/>
  <c r="G149" i="4" s="1"/>
  <c r="F136" i="4"/>
  <c r="G136" i="4" s="1"/>
  <c r="E152" i="4"/>
  <c r="F152" i="4" s="1"/>
  <c r="G152" i="4" s="1"/>
  <c r="E120" i="4"/>
  <c r="F120" i="4" s="1"/>
  <c r="E88" i="4"/>
  <c r="H95" i="4"/>
  <c r="G138" i="4"/>
  <c r="G117" i="4"/>
  <c r="H117" i="4" s="1"/>
  <c r="G95" i="4"/>
  <c r="F146" i="4"/>
  <c r="E128" i="4"/>
  <c r="H119" i="4"/>
  <c r="I119" i="4" s="1"/>
  <c r="G111" i="4"/>
  <c r="H111" i="4" s="1"/>
  <c r="I111" i="4" s="1"/>
  <c r="F130" i="4"/>
  <c r="F104" i="4"/>
  <c r="G104" i="4" s="1"/>
  <c r="G151" i="4"/>
  <c r="H151" i="4" s="1"/>
  <c r="I151" i="4" s="1"/>
  <c r="G127" i="4"/>
  <c r="H127" i="4" s="1"/>
  <c r="I127" i="4" s="1"/>
  <c r="G106" i="4"/>
  <c r="E112" i="4"/>
  <c r="F112" i="4" s="1"/>
  <c r="G112" i="4" s="1"/>
  <c r="H112" i="4" s="1"/>
  <c r="H138" i="4"/>
  <c r="G125" i="4"/>
  <c r="H125" i="4" s="1"/>
  <c r="F148" i="4"/>
  <c r="H104" i="4"/>
  <c r="H96" i="4"/>
  <c r="I96" i="4" s="1"/>
  <c r="G147" i="4"/>
  <c r="H147" i="4" s="1"/>
  <c r="I147" i="4" s="1"/>
  <c r="G139" i="4"/>
  <c r="H139" i="4" s="1"/>
  <c r="I139" i="4" s="1"/>
  <c r="G131" i="4"/>
  <c r="H131" i="4" s="1"/>
  <c r="I131" i="4" s="1"/>
  <c r="G123" i="4"/>
  <c r="H123" i="4" s="1"/>
  <c r="I123" i="4" s="1"/>
  <c r="G115" i="4"/>
  <c r="H115" i="4" s="1"/>
  <c r="I115" i="4" s="1"/>
  <c r="G107" i="4"/>
  <c r="H107" i="4" s="1"/>
  <c r="I107" i="4" s="1"/>
  <c r="G99" i="4"/>
  <c r="H99" i="4" s="1"/>
  <c r="I99" i="4" s="1"/>
  <c r="G91" i="4"/>
  <c r="F150" i="4"/>
  <c r="G150" i="4" s="1"/>
  <c r="F142" i="4"/>
  <c r="G142" i="4" s="1"/>
  <c r="F134" i="4"/>
  <c r="G134" i="4" s="1"/>
  <c r="F126" i="4"/>
  <c r="G126" i="4" s="1"/>
  <c r="F118" i="4"/>
  <c r="G118" i="4" s="1"/>
  <c r="F110" i="4"/>
  <c r="G110" i="4" s="1"/>
  <c r="F102" i="4"/>
  <c r="F94" i="4"/>
  <c r="G94" i="4" s="1"/>
  <c r="H94" i="4" s="1"/>
  <c r="E140" i="4"/>
  <c r="F140" i="4" s="1"/>
  <c r="E132" i="4"/>
  <c r="E124" i="4"/>
  <c r="E116" i="4"/>
  <c r="F116" i="4" s="1"/>
  <c r="E108" i="4"/>
  <c r="F108" i="4" s="1"/>
  <c r="E100" i="4"/>
  <c r="E92" i="4"/>
  <c r="I93" i="4"/>
  <c r="H144" i="4"/>
  <c r="I144" i="4" s="1"/>
  <c r="H136" i="4"/>
  <c r="I136" i="4" s="1"/>
  <c r="F124" i="4"/>
  <c r="E153" i="4"/>
  <c r="F153" i="4" s="1"/>
  <c r="E145" i="4"/>
  <c r="F145" i="4" s="1"/>
  <c r="E137" i="4"/>
  <c r="E129" i="4"/>
  <c r="E121" i="4"/>
  <c r="F121" i="4" s="1"/>
  <c r="E113" i="4"/>
  <c r="E105" i="4"/>
  <c r="E97" i="4"/>
  <c r="E89" i="4"/>
  <c r="F89" i="4" s="1"/>
  <c r="I101" i="4"/>
  <c r="I133" i="4"/>
  <c r="F157" i="4"/>
  <c r="G157" i="4" s="1"/>
  <c r="H157" i="4" s="1"/>
  <c r="F160" i="4"/>
  <c r="G160" i="4" s="1"/>
  <c r="H160" i="4" s="1"/>
  <c r="I160" i="4" s="1"/>
  <c r="F163" i="4"/>
  <c r="G163" i="4" s="1"/>
  <c r="H163" i="4" s="1"/>
  <c r="F167" i="4"/>
  <c r="G167" i="4" s="1"/>
  <c r="F171" i="4"/>
  <c r="F175" i="4"/>
  <c r="G175" i="4" s="1"/>
  <c r="F179" i="4"/>
  <c r="F183" i="4"/>
  <c r="G183" i="4" s="1"/>
  <c r="H183" i="4" s="1"/>
  <c r="I183" i="4" s="1"/>
  <c r="F187" i="4"/>
  <c r="G187" i="4" s="1"/>
  <c r="F191" i="4"/>
  <c r="G191" i="4" s="1"/>
  <c r="F195" i="4"/>
  <c r="G195" i="4" s="1"/>
  <c r="H195" i="4" s="1"/>
  <c r="I195" i="4" s="1"/>
  <c r="F199" i="4"/>
  <c r="G199" i="4" s="1"/>
  <c r="H199" i="4" s="1"/>
  <c r="I199" i="4" s="1"/>
  <c r="F203" i="4"/>
  <c r="F207" i="4"/>
  <c r="G207" i="4" s="1"/>
  <c r="H207" i="4" s="1"/>
  <c r="F209" i="4"/>
  <c r="G209" i="4" s="1"/>
  <c r="H209" i="4" s="1"/>
  <c r="F212" i="4"/>
  <c r="G3" i="4"/>
  <c r="H3" i="4" s="1"/>
  <c r="I3" i="4" s="1"/>
  <c r="G7" i="4"/>
  <c r="H7" i="4" s="1"/>
  <c r="I7" i="4" s="1"/>
  <c r="I141" i="4"/>
  <c r="F156" i="4"/>
  <c r="G156" i="4" s="1"/>
  <c r="H156" i="4" s="1"/>
  <c r="F159" i="4"/>
  <c r="G159" i="4" s="1"/>
  <c r="H159" i="4" s="1"/>
  <c r="I159" i="4" s="1"/>
  <c r="F165" i="4"/>
  <c r="G165" i="4" s="1"/>
  <c r="H165" i="4" s="1"/>
  <c r="I165" i="4" s="1"/>
  <c r="F170" i="4"/>
  <c r="G170" i="4" s="1"/>
  <c r="H170" i="4" s="1"/>
  <c r="F174" i="4"/>
  <c r="G174" i="4" s="1"/>
  <c r="H174" i="4" s="1"/>
  <c r="F178" i="4"/>
  <c r="G178" i="4" s="1"/>
  <c r="H178" i="4" s="1"/>
  <c r="F182" i="4"/>
  <c r="G182" i="4" s="1"/>
  <c r="H182" i="4" s="1"/>
  <c r="I182" i="4" s="1"/>
  <c r="F185" i="4"/>
  <c r="G185" i="4" s="1"/>
  <c r="H185" i="4" s="1"/>
  <c r="I185" i="4" s="1"/>
  <c r="F189" i="4"/>
  <c r="F194" i="4"/>
  <c r="G194" i="4" s="1"/>
  <c r="H194" i="4" s="1"/>
  <c r="I194" i="4" s="1"/>
  <c r="F158" i="4"/>
  <c r="G158" i="4" s="1"/>
  <c r="H158" i="4" s="1"/>
  <c r="I158" i="4" s="1"/>
  <c r="F162" i="4"/>
  <c r="G162" i="4" s="1"/>
  <c r="H162" i="4" s="1"/>
  <c r="F166" i="4"/>
  <c r="G166" i="4" s="1"/>
  <c r="H166" i="4" s="1"/>
  <c r="I166" i="4" s="1"/>
  <c r="F169" i="4"/>
  <c r="G169" i="4" s="1"/>
  <c r="F173" i="4"/>
  <c r="G173" i="4" s="1"/>
  <c r="H173" i="4" s="1"/>
  <c r="F177" i="4"/>
  <c r="G177" i="4" s="1"/>
  <c r="H177" i="4" s="1"/>
  <c r="F181" i="4"/>
  <c r="G181" i="4" s="1"/>
  <c r="H181" i="4" s="1"/>
  <c r="F186" i="4"/>
  <c r="G186" i="4" s="1"/>
  <c r="H186" i="4" s="1"/>
  <c r="I186" i="4" s="1"/>
  <c r="F190" i="4"/>
  <c r="G190" i="4" s="1"/>
  <c r="H190" i="4" s="1"/>
  <c r="I190" i="4" s="1"/>
  <c r="F192" i="4"/>
  <c r="G192" i="4" s="1"/>
  <c r="H192" i="4" s="1"/>
  <c r="I192" i="4" s="1"/>
  <c r="F196" i="4"/>
  <c r="I104" i="4"/>
  <c r="I109" i="4"/>
  <c r="I117" i="4"/>
  <c r="I138" i="4"/>
  <c r="F155" i="4"/>
  <c r="G155" i="4" s="1"/>
  <c r="H155" i="4" s="1"/>
  <c r="I155" i="4" s="1"/>
  <c r="F161" i="4"/>
  <c r="G161" i="4" s="1"/>
  <c r="H161" i="4" s="1"/>
  <c r="I161" i="4" s="1"/>
  <c r="F164" i="4"/>
  <c r="G164" i="4" s="1"/>
  <c r="H164" i="4" s="1"/>
  <c r="F168" i="4"/>
  <c r="F172" i="4"/>
  <c r="G172" i="4" s="1"/>
  <c r="H172" i="4" s="1"/>
  <c r="F176" i="4"/>
  <c r="F180" i="4"/>
  <c r="G180" i="4" s="1"/>
  <c r="H180" i="4" s="1"/>
  <c r="I180" i="4" s="1"/>
  <c r="F184" i="4"/>
  <c r="F188" i="4"/>
  <c r="G188" i="4" s="1"/>
  <c r="H188" i="4" s="1"/>
  <c r="I188" i="4" s="1"/>
  <c r="F193" i="4"/>
  <c r="F197" i="4"/>
  <c r="G197" i="4" s="1"/>
  <c r="H197" i="4" s="1"/>
  <c r="I197" i="4" s="1"/>
  <c r="I154" i="4"/>
  <c r="E14" i="4"/>
  <c r="F14" i="4" s="1"/>
  <c r="G83" i="4"/>
  <c r="G84" i="4"/>
  <c r="G85" i="4"/>
  <c r="G86" i="4"/>
  <c r="H86" i="4" s="1"/>
  <c r="G87" i="4"/>
  <c r="H87" i="4" s="1"/>
  <c r="I87" i="4" s="1"/>
  <c r="E10" i="4"/>
  <c r="G168" i="4"/>
  <c r="H168" i="4" s="1"/>
  <c r="G171" i="4"/>
  <c r="H171" i="4" s="1"/>
  <c r="G176" i="4"/>
  <c r="H176" i="4" s="1"/>
  <c r="G179" i="4"/>
  <c r="H179" i="4" s="1"/>
  <c r="G198" i="4"/>
  <c r="H198" i="4" s="1"/>
  <c r="G200" i="4"/>
  <c r="H200" i="4" s="1"/>
  <c r="G201" i="4"/>
  <c r="H201" i="4" s="1"/>
  <c r="I201" i="4" s="1"/>
  <c r="G202" i="4"/>
  <c r="H202" i="4" s="1"/>
  <c r="G203" i="4"/>
  <c r="H203" i="4" s="1"/>
  <c r="G204" i="4"/>
  <c r="H204" i="4" s="1"/>
  <c r="G205" i="4"/>
  <c r="H205" i="4" s="1"/>
  <c r="I205" i="4" s="1"/>
  <c r="G206" i="4"/>
  <c r="H206" i="4" s="1"/>
  <c r="G208" i="4"/>
  <c r="H208" i="4" s="1"/>
  <c r="I208" i="4" s="1"/>
  <c r="G210" i="4"/>
  <c r="H210" i="4" s="1"/>
  <c r="G211" i="4"/>
  <c r="H211" i="4" s="1"/>
  <c r="I211" i="4" s="1"/>
  <c r="G212" i="4"/>
  <c r="G213" i="4"/>
  <c r="H213" i="4" s="1"/>
  <c r="I213" i="4" s="1"/>
  <c r="G214" i="4"/>
  <c r="H2" i="4"/>
  <c r="I2" i="4" s="1"/>
  <c r="H4" i="4"/>
  <c r="I4" i="4"/>
  <c r="H5" i="4"/>
  <c r="I5" i="4" s="1"/>
  <c r="H6" i="4"/>
  <c r="I6" i="4" s="1"/>
  <c r="H8" i="4"/>
  <c r="I8" i="4" s="1"/>
  <c r="H9" i="4"/>
  <c r="I9" i="4" s="1"/>
  <c r="H11" i="4"/>
  <c r="I11" i="4" s="1"/>
  <c r="H12" i="4"/>
  <c r="I12" i="4" s="1"/>
  <c r="H13" i="4"/>
  <c r="I13" i="4" s="1"/>
  <c r="H15" i="4"/>
  <c r="I15" i="4" s="1"/>
  <c r="H16" i="4"/>
  <c r="I16" i="4" s="1"/>
  <c r="H17" i="4"/>
  <c r="I17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4" i="4"/>
  <c r="I24" i="4" s="1"/>
  <c r="H25" i="4"/>
  <c r="I25" i="4" s="1"/>
  <c r="H26" i="4"/>
  <c r="I26" i="4" s="1"/>
  <c r="H27" i="4"/>
  <c r="I27" i="4" s="1"/>
  <c r="H28" i="4"/>
  <c r="I28" i="4" s="1"/>
  <c r="H29" i="4"/>
  <c r="I29" i="4" s="1"/>
  <c r="H30" i="4"/>
  <c r="I30" i="4" s="1"/>
  <c r="H31" i="4"/>
  <c r="I31" i="4" s="1"/>
  <c r="H32" i="4"/>
  <c r="I32" i="4" s="1"/>
  <c r="H33" i="4"/>
  <c r="I33" i="4" s="1"/>
  <c r="H34" i="4"/>
  <c r="I34" i="4" s="1"/>
  <c r="H35" i="4"/>
  <c r="I35" i="4" s="1"/>
  <c r="H36" i="4"/>
  <c r="I36" i="4" s="1"/>
  <c r="H37" i="4"/>
  <c r="I37" i="4" s="1"/>
  <c r="H38" i="4"/>
  <c r="I38" i="4" s="1"/>
  <c r="H39" i="4"/>
  <c r="I39" i="4" s="1"/>
  <c r="H40" i="4"/>
  <c r="I40" i="4" s="1"/>
  <c r="H41" i="4"/>
  <c r="I41" i="4" s="1"/>
  <c r="H42" i="4"/>
  <c r="I42" i="4" s="1"/>
  <c r="H43" i="4"/>
  <c r="I43" i="4" s="1"/>
  <c r="H44" i="4"/>
  <c r="I44" i="4" s="1"/>
  <c r="H45" i="4"/>
  <c r="I45" i="4" s="1"/>
  <c r="H46" i="4"/>
  <c r="I46" i="4" s="1"/>
  <c r="H47" i="4"/>
  <c r="I47" i="4" s="1"/>
  <c r="H48" i="4"/>
  <c r="I48" i="4" s="1"/>
  <c r="H49" i="4"/>
  <c r="I49" i="4" s="1"/>
  <c r="H50" i="4"/>
  <c r="I50" i="4" s="1"/>
  <c r="H51" i="4"/>
  <c r="I51" i="4" s="1"/>
  <c r="H52" i="4"/>
  <c r="I52" i="4" s="1"/>
  <c r="H53" i="4"/>
  <c r="I53" i="4" s="1"/>
  <c r="H54" i="4"/>
  <c r="I54" i="4" s="1"/>
  <c r="H55" i="4"/>
  <c r="I55" i="4" s="1"/>
  <c r="H56" i="4"/>
  <c r="I56" i="4" s="1"/>
  <c r="H57" i="4"/>
  <c r="I57" i="4" s="1"/>
  <c r="H58" i="4"/>
  <c r="I58" i="4" s="1"/>
  <c r="H59" i="4"/>
  <c r="I59" i="4" s="1"/>
  <c r="H60" i="4"/>
  <c r="I60" i="4" s="1"/>
  <c r="H61" i="4"/>
  <c r="I61" i="4" s="1"/>
  <c r="H62" i="4"/>
  <c r="I62" i="4" s="1"/>
  <c r="H63" i="4"/>
  <c r="I63" i="4" s="1"/>
  <c r="H64" i="4"/>
  <c r="I64" i="4" s="1"/>
  <c r="H65" i="4"/>
  <c r="I65" i="4" s="1"/>
  <c r="H66" i="4"/>
  <c r="I66" i="4" s="1"/>
  <c r="H67" i="4"/>
  <c r="I67" i="4" s="1"/>
  <c r="H68" i="4"/>
  <c r="I68" i="4" s="1"/>
  <c r="H69" i="4"/>
  <c r="I69" i="4" s="1"/>
  <c r="H70" i="4"/>
  <c r="I70" i="4" s="1"/>
  <c r="H71" i="4"/>
  <c r="I71" i="4" s="1"/>
  <c r="H72" i="4"/>
  <c r="I72" i="4" s="1"/>
  <c r="H73" i="4"/>
  <c r="I73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I51" i="2"/>
  <c r="I54" i="2"/>
  <c r="I57" i="2"/>
  <c r="I60" i="2"/>
  <c r="I62" i="2"/>
  <c r="F130" i="2"/>
  <c r="F134" i="2"/>
  <c r="F140" i="2"/>
  <c r="F144" i="2"/>
  <c r="F149" i="2"/>
  <c r="F151" i="2"/>
  <c r="F156" i="2"/>
  <c r="F159" i="2"/>
  <c r="F165" i="2"/>
  <c r="F169" i="2"/>
  <c r="F173" i="2"/>
  <c r="F177" i="2"/>
  <c r="F181" i="2"/>
  <c r="F185" i="2"/>
  <c r="I64" i="2"/>
  <c r="I70" i="2"/>
  <c r="I74" i="2"/>
  <c r="I78" i="2"/>
  <c r="I81" i="2"/>
  <c r="I85" i="2"/>
  <c r="I89" i="2"/>
  <c r="I93" i="2"/>
  <c r="I96" i="2"/>
  <c r="I101" i="2"/>
  <c r="I105" i="2"/>
  <c r="I109" i="2"/>
  <c r="I113" i="2"/>
  <c r="I117" i="2"/>
  <c r="I122" i="2"/>
  <c r="I126" i="2"/>
  <c r="F133" i="2"/>
  <c r="F135" i="2"/>
  <c r="F138" i="2"/>
  <c r="F143" i="2"/>
  <c r="F147" i="2"/>
  <c r="F152" i="2"/>
  <c r="F155" i="2"/>
  <c r="F161" i="2"/>
  <c r="I63" i="2"/>
  <c r="I67" i="2"/>
  <c r="I71" i="2"/>
  <c r="I75" i="2"/>
  <c r="I79" i="2"/>
  <c r="I83" i="2"/>
  <c r="I88" i="2"/>
  <c r="I92" i="2"/>
  <c r="I97" i="2"/>
  <c r="I100" i="2"/>
  <c r="I104" i="2"/>
  <c r="I108" i="2"/>
  <c r="I112" i="2"/>
  <c r="I116" i="2"/>
  <c r="I120" i="2"/>
  <c r="I124" i="2"/>
  <c r="I127" i="2"/>
  <c r="I49" i="2"/>
  <c r="I52" i="2"/>
  <c r="I55" i="2"/>
  <c r="I58" i="2"/>
  <c r="I61" i="2"/>
  <c r="F132" i="2"/>
  <c r="F137" i="2"/>
  <c r="F139" i="2"/>
  <c r="F142" i="2"/>
  <c r="F146" i="2"/>
  <c r="F150" i="2"/>
  <c r="F154" i="2"/>
  <c r="F158" i="2"/>
  <c r="F162" i="2"/>
  <c r="I65" i="2"/>
  <c r="I68" i="2"/>
  <c r="I72" i="2"/>
  <c r="I77" i="2"/>
  <c r="I82" i="2"/>
  <c r="I86" i="2"/>
  <c r="I90" i="2"/>
  <c r="I95" i="2"/>
  <c r="I99" i="2"/>
  <c r="I102" i="2"/>
  <c r="I106" i="2"/>
  <c r="I110" i="2"/>
  <c r="I114" i="2"/>
  <c r="I118" i="2"/>
  <c r="I121" i="2"/>
  <c r="I125" i="2"/>
  <c r="I129" i="2"/>
  <c r="I50" i="2"/>
  <c r="I53" i="2"/>
  <c r="I56" i="2"/>
  <c r="I59" i="2"/>
  <c r="F131" i="2"/>
  <c r="G131" i="2" s="1"/>
  <c r="H131" i="2" s="1"/>
  <c r="F136" i="2"/>
  <c r="F141" i="2"/>
  <c r="F145" i="2"/>
  <c r="F148" i="2"/>
  <c r="F153" i="2"/>
  <c r="F157" i="2"/>
  <c r="F160" i="2"/>
  <c r="F163" i="2"/>
  <c r="I66" i="2"/>
  <c r="I69" i="2"/>
  <c r="I73" i="2"/>
  <c r="I76" i="2"/>
  <c r="I80" i="2"/>
  <c r="I84" i="2"/>
  <c r="I87" i="2"/>
  <c r="I91" i="2"/>
  <c r="I94" i="2"/>
  <c r="I98" i="2"/>
  <c r="I103" i="2"/>
  <c r="I107" i="2"/>
  <c r="I111" i="2"/>
  <c r="I115" i="2"/>
  <c r="I119" i="2"/>
  <c r="I123" i="2"/>
  <c r="I128" i="2"/>
  <c r="E15" i="2"/>
  <c r="F15" i="2"/>
  <c r="G15" i="2" s="1"/>
  <c r="E11" i="2"/>
  <c r="G130" i="2"/>
  <c r="H130" i="2" s="1"/>
  <c r="I130" i="2" s="1"/>
  <c r="G132" i="2"/>
  <c r="H132" i="2"/>
  <c r="G133" i="2"/>
  <c r="H133" i="2"/>
  <c r="G134" i="2"/>
  <c r="H134" i="2"/>
  <c r="G135" i="2"/>
  <c r="H135" i="2" s="1"/>
  <c r="I135" i="2" s="1"/>
  <c r="G136" i="2"/>
  <c r="H136" i="2" s="1"/>
  <c r="I136" i="2" s="1"/>
  <c r="G137" i="2"/>
  <c r="H137" i="2" s="1"/>
  <c r="I137" i="2" s="1"/>
  <c r="G138" i="2"/>
  <c r="I138" i="2" s="1"/>
  <c r="H138" i="2"/>
  <c r="G139" i="2"/>
  <c r="I139" i="2" s="1"/>
  <c r="H139" i="2"/>
  <c r="G140" i="2"/>
  <c r="I140" i="2" s="1"/>
  <c r="H140" i="2"/>
  <c r="G141" i="2"/>
  <c r="H141" i="2" s="1"/>
  <c r="I141" i="2" s="1"/>
  <c r="G142" i="2"/>
  <c r="H142" i="2" s="1"/>
  <c r="I142" i="2" s="1"/>
  <c r="G143" i="2"/>
  <c r="H143" i="2" s="1"/>
  <c r="I143" i="2" s="1"/>
  <c r="G144" i="2"/>
  <c r="H144" i="2" s="1"/>
  <c r="G145" i="2"/>
  <c r="I145" i="2" s="1"/>
  <c r="H145" i="2"/>
  <c r="G146" i="2"/>
  <c r="I146" i="2" s="1"/>
  <c r="H146" i="2"/>
  <c r="G147" i="2"/>
  <c r="H147" i="2"/>
  <c r="G148" i="2"/>
  <c r="H148" i="2"/>
  <c r="G149" i="2"/>
  <c r="H149" i="2" s="1"/>
  <c r="I149" i="2" s="1"/>
  <c r="G150" i="2"/>
  <c r="H150" i="2" s="1"/>
  <c r="I150" i="2" s="1"/>
  <c r="G151" i="2"/>
  <c r="H151" i="2" s="1"/>
  <c r="I151" i="2" s="1"/>
  <c r="G152" i="2"/>
  <c r="H152" i="2" s="1"/>
  <c r="I152" i="2" s="1"/>
  <c r="G153" i="2"/>
  <c r="H153" i="2"/>
  <c r="I153" i="2" s="1"/>
  <c r="G154" i="2"/>
  <c r="H154" i="2" s="1"/>
  <c r="I154" i="2" s="1"/>
  <c r="G155" i="2"/>
  <c r="H155" i="2" s="1"/>
  <c r="I155" i="2" s="1"/>
  <c r="G156" i="2"/>
  <c r="H156" i="2" s="1"/>
  <c r="I156" i="2" s="1"/>
  <c r="G157" i="2"/>
  <c r="H157" i="2" s="1"/>
  <c r="I157" i="2" s="1"/>
  <c r="G158" i="2"/>
  <c r="H158" i="2"/>
  <c r="I158" i="2" s="1"/>
  <c r="G159" i="2"/>
  <c r="G160" i="2"/>
  <c r="H160" i="2"/>
  <c r="I160" i="2"/>
  <c r="G161" i="2"/>
  <c r="H161" i="2"/>
  <c r="I161" i="2" s="1"/>
  <c r="G162" i="2"/>
  <c r="H162" i="2"/>
  <c r="I162" i="2"/>
  <c r="G163" i="2"/>
  <c r="G164" i="2"/>
  <c r="H164" i="2" s="1"/>
  <c r="I164" i="2" s="1"/>
  <c r="G165" i="2"/>
  <c r="H165" i="2"/>
  <c r="I165" i="2"/>
  <c r="G166" i="2"/>
  <c r="G167" i="2"/>
  <c r="I167" i="2" s="1"/>
  <c r="H167" i="2"/>
  <c r="G168" i="2"/>
  <c r="H168" i="2"/>
  <c r="I168" i="2" s="1"/>
  <c r="G169" i="2"/>
  <c r="H169" i="2" s="1"/>
  <c r="I169" i="2" s="1"/>
  <c r="G170" i="2"/>
  <c r="H170" i="2" s="1"/>
  <c r="I170" i="2" s="1"/>
  <c r="G171" i="2"/>
  <c r="H171" i="2" s="1"/>
  <c r="I171" i="2" s="1"/>
  <c r="G172" i="2"/>
  <c r="H172" i="2"/>
  <c r="I172" i="2" s="1"/>
  <c r="G173" i="2"/>
  <c r="G174" i="2"/>
  <c r="H174" i="2"/>
  <c r="I174" i="2" s="1"/>
  <c r="G175" i="2"/>
  <c r="H175" i="2"/>
  <c r="I175" i="2" s="1"/>
  <c r="G176" i="2"/>
  <c r="H176" i="2" s="1"/>
  <c r="I176" i="2" s="1"/>
  <c r="G177" i="2"/>
  <c r="H177" i="2"/>
  <c r="I177" i="2"/>
  <c r="G178" i="2"/>
  <c r="H178" i="2" s="1"/>
  <c r="I178" i="2" s="1"/>
  <c r="G179" i="2"/>
  <c r="G180" i="2"/>
  <c r="H180" i="2"/>
  <c r="I180" i="2"/>
  <c r="G181" i="2"/>
  <c r="H181" i="2" s="1"/>
  <c r="I181" i="2" s="1"/>
  <c r="G182" i="2"/>
  <c r="H182" i="2" s="1"/>
  <c r="I182" i="2" s="1"/>
  <c r="G183" i="2"/>
  <c r="G184" i="2"/>
  <c r="H184" i="2" s="1"/>
  <c r="I184" i="2" s="1"/>
  <c r="G185" i="2"/>
  <c r="H185" i="2" s="1"/>
  <c r="I185" i="2" s="1"/>
  <c r="G186" i="2"/>
  <c r="G187" i="2"/>
  <c r="H187" i="2"/>
  <c r="I187" i="2" s="1"/>
  <c r="G188" i="2"/>
  <c r="H188" i="2" s="1"/>
  <c r="I188" i="2" s="1"/>
  <c r="G189" i="2"/>
  <c r="H189" i="2"/>
  <c r="I189" i="2" s="1"/>
  <c r="G190" i="2"/>
  <c r="H190" i="2" s="1"/>
  <c r="I190" i="2" s="1"/>
  <c r="G191" i="2"/>
  <c r="H191" i="2" s="1"/>
  <c r="I191" i="2" s="1"/>
  <c r="G192" i="2"/>
  <c r="H192" i="2" s="1"/>
  <c r="I192" i="2" s="1"/>
  <c r="G193" i="2"/>
  <c r="G194" i="2"/>
  <c r="H194" i="2"/>
  <c r="I194" i="2"/>
  <c r="G195" i="2"/>
  <c r="H195" i="2" s="1"/>
  <c r="I195" i="2" s="1"/>
  <c r="G196" i="2"/>
  <c r="H196" i="2"/>
  <c r="I196" i="2" s="1"/>
  <c r="G197" i="2"/>
  <c r="G198" i="2"/>
  <c r="G199" i="2"/>
  <c r="H199" i="2" s="1"/>
  <c r="I199" i="2" s="1"/>
  <c r="G200" i="2"/>
  <c r="H200" i="2"/>
  <c r="I200" i="2"/>
  <c r="G201" i="2"/>
  <c r="H201" i="2"/>
  <c r="I201" i="2"/>
  <c r="G202" i="2"/>
  <c r="H202" i="2"/>
  <c r="I202" i="2" s="1"/>
  <c r="G203" i="2"/>
  <c r="H203" i="2" s="1"/>
  <c r="I203" i="2" s="1"/>
  <c r="G204" i="2"/>
  <c r="G205" i="2"/>
  <c r="H205" i="2" s="1"/>
  <c r="I205" i="2" s="1"/>
  <c r="G206" i="2"/>
  <c r="H206" i="2"/>
  <c r="I206" i="2"/>
  <c r="G207" i="2"/>
  <c r="H207" i="2" s="1"/>
  <c r="I207" i="2" s="1"/>
  <c r="G208" i="2"/>
  <c r="H208" i="2"/>
  <c r="I208" i="2" s="1"/>
  <c r="G209" i="2"/>
  <c r="H209" i="2"/>
  <c r="I209" i="2" s="1"/>
  <c r="G210" i="2"/>
  <c r="H210" i="2" s="1"/>
  <c r="I210" i="2" s="1"/>
  <c r="G211" i="2"/>
  <c r="H211" i="2" s="1"/>
  <c r="I211" i="2" s="1"/>
  <c r="G212" i="2"/>
  <c r="H212" i="2" s="1"/>
  <c r="I212" i="2" s="1"/>
  <c r="G213" i="2"/>
  <c r="H213" i="2"/>
  <c r="I213" i="2"/>
  <c r="G214" i="2"/>
  <c r="H214" i="2" s="1"/>
  <c r="I214" i="2" s="1"/>
  <c r="H2" i="2"/>
  <c r="I2" i="2" s="1"/>
  <c r="H3" i="2"/>
  <c r="I3" i="2"/>
  <c r="H4" i="2"/>
  <c r="I4" i="2" s="1"/>
  <c r="H5" i="2"/>
  <c r="I5" i="2"/>
  <c r="H6" i="2"/>
  <c r="I6" i="2" s="1"/>
  <c r="H7" i="2"/>
  <c r="I7" i="2" s="1"/>
  <c r="H8" i="2"/>
  <c r="I8" i="2"/>
  <c r="H9" i="2"/>
  <c r="I9" i="2" s="1"/>
  <c r="H10" i="2"/>
  <c r="I10" i="2"/>
  <c r="H12" i="2"/>
  <c r="I12" i="2" s="1"/>
  <c r="H13" i="2"/>
  <c r="I13" i="2"/>
  <c r="H14" i="2"/>
  <c r="I14" i="2" s="1"/>
  <c r="H15" i="2"/>
  <c r="I15" i="2" s="1"/>
  <c r="H16" i="2"/>
  <c r="I16" i="2" s="1"/>
  <c r="H17" i="2"/>
  <c r="I17" i="2"/>
  <c r="H18" i="2"/>
  <c r="I18" i="2" s="1"/>
  <c r="H19" i="2"/>
  <c r="I19" i="2" s="1"/>
  <c r="H20" i="2"/>
  <c r="I20" i="2" s="1"/>
  <c r="H21" i="2"/>
  <c r="I21" i="2"/>
  <c r="H22" i="2"/>
  <c r="I22" i="2" s="1"/>
  <c r="H23" i="2"/>
  <c r="I23" i="2" s="1"/>
  <c r="H24" i="2"/>
  <c r="I24" i="2"/>
  <c r="H25" i="2"/>
  <c r="I25" i="2" s="1"/>
  <c r="H26" i="2"/>
  <c r="I26" i="2" s="1"/>
  <c r="H27" i="2"/>
  <c r="I27" i="2" s="1"/>
  <c r="H28" i="2"/>
  <c r="I28" i="2"/>
  <c r="H29" i="2"/>
  <c r="I29" i="2"/>
  <c r="H30" i="2"/>
  <c r="I30" i="2" s="1"/>
  <c r="H31" i="2"/>
  <c r="I31" i="2"/>
  <c r="H32" i="2"/>
  <c r="I32" i="2"/>
  <c r="H33" i="2"/>
  <c r="I33" i="2" s="1"/>
  <c r="H34" i="2"/>
  <c r="I34" i="2" s="1"/>
  <c r="H35" i="2"/>
  <c r="I35" i="2"/>
  <c r="H36" i="2"/>
  <c r="I36" i="2" s="1"/>
  <c r="H37" i="2"/>
  <c r="I37" i="2"/>
  <c r="H38" i="2"/>
  <c r="I38" i="2"/>
  <c r="H39" i="2"/>
  <c r="I39" i="2"/>
  <c r="H40" i="2"/>
  <c r="I40" i="2" s="1"/>
  <c r="H41" i="2"/>
  <c r="I41" i="2" s="1"/>
  <c r="H42" i="2"/>
  <c r="I42" i="2"/>
  <c r="H43" i="2"/>
  <c r="I43" i="2" s="1"/>
  <c r="H44" i="2"/>
  <c r="I44" i="2"/>
  <c r="H45" i="2"/>
  <c r="I45" i="2"/>
  <c r="I147" i="2"/>
  <c r="I148" i="2"/>
  <c r="I46" i="2"/>
  <c r="I48" i="2"/>
  <c r="I47" i="2"/>
  <c r="I125" i="4" l="1"/>
  <c r="I95" i="4"/>
  <c r="G14" i="4"/>
  <c r="H14" i="4" s="1"/>
  <c r="I14" i="4" s="1"/>
  <c r="H135" i="4"/>
  <c r="I135" i="4" s="1"/>
  <c r="H149" i="4"/>
  <c r="I149" i="4" s="1"/>
  <c r="G120" i="4"/>
  <c r="H120" i="4"/>
  <c r="H212" i="4"/>
  <c r="I212" i="4" s="1"/>
  <c r="H191" i="4"/>
  <c r="G124" i="4"/>
  <c r="H152" i="4"/>
  <c r="I152" i="4" s="1"/>
  <c r="I94" i="4"/>
  <c r="F128" i="4"/>
  <c r="G128" i="4" s="1"/>
  <c r="I112" i="4"/>
  <c r="F132" i="4"/>
  <c r="G132" i="4" s="1"/>
  <c r="H132" i="4" s="1"/>
  <c r="I132" i="4" s="1"/>
  <c r="H106" i="4"/>
  <c r="I106" i="4" s="1"/>
  <c r="G140" i="4"/>
  <c r="H140" i="4" s="1"/>
  <c r="I140" i="4" s="1"/>
  <c r="G108" i="4"/>
  <c r="H108" i="4" s="1"/>
  <c r="I108" i="4" s="1"/>
  <c r="G148" i="4"/>
  <c r="G130" i="4"/>
  <c r="F88" i="4"/>
  <c r="G88" i="4" s="1"/>
  <c r="H88" i="4" s="1"/>
  <c r="I88" i="4" s="1"/>
  <c r="G146" i="4"/>
  <c r="H126" i="4"/>
  <c r="I126" i="4" s="1"/>
  <c r="H150" i="4"/>
  <c r="I150" i="4" s="1"/>
  <c r="H142" i="4"/>
  <c r="I142" i="4" s="1"/>
  <c r="H167" i="4"/>
  <c r="I167" i="4" s="1"/>
  <c r="H118" i="4"/>
  <c r="I118" i="4" s="1"/>
  <c r="H110" i="4"/>
  <c r="I110" i="4" s="1"/>
  <c r="G102" i="4"/>
  <c r="H102" i="4" s="1"/>
  <c r="F97" i="4"/>
  <c r="I163" i="4"/>
  <c r="I191" i="4"/>
  <c r="I174" i="4"/>
  <c r="I168" i="4"/>
  <c r="H134" i="4"/>
  <c r="I134" i="4" s="1"/>
  <c r="G121" i="4"/>
  <c r="H121" i="4" s="1"/>
  <c r="G184" i="4"/>
  <c r="H184" i="4" s="1"/>
  <c r="F92" i="4"/>
  <c r="H91" i="4"/>
  <c r="I91" i="4" s="1"/>
  <c r="G189" i="4"/>
  <c r="H189" i="4" s="1"/>
  <c r="I189" i="4" s="1"/>
  <c r="I181" i="4"/>
  <c r="F100" i="4"/>
  <c r="G100" i="4" s="1"/>
  <c r="G145" i="4"/>
  <c r="G116" i="4"/>
  <c r="H124" i="4"/>
  <c r="I124" i="4" s="1"/>
  <c r="F113" i="4"/>
  <c r="F105" i="4"/>
  <c r="G105" i="4" s="1"/>
  <c r="H105" i="4" s="1"/>
  <c r="I86" i="4"/>
  <c r="H187" i="4"/>
  <c r="I187" i="4" s="1"/>
  <c r="H175" i="4"/>
  <c r="I175" i="4" s="1"/>
  <c r="H169" i="4"/>
  <c r="I169" i="4" s="1"/>
  <c r="G89" i="4"/>
  <c r="G153" i="4"/>
  <c r="F137" i="4"/>
  <c r="F129" i="4"/>
  <c r="G129" i="4" s="1"/>
  <c r="I156" i="4"/>
  <c r="I157" i="4"/>
  <c r="I176" i="4"/>
  <c r="I198" i="4"/>
  <c r="I200" i="4"/>
  <c r="I203" i="4"/>
  <c r="I204" i="4"/>
  <c r="I207" i="4"/>
  <c r="I210" i="4"/>
  <c r="G196" i="4"/>
  <c r="H196" i="4" s="1"/>
  <c r="G193" i="4"/>
  <c r="H193" i="4" s="1"/>
  <c r="I193" i="4" s="1"/>
  <c r="H83" i="4"/>
  <c r="I83" i="4" s="1"/>
  <c r="H84" i="4"/>
  <c r="I84" i="4" s="1"/>
  <c r="H85" i="4"/>
  <c r="I85" i="4" s="1"/>
  <c r="I162" i="4"/>
  <c r="I172" i="4"/>
  <c r="I177" i="4"/>
  <c r="I209" i="4"/>
  <c r="I202" i="4"/>
  <c r="I206" i="4"/>
  <c r="I164" i="4"/>
  <c r="I170" i="4"/>
  <c r="I173" i="4"/>
  <c r="I178" i="4"/>
  <c r="I171" i="4"/>
  <c r="I179" i="4"/>
  <c r="F10" i="4"/>
  <c r="H214" i="4"/>
  <c r="I214" i="4" s="1"/>
  <c r="I132" i="2"/>
  <c r="I133" i="2"/>
  <c r="H197" i="2"/>
  <c r="I197" i="2"/>
  <c r="I144" i="2"/>
  <c r="I134" i="2"/>
  <c r="I131" i="2"/>
  <c r="F11" i="2"/>
  <c r="G11" i="2"/>
  <c r="H159" i="2"/>
  <c r="I159" i="2" s="1"/>
  <c r="I163" i="2"/>
  <c r="H163" i="2"/>
  <c r="H166" i="2"/>
  <c r="I166" i="2"/>
  <c r="H173" i="2"/>
  <c r="I173" i="2" s="1"/>
  <c r="H179" i="2"/>
  <c r="I179" i="2" s="1"/>
  <c r="H183" i="2"/>
  <c r="I183" i="2"/>
  <c r="H186" i="2"/>
  <c r="I186" i="2" s="1"/>
  <c r="H193" i="2"/>
  <c r="I193" i="2" s="1"/>
  <c r="H198" i="2"/>
  <c r="I198" i="2" s="1"/>
  <c r="H204" i="2"/>
  <c r="I204" i="2" s="1"/>
  <c r="I120" i="4" l="1"/>
  <c r="H89" i="4"/>
  <c r="I89" i="4" s="1"/>
  <c r="I121" i="4"/>
  <c r="I102" i="4"/>
  <c r="H130" i="4"/>
  <c r="I130" i="4" s="1"/>
  <c r="H148" i="4"/>
  <c r="I148" i="4" s="1"/>
  <c r="H146" i="4"/>
  <c r="I146" i="4" s="1"/>
  <c r="H128" i="4"/>
  <c r="I128" i="4" s="1"/>
  <c r="I196" i="4"/>
  <c r="H145" i="4"/>
  <c r="I145" i="4" s="1"/>
  <c r="I105" i="4"/>
  <c r="I184" i="4"/>
  <c r="H100" i="4"/>
  <c r="I100" i="4" s="1"/>
  <c r="H129" i="4"/>
  <c r="I129" i="4" s="1"/>
  <c r="H153" i="4"/>
  <c r="I153" i="4" s="1"/>
  <c r="G92" i="4"/>
  <c r="H92" i="4" s="1"/>
  <c r="G97" i="4"/>
  <c r="H97" i="4" s="1"/>
  <c r="G137" i="4"/>
  <c r="H137" i="4" s="1"/>
  <c r="G113" i="4"/>
  <c r="H113" i="4" s="1"/>
  <c r="I113" i="4" s="1"/>
  <c r="H116" i="4"/>
  <c r="I116" i="4" s="1"/>
  <c r="G10" i="4"/>
  <c r="H11" i="2"/>
  <c r="I11" i="2" s="1"/>
  <c r="I137" i="4" l="1"/>
  <c r="I97" i="4"/>
  <c r="I92" i="4"/>
  <c r="H10" i="4"/>
  <c r="I10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20F2E9-AB6A-4467-B251-33889E6D6DA0}" keepAlive="1" name="Query - Costi Personale ACT" description="Connection to the 'Costi Personale ACT' query in the workbook." type="5" refreshedVersion="8" background="1" saveData="1">
    <dbPr connection="Provider=Microsoft.Mashup.OleDb.1;Data Source=$Workbook$;Location=&quot;Costi Personale ACT&quot;;Extended Properties=&quot;&quot;" command="SELECT * FROM [Costi Personale ACT]"/>
  </connection>
  <connection id="2" xr16:uid="{330B4E41-D511-4850-89F9-1B710881619E}" keepAlive="1" name="Query - DB_ACT MoM" description="Connection to the 'DB_ACT MoM' query in the workbook." type="5" refreshedVersion="0" background="1">
    <dbPr connection="Provider=Microsoft.Mashup.OleDb.1;Data Source=$Workbook$;Location=&quot;DB_ACT MoM&quot;;Extended Properties=&quot;&quot;" command="SELECT * FROM [DB_ACT MoM]"/>
  </connection>
  <connection id="3" xr16:uid="{4FA1529F-D884-482F-8535-DF85F335B662}" keepAlive="1" name="Query - DB_ACT Ore MoM" description="Connection to the 'DB_ACT Ore MoM' query in the workbook." type="5" refreshedVersion="0" background="1">
    <dbPr connection="Provider=Microsoft.Mashup.OleDb.1;Data Source=$Workbook$;Location=&quot;DB_ACT Ore MoM&quot;;Extended Properties=&quot;&quot;" command="SELECT * FROM [DB_ACT Ore MoM]"/>
  </connection>
  <connection id="4" xr16:uid="{A487DEC1-C4DB-4C19-A576-696BAF8B0EDE}" keepAlive="1" name="Query - DB_BDG MoM" description="Connection to the 'DB_BDG MoM' query in the workbook." type="5" refreshedVersion="0" background="1">
    <dbPr connection="Provider=Microsoft.Mashup.OleDb.1;Data Source=$Workbook$;Location=&quot;DB_BDG MoM&quot;;Extended Properties=&quot;&quot;" command="SELECT * FROM [DB_BDG MoM]"/>
  </connection>
  <connection id="5" xr16:uid="{46BD37BF-C17B-447D-9C44-9FD591B53425}" keepAlive="1" name="Query - DB_Varianza BdgAct" description="Connection to the 'DB_Varianza BdgAct' query in the workbook." type="5" refreshedVersion="8" background="1" saveData="1">
    <dbPr connection="Provider=Microsoft.Mashup.OleDb.1;Data Source=$Workbook$;Location=&quot;DB_Varianza BdgAct&quot;;Extended Properties=&quot;&quot;" command="SELECT * FROM [DB_Varianza BdgAct]"/>
  </connection>
  <connection id="6" xr16:uid="{0CE8FADD-97CD-46C2-BC37-BA47FF4A699E}" keepAlive="1" name="Query - Index_Costo" description="Connection to the 'Index_Costo' query in the workbook." type="5" refreshedVersion="8" background="1" saveData="1">
    <dbPr connection="Provider=Microsoft.Mashup.OleDb.1;Data Source=$Workbook$;Location=Index_Costo;Extended Properties=&quot;&quot;" command="SELECT * FROM [Index_Costo]"/>
  </connection>
  <connection id="7" xr16:uid="{D791CC80-4102-4751-9431-B84684D87184}" keepAlive="1" name="Query - Index_Ore" description="Connection to the 'Index_Ore' query in the workbook." type="5" refreshedVersion="8" background="1" saveData="1">
    <dbPr connection="Provider=Microsoft.Mashup.OleDb.1;Data Source=$Workbook$;Location=Index_Ore;Extended Properties=&quot;&quot;" command="SELECT * FROM [Index_Ore]"/>
  </connection>
  <connection id="8" xr16:uid="{177E423C-C3D6-499F-B0B1-5275D1434538}" keepAlive="1" name="Query - LuT_CdC" description="Connection to the 'LuT_CdC' query in the workbook." type="5" refreshedVersion="0" background="1">
    <dbPr connection="Provider=Microsoft.Mashup.OleDb.1;Data Source=$Workbook$;Location=LuT_CdC;Extended Properties=&quot;&quot;" command="SELECT * FROM [LuT_CdC]"/>
  </connection>
  <connection id="9" xr16:uid="{4D0203BA-5DDD-4C14-AB7E-036113DD6667}" keepAlive="1" name="Query - LuT_Mesi" description="Connection to the 'LuT_Mesi' query in the workbook." type="5" refreshedVersion="0" background="1">
    <dbPr connection="Provider=Microsoft.Mashup.OleDb.1;Data Source=$Workbook$;Location=LuT_Mesi;Extended Properties=&quot;&quot;" command="SELECT * FROM [LuT_Mesi]"/>
  </connection>
  <connection id="10" xr16:uid="{EDD45D61-BD3B-4EF1-8202-FD58AB462A1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11" xr16:uid="{0814BB3D-5EA6-489D-B5DC-F1E48D8AA3D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2" xr16:uid="{935171CC-59A6-4872-A046-99988924F90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3" xr16:uid="{0B1BBD97-303B-4367-879F-A1E6B8D5146D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<sst xmlns="http://schemas.openxmlformats.org/spreadsheetml/2006/main" count="13082" uniqueCount="816">
  <si>
    <t>Centro di Costo</t>
  </si>
  <si>
    <t>Descrizione</t>
  </si>
  <si>
    <t>P01 - CONFEZIONAMENTO PDT</t>
  </si>
  <si>
    <t>P02 - QC- STIRO - PACK</t>
  </si>
  <si>
    <t>P05 - PROTOTIPIA PDT</t>
  </si>
  <si>
    <t>P06 - CARCERE PDT</t>
  </si>
  <si>
    <t>A06 - LOGIST/MAGAZ AUSIL</t>
  </si>
  <si>
    <t>A07 - OPERATION AUSIL</t>
  </si>
  <si>
    <t>A08 - UFF.PRODOTTO AUSIL</t>
  </si>
  <si>
    <t>A09 - TEMPI E METOD AUSIL</t>
  </si>
  <si>
    <t>A10 - COORD.CARCERE AUSIL</t>
  </si>
  <si>
    <t>S10 - AMM DIREZ STRUTTURA</t>
  </si>
  <si>
    <t>S11 - PERS&amp;PROG STRUTTURA</t>
  </si>
  <si>
    <t>S12 - COMM. MKTG. RETAIL</t>
  </si>
  <si>
    <t>S13 - PROGETTO YEAH</t>
  </si>
  <si>
    <t>P07 - TAGLIO</t>
  </si>
  <si>
    <t>Row Labels</t>
  </si>
  <si>
    <t>ORE LAV.</t>
  </si>
  <si>
    <t xml:space="preserve">ACTUAL </t>
  </si>
  <si>
    <t xml:space="preserve">BUDGET </t>
  </si>
  <si>
    <t>SCOST.</t>
  </si>
  <si>
    <t xml:space="preserve">(%) </t>
  </si>
  <si>
    <t>Grand Total</t>
  </si>
  <si>
    <t>Matricola</t>
  </si>
  <si>
    <t>Dipendente</t>
  </si>
  <si>
    <t>Mese</t>
  </si>
  <si>
    <t>Ore Lav</t>
  </si>
  <si>
    <t>Actual</t>
  </si>
  <si>
    <t>Budget</t>
  </si>
  <si>
    <t>50</t>
  </si>
  <si>
    <t>FENG XIUHUA</t>
  </si>
  <si>
    <t>240</t>
  </si>
  <si>
    <t>VALBUSA VALERIA</t>
  </si>
  <si>
    <t>550</t>
  </si>
  <si>
    <t>ZANARDO FABIANA</t>
  </si>
  <si>
    <t>590</t>
  </si>
  <si>
    <t>RIGHETTI FLAVIA</t>
  </si>
  <si>
    <t>600</t>
  </si>
  <si>
    <t>MOLINARI LAURA</t>
  </si>
  <si>
    <t>620</t>
  </si>
  <si>
    <t>ANSELMI IVA</t>
  </si>
  <si>
    <t>150</t>
  </si>
  <si>
    <t>ENGUIX GRIMALTOS GEMA MARIA</t>
  </si>
  <si>
    <t>260</t>
  </si>
  <si>
    <t>AVESANI SILVIA</t>
  </si>
  <si>
    <t>420</t>
  </si>
  <si>
    <t>LUCACI ANGELICA</t>
  </si>
  <si>
    <t>310</t>
  </si>
  <si>
    <t>ALDEGHERI MARA</t>
  </si>
  <si>
    <t>640</t>
  </si>
  <si>
    <t>DEDAJ EGLANTINA</t>
  </si>
  <si>
    <t>270</t>
  </si>
  <si>
    <t>FISCALE ANNA</t>
  </si>
  <si>
    <t>440</t>
  </si>
  <si>
    <t>BIGHINATI GIADA</t>
  </si>
  <si>
    <t>380</t>
  </si>
  <si>
    <t>CAMERARIA GIORGIA</t>
  </si>
  <si>
    <t>540</t>
  </si>
  <si>
    <t>LOTTI FABIO</t>
  </si>
  <si>
    <t>670</t>
  </si>
  <si>
    <t>GIANCRISTOFARO SIMONA</t>
  </si>
  <si>
    <t>680</t>
  </si>
  <si>
    <t>MADUEKE IJEOMA</t>
  </si>
  <si>
    <t>690</t>
  </si>
  <si>
    <t>MEZOUEL ONS</t>
  </si>
  <si>
    <t>700</t>
  </si>
  <si>
    <t>XIA RONGJUN</t>
  </si>
  <si>
    <t>780</t>
  </si>
  <si>
    <t>SANNEH SHERIFO</t>
  </si>
  <si>
    <t>800</t>
  </si>
  <si>
    <t>SAAD NAJAT</t>
  </si>
  <si>
    <t>830</t>
  </si>
  <si>
    <t>MIA ELIAS</t>
  </si>
  <si>
    <t>870</t>
  </si>
  <si>
    <t>ZEID GHANIA</t>
  </si>
  <si>
    <t>920</t>
  </si>
  <si>
    <t>HASSAN MD RASHED</t>
  </si>
  <si>
    <t>940</t>
  </si>
  <si>
    <t>RIGHETTI MICHELE</t>
  </si>
  <si>
    <t>990</t>
  </si>
  <si>
    <t>PARRELLA MARIA CRISTINA</t>
  </si>
  <si>
    <t>1000</t>
  </si>
  <si>
    <t>ILIE FLORENTINA</t>
  </si>
  <si>
    <t>1060</t>
  </si>
  <si>
    <t>VALOTTO VALERIA</t>
  </si>
  <si>
    <t>1080</t>
  </si>
  <si>
    <t>SAKA EDMUND OFORI</t>
  </si>
  <si>
    <t>1130</t>
  </si>
  <si>
    <t>DAL CORTIVO EMMA</t>
  </si>
  <si>
    <t>1190</t>
  </si>
  <si>
    <t>PENAZZI MARCO</t>
  </si>
  <si>
    <t>1230</t>
  </si>
  <si>
    <t>BUSETTO MONICA</t>
  </si>
  <si>
    <t>1270</t>
  </si>
  <si>
    <t>DOBRE ANICA</t>
  </si>
  <si>
    <t>1280</t>
  </si>
  <si>
    <t>BOITAN MIHAELA</t>
  </si>
  <si>
    <t>1290</t>
  </si>
  <si>
    <t>ZULLO STEFANIA</t>
  </si>
  <si>
    <t>1300</t>
  </si>
  <si>
    <t>CAMPARA ELISABETTA</t>
  </si>
  <si>
    <t>1330</t>
  </si>
  <si>
    <t>TAMIMOUNT MOHAMED LAMINE</t>
  </si>
  <si>
    <t>1360</t>
  </si>
  <si>
    <t>LIZZARI MARISA</t>
  </si>
  <si>
    <t>1370</t>
  </si>
  <si>
    <t>PUNGA FILOFTEIA NICOLETA</t>
  </si>
  <si>
    <t>1380</t>
  </si>
  <si>
    <t>IONEL RAMONA MARIA</t>
  </si>
  <si>
    <t>1430</t>
  </si>
  <si>
    <t>PINALI ENRICO</t>
  </si>
  <si>
    <t>1480</t>
  </si>
  <si>
    <t>ANDREOLI MARCO</t>
  </si>
  <si>
    <t>1490</t>
  </si>
  <si>
    <t>MENEGHELLO SARA</t>
  </si>
  <si>
    <t>1560</t>
  </si>
  <si>
    <t>RASHA LEONORE</t>
  </si>
  <si>
    <t>1600</t>
  </si>
  <si>
    <t>NATALE GIOVANNA</t>
  </si>
  <si>
    <t>1650</t>
  </si>
  <si>
    <t>SINATRA FLORA</t>
  </si>
  <si>
    <t>1680</t>
  </si>
  <si>
    <t>OALA MARICELA</t>
  </si>
  <si>
    <t>1770</t>
  </si>
  <si>
    <t>FALCHETTO JEAN LUCA</t>
  </si>
  <si>
    <t>1790</t>
  </si>
  <si>
    <t>OLARIU MIHAELA</t>
  </si>
  <si>
    <t>1820</t>
  </si>
  <si>
    <t>TESINI MARINA</t>
  </si>
  <si>
    <t>1850</t>
  </si>
  <si>
    <t>BARBAGALLO VALENTINA</t>
  </si>
  <si>
    <t>1860</t>
  </si>
  <si>
    <t>FRACASSO BARBARA</t>
  </si>
  <si>
    <t>2080</t>
  </si>
  <si>
    <t>EVANS QUEEN</t>
  </si>
  <si>
    <t>2280</t>
  </si>
  <si>
    <t>AKPOYIBO BRIDGET</t>
  </si>
  <si>
    <t>2440</t>
  </si>
  <si>
    <t>USMAN AMINA</t>
  </si>
  <si>
    <t>2660</t>
  </si>
  <si>
    <t>TOSCO ALFRIANA FRANCHESCA</t>
  </si>
  <si>
    <t>2710</t>
  </si>
  <si>
    <t>DOBRE GINA RAMONA</t>
  </si>
  <si>
    <t>2730</t>
  </si>
  <si>
    <t>CUSTURA' ELENA LAURA</t>
  </si>
  <si>
    <t>2960</t>
  </si>
  <si>
    <t>GATTO STEFANO</t>
  </si>
  <si>
    <t>3120</t>
  </si>
  <si>
    <t>PASQUALI GIULIA</t>
  </si>
  <si>
    <t>3240</t>
  </si>
  <si>
    <t>CORCHERO REDONDO CANDELA</t>
  </si>
  <si>
    <t>3260</t>
  </si>
  <si>
    <t>BOSIO STELLA</t>
  </si>
  <si>
    <t>3320</t>
  </si>
  <si>
    <t>WAHAB AHMED KERYA</t>
  </si>
  <si>
    <t>3450</t>
  </si>
  <si>
    <t>CUSTURA' MARIAN</t>
  </si>
  <si>
    <t>3480</t>
  </si>
  <si>
    <t>BERDICA ARDIANA</t>
  </si>
  <si>
    <t>3550</t>
  </si>
  <si>
    <t>OBINNA GIFT</t>
  </si>
  <si>
    <t>3590</t>
  </si>
  <si>
    <t>CENTO VANESSA</t>
  </si>
  <si>
    <t>3660</t>
  </si>
  <si>
    <t>BERTOLDI ALESSANDRA</t>
  </si>
  <si>
    <t>3960</t>
  </si>
  <si>
    <t>EMENE BLESSING</t>
  </si>
  <si>
    <t>3970</t>
  </si>
  <si>
    <t>OROGUN SONIA ONOME</t>
  </si>
  <si>
    <t>3980</t>
  </si>
  <si>
    <t>EKWE RUTH</t>
  </si>
  <si>
    <t>4050</t>
  </si>
  <si>
    <t>COLAVECCHIA CINZIA</t>
  </si>
  <si>
    <t>4060</t>
  </si>
  <si>
    <t>BORGATTI ROBERTA</t>
  </si>
  <si>
    <t>4120</t>
  </si>
  <si>
    <t>RUBIO AREVALO CATALINA</t>
  </si>
  <si>
    <t>4140</t>
  </si>
  <si>
    <t>DHIF FAOUZIA</t>
  </si>
  <si>
    <t>4180</t>
  </si>
  <si>
    <t>PASQUALI ELENA</t>
  </si>
  <si>
    <t>4210</t>
  </si>
  <si>
    <t>FRONTERA GIUSIANA</t>
  </si>
  <si>
    <t>4260</t>
  </si>
  <si>
    <t>KHONDOKAR SURUJ</t>
  </si>
  <si>
    <t>4290</t>
  </si>
  <si>
    <t>ARAUJO ARLETE</t>
  </si>
  <si>
    <t>4300</t>
  </si>
  <si>
    <t>MAESTRELLO FRANCO</t>
  </si>
  <si>
    <t>4320</t>
  </si>
  <si>
    <t>HUSSAIN SYED ALTAF</t>
  </si>
  <si>
    <t>4340</t>
  </si>
  <si>
    <t>MUNTEANU NATALIA</t>
  </si>
  <si>
    <t>4370</t>
  </si>
  <si>
    <t>VINCO CATERINA EMANUELA</t>
  </si>
  <si>
    <t>4400</t>
  </si>
  <si>
    <t>MARINARO LIDIA</t>
  </si>
  <si>
    <t>4510</t>
  </si>
  <si>
    <t>QUARSHIE EMELIA KOMECHOE</t>
  </si>
  <si>
    <t>4600</t>
  </si>
  <si>
    <t>GIULIANO FRANCESCA</t>
  </si>
  <si>
    <t>4620</t>
  </si>
  <si>
    <t>TORNIERI RITA</t>
  </si>
  <si>
    <t>4710</t>
  </si>
  <si>
    <t>ATMAOUI AZIZA</t>
  </si>
  <si>
    <t>4730</t>
  </si>
  <si>
    <t>ZUCCHETTI ROSANNA</t>
  </si>
  <si>
    <t>4740</t>
  </si>
  <si>
    <t>ANONGBO EBBAH CHRISTINE</t>
  </si>
  <si>
    <t>4760</t>
  </si>
  <si>
    <t>ZANOLLI BARBARA</t>
  </si>
  <si>
    <t>4800</t>
  </si>
  <si>
    <t>BORLOVAN ALINA</t>
  </si>
  <si>
    <t>4870</t>
  </si>
  <si>
    <t>DELLEDONNE ISABELLA</t>
  </si>
  <si>
    <t>4880</t>
  </si>
  <si>
    <t>MOLINARI MILENA</t>
  </si>
  <si>
    <t>4930</t>
  </si>
  <si>
    <t>PETRACHE GEORGIANA</t>
  </si>
  <si>
    <t>5000</t>
  </si>
  <si>
    <t>HOSSAIN SHAMEM</t>
  </si>
  <si>
    <t>5010</t>
  </si>
  <si>
    <t>AKL MOSTAFA EL BASSIOUNI</t>
  </si>
  <si>
    <t>5040</t>
  </si>
  <si>
    <t>MEATTINI CLARA</t>
  </si>
  <si>
    <t>5090</t>
  </si>
  <si>
    <t>GYAMBRAH GEORGE KIGSLEY</t>
  </si>
  <si>
    <t>5110</t>
  </si>
  <si>
    <t>MAZZON LEONORA</t>
  </si>
  <si>
    <t>5170</t>
  </si>
  <si>
    <t>CHIARINI LORENZA</t>
  </si>
  <si>
    <t>5250</t>
  </si>
  <si>
    <t>GHAFOOR HAROON</t>
  </si>
  <si>
    <t>5290</t>
  </si>
  <si>
    <t>SPANACHI ALINA ANDREEA</t>
  </si>
  <si>
    <t>5300</t>
  </si>
  <si>
    <t>CHARFI BOUCHRA</t>
  </si>
  <si>
    <t>5320</t>
  </si>
  <si>
    <t>FERREIRA EDLAINE</t>
  </si>
  <si>
    <t>5330</t>
  </si>
  <si>
    <t>PATRIGNANI LEA</t>
  </si>
  <si>
    <t>5340</t>
  </si>
  <si>
    <t>LIVIERO MARTINA</t>
  </si>
  <si>
    <t>5350</t>
  </si>
  <si>
    <t>GUARNIERI ANNALISA</t>
  </si>
  <si>
    <t>5370</t>
  </si>
  <si>
    <t>AGHAHOWA STELLA</t>
  </si>
  <si>
    <t>5400</t>
  </si>
  <si>
    <t>MARANGONI ALESSANDRO</t>
  </si>
  <si>
    <t>5410</t>
  </si>
  <si>
    <t>QASIM MUHAMMAD</t>
  </si>
  <si>
    <t>5420</t>
  </si>
  <si>
    <t>CERPELLONI ANNA</t>
  </si>
  <si>
    <t>5430</t>
  </si>
  <si>
    <t>OWOLABI FELIX</t>
  </si>
  <si>
    <t>5440</t>
  </si>
  <si>
    <t>EKAIRIA FAITH</t>
  </si>
  <si>
    <t>5460</t>
  </si>
  <si>
    <t>FURLAN LUANA</t>
  </si>
  <si>
    <t>5470</t>
  </si>
  <si>
    <t>SHAFEEQ AHMED</t>
  </si>
  <si>
    <t>5480</t>
  </si>
  <si>
    <t>CABIANCA ALESSIA</t>
  </si>
  <si>
    <t>5510</t>
  </si>
  <si>
    <t>LUPU GIANINA LACRAMIOARA</t>
  </si>
  <si>
    <t>5520</t>
  </si>
  <si>
    <t>RAMPONI ALESSANDRO</t>
  </si>
  <si>
    <t>5530</t>
  </si>
  <si>
    <t>CAMARA MARIZA</t>
  </si>
  <si>
    <t>5550</t>
  </si>
  <si>
    <t>ALI ZEESHAN</t>
  </si>
  <si>
    <t>5570</t>
  </si>
  <si>
    <t>VENERI PAOLA</t>
  </si>
  <si>
    <t>5580</t>
  </si>
  <si>
    <t>SAMAKE SOULEYMANE</t>
  </si>
  <si>
    <t>5590</t>
  </si>
  <si>
    <t>BULAT MARIA</t>
  </si>
  <si>
    <t>5600</t>
  </si>
  <si>
    <t>AL RAIMI AMEEN MOHAMMED</t>
  </si>
  <si>
    <t>5620</t>
  </si>
  <si>
    <t>OKOH VIVIAN</t>
  </si>
  <si>
    <t>5630</t>
  </si>
  <si>
    <t>SPAGNOLO DAVIDE</t>
  </si>
  <si>
    <t>5640</t>
  </si>
  <si>
    <t>HUANG SHAN MEI</t>
  </si>
  <si>
    <t>5660</t>
  </si>
  <si>
    <t>TRAINOTTI STEFANIA</t>
  </si>
  <si>
    <t>5670</t>
  </si>
  <si>
    <t>AGAPIE MIHAITA</t>
  </si>
  <si>
    <t>5680</t>
  </si>
  <si>
    <t>STURZA RUSLAN</t>
  </si>
  <si>
    <t>5690</t>
  </si>
  <si>
    <t>BAROZZI VALENTINA</t>
  </si>
  <si>
    <t>5700</t>
  </si>
  <si>
    <t>MIRISAGE FERNANDO RASIKA CHANDANEE</t>
  </si>
  <si>
    <t>5720</t>
  </si>
  <si>
    <t>ANTWI ANTHONY</t>
  </si>
  <si>
    <t>5740</t>
  </si>
  <si>
    <t>ABDULLAH MUHAMMAD</t>
  </si>
  <si>
    <t>5750</t>
  </si>
  <si>
    <t>FASOLI GIULIA</t>
  </si>
  <si>
    <t>5760</t>
  </si>
  <si>
    <t>DAL CERO NADIA</t>
  </si>
  <si>
    <t>5770</t>
  </si>
  <si>
    <t>DOBANDA ADRIANA</t>
  </si>
  <si>
    <t>5780</t>
  </si>
  <si>
    <t>ALOUI ABDERRAHMAN</t>
  </si>
  <si>
    <t>5790</t>
  </si>
  <si>
    <t>GIACOMAZZI MARA</t>
  </si>
  <si>
    <t>5800</t>
  </si>
  <si>
    <t>BEE AGNESE</t>
  </si>
  <si>
    <t>5810</t>
  </si>
  <si>
    <t>TASELLARI ENEIDA</t>
  </si>
  <si>
    <t>5820</t>
  </si>
  <si>
    <t>VIRSCHII ANDREEA</t>
  </si>
  <si>
    <t>5830</t>
  </si>
  <si>
    <t>EKOH FIDELIS IKEVILO</t>
  </si>
  <si>
    <t>5840</t>
  </si>
  <si>
    <t>HOBORICI IULIANA GABRIELA</t>
  </si>
  <si>
    <t>5850</t>
  </si>
  <si>
    <t>MALAFFO LORETTA</t>
  </si>
  <si>
    <t>5860</t>
  </si>
  <si>
    <t>UR RAHMAN DAUD</t>
  </si>
  <si>
    <t>5870</t>
  </si>
  <si>
    <t>GRASSO GRETA</t>
  </si>
  <si>
    <t>5880</t>
  </si>
  <si>
    <t>WALLNER LUCA</t>
  </si>
  <si>
    <t>5890</t>
  </si>
  <si>
    <t>CALORE MADDALENA</t>
  </si>
  <si>
    <t>5900</t>
  </si>
  <si>
    <t>POLTRONIERI PAOLO GIUSEPPE</t>
  </si>
  <si>
    <t>5910</t>
  </si>
  <si>
    <t>BACJA BLEDAR</t>
  </si>
  <si>
    <t>5920</t>
  </si>
  <si>
    <t>URSO ADRIANO</t>
  </si>
  <si>
    <t>5940</t>
  </si>
  <si>
    <t>FERRARESE GIULIA</t>
  </si>
  <si>
    <t>80520</t>
  </si>
  <si>
    <t>ELEMETA EJOH MITTERAND</t>
  </si>
  <si>
    <t>80550</t>
  </si>
  <si>
    <t>CAGALLI MARTINA</t>
  </si>
  <si>
    <t>80560</t>
  </si>
  <si>
    <t>BERNARDO PAMELA</t>
  </si>
  <si>
    <t>80570</t>
  </si>
  <si>
    <t>80580</t>
  </si>
  <si>
    <t>FLORIANI SOLEIMA</t>
  </si>
  <si>
    <t>80590</t>
  </si>
  <si>
    <t>SECHI VALERIA</t>
  </si>
  <si>
    <t>80610</t>
  </si>
  <si>
    <t>80620</t>
  </si>
  <si>
    <t>ASIBOR HOPE</t>
  </si>
  <si>
    <t>80630</t>
  </si>
  <si>
    <t>SALBEGO SARA</t>
  </si>
  <si>
    <t>80640</t>
  </si>
  <si>
    <t>YOUSEF ELIAS MILAD</t>
  </si>
  <si>
    <t>80650</t>
  </si>
  <si>
    <t>PROFIR CRISTIAN</t>
  </si>
  <si>
    <t>80660</t>
  </si>
  <si>
    <t>KOLA ALBANA</t>
  </si>
  <si>
    <t>80670</t>
  </si>
  <si>
    <t>SIGNORATO GIOVANNI</t>
  </si>
  <si>
    <t>80680</t>
  </si>
  <si>
    <t>BOUGHANMI THORAYA</t>
  </si>
  <si>
    <t>80690</t>
  </si>
  <si>
    <t>SPREA LAURA</t>
  </si>
  <si>
    <t>100000</t>
  </si>
  <si>
    <t>5930</t>
  </si>
  <si>
    <t>ZAMBELLI FRANCESCA</t>
  </si>
  <si>
    <t>5950</t>
  </si>
  <si>
    <t>JANCE KLARITA</t>
  </si>
  <si>
    <t>5960</t>
  </si>
  <si>
    <t>5970</t>
  </si>
  <si>
    <t>OPPI BEATRICE</t>
  </si>
  <si>
    <t>5980</t>
  </si>
  <si>
    <t>BENINI CHIARA</t>
  </si>
  <si>
    <t>5990</t>
  </si>
  <si>
    <t>QUATTRINA ADELE</t>
  </si>
  <si>
    <t>6000</t>
  </si>
  <si>
    <t>MURARI CARLOTTA</t>
  </si>
  <si>
    <t>6010</t>
  </si>
  <si>
    <t>6020</t>
  </si>
  <si>
    <t>6030</t>
  </si>
  <si>
    <t>VELTRI ANGELO</t>
  </si>
  <si>
    <t>6040</t>
  </si>
  <si>
    <t>6050</t>
  </si>
  <si>
    <t>MANFRIN ELENA</t>
  </si>
  <si>
    <t>6060</t>
  </si>
  <si>
    <t>MASIH LIAQAT</t>
  </si>
  <si>
    <t>6070</t>
  </si>
  <si>
    <t>RIMBU SVETLANA</t>
  </si>
  <si>
    <t>6080</t>
  </si>
  <si>
    <t>BALTATESCU IULIAN</t>
  </si>
  <si>
    <t>6090</t>
  </si>
  <si>
    <t>TIOZZO COMPINI MONICA</t>
  </si>
  <si>
    <t>6100</t>
  </si>
  <si>
    <t>ACHIUWA MARGARET CHIDI</t>
  </si>
  <si>
    <t>6110</t>
  </si>
  <si>
    <t>80710</t>
  </si>
  <si>
    <t>TANTO GINEVRA</t>
  </si>
  <si>
    <t>6120</t>
  </si>
  <si>
    <t>VINCO LAURA</t>
  </si>
  <si>
    <t>6130</t>
  </si>
  <si>
    <t>6140</t>
  </si>
  <si>
    <t>80700</t>
  </si>
  <si>
    <t>FISCALE TOMMASO</t>
  </si>
  <si>
    <t>80720</t>
  </si>
  <si>
    <t>FOKS MONICA</t>
  </si>
  <si>
    <t>80730</t>
  </si>
  <si>
    <t>MOHAMED LATIF MOHAMED RIYAZ</t>
  </si>
  <si>
    <t>80740</t>
  </si>
  <si>
    <t>OKOYORMON PETERS</t>
  </si>
  <si>
    <t>80750</t>
  </si>
  <si>
    <t>IOVITA ECATERINA</t>
  </si>
  <si>
    <t>80760</t>
  </si>
  <si>
    <t>SINGH HARJINDER</t>
  </si>
  <si>
    <t>80770</t>
  </si>
  <si>
    <t>ENABUELE QUEEN</t>
  </si>
  <si>
    <t>5251</t>
  </si>
  <si>
    <t>6150</t>
  </si>
  <si>
    <t>80780</t>
  </si>
  <si>
    <t>LISNIC NICOLETA</t>
  </si>
  <si>
    <t>80790</t>
  </si>
  <si>
    <t>ILEA ADINA RODICA</t>
  </si>
  <si>
    <t>80800</t>
  </si>
  <si>
    <t>VAROTTO TAMARA</t>
  </si>
  <si>
    <t>EUSEBIO CAMILLA</t>
  </si>
  <si>
    <t>80600</t>
  </si>
  <si>
    <t>IGUMA MATHIDA</t>
  </si>
  <si>
    <t>PAGANOTTO SARA</t>
  </si>
  <si>
    <t>CHAFAI HICHAM</t>
  </si>
  <si>
    <t>SCHERILLO ENRICA</t>
  </si>
  <si>
    <t>MANIABOSCO GIORGIA</t>
  </si>
  <si>
    <t>Name</t>
  </si>
  <si>
    <t>Cognome</t>
  </si>
  <si>
    <t>Nome</t>
  </si>
  <si>
    <t>Ore Lavorate PRG</t>
  </si>
  <si>
    <t>Totale A.C. PRG</t>
  </si>
  <si>
    <t>FENG</t>
  </si>
  <si>
    <t>XIUHUA</t>
  </si>
  <si>
    <t>VALBUSA</t>
  </si>
  <si>
    <t>VALERIA</t>
  </si>
  <si>
    <t>ZANARDO</t>
  </si>
  <si>
    <t>FABIANA</t>
  </si>
  <si>
    <t>RIGHETTI</t>
  </si>
  <si>
    <t>FLAVIA</t>
  </si>
  <si>
    <t>MOLINARI</t>
  </si>
  <si>
    <t>LAURA</t>
  </si>
  <si>
    <t>ANSELMI</t>
  </si>
  <si>
    <t>IVA</t>
  </si>
  <si>
    <t>ENGUIX GRIMALTOS</t>
  </si>
  <si>
    <t>GEMA MARIA</t>
  </si>
  <si>
    <t>AVESANI</t>
  </si>
  <si>
    <t>SILVIA</t>
  </si>
  <si>
    <t>LUCACI</t>
  </si>
  <si>
    <t>ANGELICA</t>
  </si>
  <si>
    <t>ALDEGHERI</t>
  </si>
  <si>
    <t>MARA</t>
  </si>
  <si>
    <t>DEDAJ</t>
  </si>
  <si>
    <t>EGLANTINA</t>
  </si>
  <si>
    <t>FISCALE</t>
  </si>
  <si>
    <t>ANNA</t>
  </si>
  <si>
    <t>BIGHINATI</t>
  </si>
  <si>
    <t>GIADA</t>
  </si>
  <si>
    <t>CAMERARIA</t>
  </si>
  <si>
    <t>GIORGIA</t>
  </si>
  <si>
    <t>LOTTI</t>
  </si>
  <si>
    <t>FABIO</t>
  </si>
  <si>
    <t>GIANCRISTOFARO</t>
  </si>
  <si>
    <t>SIMONA</t>
  </si>
  <si>
    <t>MADUEKE</t>
  </si>
  <si>
    <t>IJEOMA</t>
  </si>
  <si>
    <t>MEZOUEL</t>
  </si>
  <si>
    <t>ONS</t>
  </si>
  <si>
    <t>XIA</t>
  </si>
  <si>
    <t>RONGJUN</t>
  </si>
  <si>
    <t>SANNEH</t>
  </si>
  <si>
    <t>SHERIFO</t>
  </si>
  <si>
    <t>SAAD</t>
  </si>
  <si>
    <t>NAJAT</t>
  </si>
  <si>
    <t>MIA</t>
  </si>
  <si>
    <t>ELIAS</t>
  </si>
  <si>
    <t>ZEID</t>
  </si>
  <si>
    <t>GHANIA</t>
  </si>
  <si>
    <t>HASSAN</t>
  </si>
  <si>
    <t>MD RASHED</t>
  </si>
  <si>
    <t>MICHELE</t>
  </si>
  <si>
    <t>PARRELLA</t>
  </si>
  <si>
    <t>MARIA CRISTINA</t>
  </si>
  <si>
    <t>ILIE</t>
  </si>
  <si>
    <t>FLORENTINA</t>
  </si>
  <si>
    <t>VALOTTO</t>
  </si>
  <si>
    <t>SAKA</t>
  </si>
  <si>
    <t>EDMUND OFORI</t>
  </si>
  <si>
    <t>DAL CORTIVO</t>
  </si>
  <si>
    <t>EMMA</t>
  </si>
  <si>
    <t>PENAZZI</t>
  </si>
  <si>
    <t>MARCO</t>
  </si>
  <si>
    <t>BUSETTO</t>
  </si>
  <si>
    <t>MONICA</t>
  </si>
  <si>
    <t>DOBRE</t>
  </si>
  <si>
    <t>ANICA</t>
  </si>
  <si>
    <t>BOITAN</t>
  </si>
  <si>
    <t>MIHAELA</t>
  </si>
  <si>
    <t>ZULLO</t>
  </si>
  <si>
    <t>STEFANIA</t>
  </si>
  <si>
    <t>CAMPARA</t>
  </si>
  <si>
    <t>ELISABETTA</t>
  </si>
  <si>
    <t>TAMIMOUNT</t>
  </si>
  <si>
    <t>MOHAMED LAMINE</t>
  </si>
  <si>
    <t>LIZZARI</t>
  </si>
  <si>
    <t>MARISA</t>
  </si>
  <si>
    <t>PUNGA</t>
  </si>
  <si>
    <t>FILOFTEIA NICOLETA</t>
  </si>
  <si>
    <t>IONEL</t>
  </si>
  <si>
    <t>RAMONA MARIA</t>
  </si>
  <si>
    <t>PINALI</t>
  </si>
  <si>
    <t>ENRICO</t>
  </si>
  <si>
    <t>ANDREOLI</t>
  </si>
  <si>
    <t>MENEGHELLO</t>
  </si>
  <si>
    <t>SARA</t>
  </si>
  <si>
    <t>RASHA</t>
  </si>
  <si>
    <t>LEONORE</t>
  </si>
  <si>
    <t>NATALE</t>
  </si>
  <si>
    <t>GIOVANNA</t>
  </si>
  <si>
    <t>SINATRA</t>
  </si>
  <si>
    <t>FLORA</t>
  </si>
  <si>
    <t>OALA</t>
  </si>
  <si>
    <t>MARICELA</t>
  </si>
  <si>
    <t>FALCHETTO</t>
  </si>
  <si>
    <t>JEAN LUCA</t>
  </si>
  <si>
    <t>OLARIU</t>
  </si>
  <si>
    <t>TESINI</t>
  </si>
  <si>
    <t>MARINA</t>
  </si>
  <si>
    <t>BARBAGALLO</t>
  </si>
  <si>
    <t>VALENTINA</t>
  </si>
  <si>
    <t>FRACASSO</t>
  </si>
  <si>
    <t>BARBARA</t>
  </si>
  <si>
    <t>EVANS</t>
  </si>
  <si>
    <t>QUEEN</t>
  </si>
  <si>
    <t>AKPOYIBO</t>
  </si>
  <si>
    <t>BRIDGET</t>
  </si>
  <si>
    <t>USMAN</t>
  </si>
  <si>
    <t>AMINA</t>
  </si>
  <si>
    <t>TOSCO</t>
  </si>
  <si>
    <t>ALFRIANA FRANCHESCA</t>
  </si>
  <si>
    <t>GINA RAMONA</t>
  </si>
  <si>
    <t>CUSTURA'</t>
  </si>
  <si>
    <t>ELENA LAURA</t>
  </si>
  <si>
    <t>GATTO</t>
  </si>
  <si>
    <t>STEFANO</t>
  </si>
  <si>
    <t>PASQUALI</t>
  </si>
  <si>
    <t>GIULIA</t>
  </si>
  <si>
    <t>CORCHERO REDONDO</t>
  </si>
  <si>
    <t>CANDELA</t>
  </si>
  <si>
    <t>BOSIO</t>
  </si>
  <si>
    <t>STELLA</t>
  </si>
  <si>
    <t>WAHAB AHMED</t>
  </si>
  <si>
    <t>KERYA</t>
  </si>
  <si>
    <t>MARIAN</t>
  </si>
  <si>
    <t>BERDICA</t>
  </si>
  <si>
    <t>ARDIANA</t>
  </si>
  <si>
    <t>OBINNA</t>
  </si>
  <si>
    <t>GIFT</t>
  </si>
  <si>
    <t>CENTO</t>
  </si>
  <si>
    <t>VANESSA</t>
  </si>
  <si>
    <t>BERTOLDI</t>
  </si>
  <si>
    <t>ALESSANDRA</t>
  </si>
  <si>
    <t>EMENE</t>
  </si>
  <si>
    <t>BLESSING</t>
  </si>
  <si>
    <t>OROGUN</t>
  </si>
  <si>
    <t>SONIA ONOME</t>
  </si>
  <si>
    <t>EKWE</t>
  </si>
  <si>
    <t>RUTH</t>
  </si>
  <si>
    <t>COLAVECCHIA</t>
  </si>
  <si>
    <t>CINZIA</t>
  </si>
  <si>
    <t>BORGATTI</t>
  </si>
  <si>
    <t>ROBERTA</t>
  </si>
  <si>
    <t>RUBIO AREVALO</t>
  </si>
  <si>
    <t>CATALINA</t>
  </si>
  <si>
    <t>DHIF</t>
  </si>
  <si>
    <t>FAOUZIA</t>
  </si>
  <si>
    <t>ELENA</t>
  </si>
  <si>
    <t>FRONTERA</t>
  </si>
  <si>
    <t>GIUSIANA</t>
  </si>
  <si>
    <t>KHONDOKAR</t>
  </si>
  <si>
    <t>SURUJ</t>
  </si>
  <si>
    <t>ARAUJO</t>
  </si>
  <si>
    <t>ARLETE</t>
  </si>
  <si>
    <t>MAESTRELLO</t>
  </si>
  <si>
    <t>FRANCO</t>
  </si>
  <si>
    <t>HUSSAIN</t>
  </si>
  <si>
    <t>SYED ALTAF</t>
  </si>
  <si>
    <t>MUNTEANU</t>
  </si>
  <si>
    <t>NATALIA</t>
  </si>
  <si>
    <t>VINCO</t>
  </si>
  <si>
    <t>CATERINA EMANUELA</t>
  </si>
  <si>
    <t>MARINARO</t>
  </si>
  <si>
    <t>LIDIA</t>
  </si>
  <si>
    <t>QUARSHIE</t>
  </si>
  <si>
    <t>EMELIA KOMECHOE</t>
  </si>
  <si>
    <t>GIULIANO</t>
  </si>
  <si>
    <t>FRANCESCA</t>
  </si>
  <si>
    <t>TORNIERI</t>
  </si>
  <si>
    <t>RITA</t>
  </si>
  <si>
    <t>ATMAOUI</t>
  </si>
  <si>
    <t>AZIZA</t>
  </si>
  <si>
    <t>ZUCCHETTI</t>
  </si>
  <si>
    <t>ROSANNA</t>
  </si>
  <si>
    <t>ANONGBO</t>
  </si>
  <si>
    <t>EBBAH CHRISTINE</t>
  </si>
  <si>
    <t>ZANOLLI</t>
  </si>
  <si>
    <t>BORLOVAN</t>
  </si>
  <si>
    <t>ALINA</t>
  </si>
  <si>
    <t>DELLEDONNE</t>
  </si>
  <si>
    <t>ISABELLA</t>
  </si>
  <si>
    <t>MILENA</t>
  </si>
  <si>
    <t>PETRACHE</t>
  </si>
  <si>
    <t>GEORGIANA</t>
  </si>
  <si>
    <t>HOSSAIN</t>
  </si>
  <si>
    <t>SHAMEM</t>
  </si>
  <si>
    <t>AKL</t>
  </si>
  <si>
    <t>MOSTAFA EL BASSIOUNI</t>
  </si>
  <si>
    <t>MEATTINI</t>
  </si>
  <si>
    <t>CLARA</t>
  </si>
  <si>
    <t>GYAMBRAH</t>
  </si>
  <si>
    <t>GEORGE KIGSLEY</t>
  </si>
  <si>
    <t>MAZZON</t>
  </si>
  <si>
    <t>LEONORA</t>
  </si>
  <si>
    <t>CHIARINI</t>
  </si>
  <si>
    <t>LORENZA</t>
  </si>
  <si>
    <t>GHAFOOR</t>
  </si>
  <si>
    <t>HAROON</t>
  </si>
  <si>
    <t>SPANACHI</t>
  </si>
  <si>
    <t>ALINA ANDREEA</t>
  </si>
  <si>
    <t>CHARFI</t>
  </si>
  <si>
    <t>BOUCHRA</t>
  </si>
  <si>
    <t>FERREIRA</t>
  </si>
  <si>
    <t>EDLAINE</t>
  </si>
  <si>
    <t>PATRIGNANI</t>
  </si>
  <si>
    <t>LEA</t>
  </si>
  <si>
    <t>LIVIERO</t>
  </si>
  <si>
    <t>MARTINA</t>
  </si>
  <si>
    <t>GUARNIERI</t>
  </si>
  <si>
    <t>ANNALISA</t>
  </si>
  <si>
    <t>AGHAHOWA</t>
  </si>
  <si>
    <t>MARANGONI</t>
  </si>
  <si>
    <t>ALESSANDRO</t>
  </si>
  <si>
    <t>QASIM</t>
  </si>
  <si>
    <t>MUHAMMAD</t>
  </si>
  <si>
    <t>CERPELLONI</t>
  </si>
  <si>
    <t>OWOLABI</t>
  </si>
  <si>
    <t>FELIX</t>
  </si>
  <si>
    <t>EKAIRIA</t>
  </si>
  <si>
    <t>FAITH</t>
  </si>
  <si>
    <t>FURLAN</t>
  </si>
  <si>
    <t>LUANA</t>
  </si>
  <si>
    <t>SHAFEEQ</t>
  </si>
  <si>
    <t>AHMED</t>
  </si>
  <si>
    <t>CABIANCA</t>
  </si>
  <si>
    <t>ALESSIA</t>
  </si>
  <si>
    <t>LUPU</t>
  </si>
  <si>
    <t>GIANINA LACRAMIOARA</t>
  </si>
  <si>
    <t>RAMPONI</t>
  </si>
  <si>
    <t>CAMARA</t>
  </si>
  <si>
    <t>MARIZA</t>
  </si>
  <si>
    <t>ALI</t>
  </si>
  <si>
    <t>ZEESHAN</t>
  </si>
  <si>
    <t>VENERI</t>
  </si>
  <si>
    <t>PAOLA</t>
  </si>
  <si>
    <t>SAMAKE</t>
  </si>
  <si>
    <t>SOULEYMANE</t>
  </si>
  <si>
    <t>BULAT</t>
  </si>
  <si>
    <t>MARIA</t>
  </si>
  <si>
    <t>AL RAIMI</t>
  </si>
  <si>
    <t>AMEEN MOHAMMED</t>
  </si>
  <si>
    <t>OKOH</t>
  </si>
  <si>
    <t>VIVIAN</t>
  </si>
  <si>
    <t>SPAGNOLO</t>
  </si>
  <si>
    <t>DAVIDE</t>
  </si>
  <si>
    <t>HUANG</t>
  </si>
  <si>
    <t>SHAN MEI</t>
  </si>
  <si>
    <t>TRAINOTTI</t>
  </si>
  <si>
    <t>AGAPIE</t>
  </si>
  <si>
    <t>MIHAITA</t>
  </si>
  <si>
    <t>STURZA</t>
  </si>
  <si>
    <t>RUSLAN</t>
  </si>
  <si>
    <t>BAROZZI</t>
  </si>
  <si>
    <t>MIRISAGE FERNANDO</t>
  </si>
  <si>
    <t>RASIKA CHANDANEE</t>
  </si>
  <si>
    <t>ANTWI</t>
  </si>
  <si>
    <t>ANTHONY</t>
  </si>
  <si>
    <t>ABDULLAH</t>
  </si>
  <si>
    <t>FASOLI</t>
  </si>
  <si>
    <t>DAL CERO</t>
  </si>
  <si>
    <t>NADIA</t>
  </si>
  <si>
    <t>DOBANDA</t>
  </si>
  <si>
    <t>ADRIANA</t>
  </si>
  <si>
    <t>ALOUI</t>
  </si>
  <si>
    <t>ABDERRAHMAN</t>
  </si>
  <si>
    <t>GIACOMAZZI</t>
  </si>
  <si>
    <t>BEE</t>
  </si>
  <si>
    <t>AGNESE</t>
  </si>
  <si>
    <t>TASELLARI</t>
  </si>
  <si>
    <t>ENEIDA</t>
  </si>
  <si>
    <t>VIRSCHII</t>
  </si>
  <si>
    <t>ANDREEA</t>
  </si>
  <si>
    <t>EKOH</t>
  </si>
  <si>
    <t>FIDELIS IKEVILO</t>
  </si>
  <si>
    <t>HOBORICI</t>
  </si>
  <si>
    <t>IULIANA GABRIELA</t>
  </si>
  <si>
    <t>MALAFFO</t>
  </si>
  <si>
    <t>LORETTA</t>
  </si>
  <si>
    <t>UR RAHMAN</t>
  </si>
  <si>
    <t>DAUD</t>
  </si>
  <si>
    <t>GRASSO</t>
  </si>
  <si>
    <t>GRETA</t>
  </si>
  <si>
    <t>WALLNER</t>
  </si>
  <si>
    <t>LUCA</t>
  </si>
  <si>
    <t>CALORE</t>
  </si>
  <si>
    <t>MADDALENA</t>
  </si>
  <si>
    <t>POLTRONIERI</t>
  </si>
  <si>
    <t>PAOLO GIUSEPPE</t>
  </si>
  <si>
    <t>BACJA</t>
  </si>
  <si>
    <t>BLEDAR</t>
  </si>
  <si>
    <t>URSO</t>
  </si>
  <si>
    <t>ADRIANO</t>
  </si>
  <si>
    <t>FERRARESE</t>
  </si>
  <si>
    <t>ELEMETA EJOH</t>
  </si>
  <si>
    <t>MITTERAND</t>
  </si>
  <si>
    <t>CAGALLI</t>
  </si>
  <si>
    <t>BERNARDO</t>
  </si>
  <si>
    <t>PAMELA</t>
  </si>
  <si>
    <t>FLORIANI</t>
  </si>
  <si>
    <t>SOLEIMA</t>
  </si>
  <si>
    <t>SECHI</t>
  </si>
  <si>
    <t>IGUMA</t>
  </si>
  <si>
    <t>MATHIDA</t>
  </si>
  <si>
    <t>ASIBOR</t>
  </si>
  <si>
    <t>HOPE</t>
  </si>
  <si>
    <t>SALBEGO</t>
  </si>
  <si>
    <t>YOUSEF</t>
  </si>
  <si>
    <t>ELIAS MILAD</t>
  </si>
  <si>
    <t>PROFIR</t>
  </si>
  <si>
    <t>CRISTIAN</t>
  </si>
  <si>
    <t>KOLA</t>
  </si>
  <si>
    <t>ALBANA</t>
  </si>
  <si>
    <t>SIGNORATO</t>
  </si>
  <si>
    <t>GIOVANNI</t>
  </si>
  <si>
    <t>BOUGHANMI</t>
  </si>
  <si>
    <t>THORAYA</t>
  </si>
  <si>
    <t>SPREA</t>
  </si>
  <si>
    <t>ZAMBELLI</t>
  </si>
  <si>
    <t>JANCE</t>
  </si>
  <si>
    <t>KLARITA</t>
  </si>
  <si>
    <t>OPPI</t>
  </si>
  <si>
    <t>BEATRICE</t>
  </si>
  <si>
    <t>BENINI</t>
  </si>
  <si>
    <t>CHIARA</t>
  </si>
  <si>
    <t>QUATTRINA</t>
  </si>
  <si>
    <t>ADELE</t>
  </si>
  <si>
    <t>MURARI</t>
  </si>
  <si>
    <t>CARLOTTA</t>
  </si>
  <si>
    <t>VELTRI</t>
  </si>
  <si>
    <t>ANGELO</t>
  </si>
  <si>
    <t>MANFRIN</t>
  </si>
  <si>
    <t>MASIH</t>
  </si>
  <si>
    <t>LIAQAT</t>
  </si>
  <si>
    <t>RIMBU</t>
  </si>
  <si>
    <t>SVETLANA</t>
  </si>
  <si>
    <t>BALTATESCU</t>
  </si>
  <si>
    <t>IULIAN</t>
  </si>
  <si>
    <t>TIOZZO COMPINI</t>
  </si>
  <si>
    <t>ACHIUWA</t>
  </si>
  <si>
    <t>MARGARET CHIDI</t>
  </si>
  <si>
    <t>TANTO</t>
  </si>
  <si>
    <t>GINEVRA</t>
  </si>
  <si>
    <t>TOMMASO</t>
  </si>
  <si>
    <t>FOKS</t>
  </si>
  <si>
    <t>MOHAMED LATIF</t>
  </si>
  <si>
    <t>MOHAMED RIYAZ</t>
  </si>
  <si>
    <t>OKOYORMON</t>
  </si>
  <si>
    <t>PETERS</t>
  </si>
  <si>
    <t>IOVITA</t>
  </si>
  <si>
    <t>ECATERINA</t>
  </si>
  <si>
    <t>SINGH</t>
  </si>
  <si>
    <t>HARJINDER</t>
  </si>
  <si>
    <t>ENABUELE</t>
  </si>
  <si>
    <t>LISNIC</t>
  </si>
  <si>
    <t>NICOLETA</t>
  </si>
  <si>
    <t>ILEA</t>
  </si>
  <si>
    <t>ADINA RODICA</t>
  </si>
  <si>
    <t>VAROTTO</t>
  </si>
  <si>
    <t>TAMARA</t>
  </si>
  <si>
    <t>31/01/2025</t>
  </si>
  <si>
    <t>28/02/2025</t>
  </si>
  <si>
    <t>31/03/2025</t>
  </si>
  <si>
    <t>30/04/2025</t>
  </si>
  <si>
    <t>31/05/2025</t>
  </si>
  <si>
    <t>30/06/2025</t>
  </si>
  <si>
    <t>31/07/2025</t>
  </si>
  <si>
    <t>31/08/2025</t>
  </si>
  <si>
    <t>30/09/2025</t>
  </si>
  <si>
    <t>31/10/2025</t>
  </si>
  <si>
    <t>30/11/2025</t>
  </si>
  <si>
    <t>31/12/2025</t>
  </si>
  <si>
    <t>Sum of Actual</t>
  </si>
  <si>
    <t>Column Labels</t>
  </si>
  <si>
    <t>Group1</t>
  </si>
  <si>
    <t>Group2</t>
  </si>
  <si>
    <t>Group3</t>
  </si>
  <si>
    <t>Indiretti</t>
  </si>
  <si>
    <t>Diretti</t>
  </si>
  <si>
    <t>Struttura</t>
  </si>
  <si>
    <t>Progetto Yeah</t>
  </si>
  <si>
    <t>Etichette di riga</t>
  </si>
  <si>
    <t>Totale complessivo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</si>
</sst>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(#,##0.00\)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2" fillId="2" borderId="1" xfId="0" applyNumberFormat="1" applyFont="1" applyFill="1" applyBorder="1"/>
    <xf numFmtId="14" fontId="2" fillId="2" borderId="2" xfId="0" applyNumberFormat="1" applyFont="1" applyFill="1" applyBorder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1" xfId="0" applyBorder="1"/>
    <xf numFmtId="0" fontId="0" fillId="0" borderId="0" xfId="0" applyAlignment="1">
      <alignment horizontal="left" indent="1"/>
    </xf>
  </cellXfs>
  <cellStyles count="1"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#,##0.00;[Red]\(#,##0.00\)"/>
    </dxf>
    <dxf>
      <numFmt numFmtId="164" formatCode="#,##0.00;[Red]\(#,##0.00\)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53340</xdr:rowOff>
    </xdr:from>
    <xdr:to>
      <xdr:col>3</xdr:col>
      <xdr:colOff>702405</xdr:colOff>
      <xdr:row>8</xdr:row>
      <xdr:rowOff>30300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Mese">
              <a:extLst>
                <a:ext uri="{FF2B5EF4-FFF2-40B4-BE49-F238E27FC236}">
                  <a16:creationId xmlns:a16="http://schemas.microsoft.com/office/drawing/2014/main" id="{DBA13937-9DD3-7AAD-2EAA-5734DC0C8C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Me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" y="53340"/>
              <a:ext cx="4320000" cy="14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o Gazzonis" refreshedDate="45876.671703356478" createdVersion="8" refreshedVersion="8" minRefreshableVersion="3" recordCount="2380" xr:uid="{6E48694B-1A5D-4479-8176-D90A669BB20C}">
  <cacheSource type="worksheet">
    <worksheetSource name="DB_Varianza_BdgAct"/>
  </cacheSource>
  <cacheFields count="12">
    <cacheField name="Matricola" numFmtId="0">
      <sharedItems containsBlank="1"/>
    </cacheField>
    <cacheField name="Dipendente" numFmtId="0">
      <sharedItems count="220">
        <s v="FENG XIUHUA"/>
        <s v="VALBUSA VALERIA"/>
        <s v="ZANARDO FABIANA"/>
        <s v="RIGHETTI FLAVIA"/>
        <s v="MOLINARI LAURA"/>
        <s v="ANSELMI IVA"/>
        <s v="ENGUIX GRIMALTOS GEMA MARIA"/>
        <s v="AVESANI SILVIA"/>
        <s v="LUCACI ANGELICA"/>
        <s v="ALDEGHERI MARA"/>
        <s v="DEDAJ EGLANTINA"/>
        <s v="FISCALE ANNA"/>
        <s v="BIGHINATI GIADA"/>
        <s v="CAMERARIA GIORGIA"/>
        <s v="LOTTI FABIO"/>
        <s v="GIANCRISTOFARO SIMONA"/>
        <s v="MADUEKE IJEOMA"/>
        <s v="MEZOUEL ONS"/>
        <s v="XIA RONGJUN"/>
        <s v="SANNEH SHERIFO"/>
        <s v="SAAD NAJAT"/>
        <s v="MIA ELIAS"/>
        <s v="ZEID GHANIA"/>
        <s v="HASSAN MD RASHED"/>
        <s v="RIGHETTI MICHELE"/>
        <s v="PARRELLA MARIA CRISTINA"/>
        <s v="ILIE FLORENTINA"/>
        <s v="VALOTTO VALERIA"/>
        <s v="SAKA EDMUND OFORI"/>
        <s v="DAL CORTIVO EMMA"/>
        <s v="PENAZZI MARCO"/>
        <s v="BUSETTO MONICA"/>
        <s v="DOBRE ANICA"/>
        <s v="BOITAN MIHAELA"/>
        <s v="ZULLO STEFANIA"/>
        <s v="CAMPARA ELISABETTA"/>
        <s v="TAMIMOUNT MOHAMED LAMINE"/>
        <s v="LIZZARI MARISA"/>
        <s v="PUNGA FILOFTEIA NICOLETA"/>
        <s v="IONEL RAMONA MARIA"/>
        <s v="PINALI ENRICO"/>
        <s v="ANDREOLI MARCO"/>
        <s v="MENEGHELLO SARA"/>
        <s v="RASHA LEONORE"/>
        <s v="NATALE GIOVANNA"/>
        <s v="SINATRA FLORA"/>
        <s v="OALA MARICELA"/>
        <s v="FALCHETTO JEAN LUCA"/>
        <s v="OLARIU MIHAELA"/>
        <s v="TESINI MARINA"/>
        <s v="BARBAGALLO VALENTINA"/>
        <s v="FRACASSO BARBARA"/>
        <s v="EVANS QUEEN"/>
        <s v="AKPOYIBO BRIDGET"/>
        <s v="USMAN AMINA"/>
        <s v="TOSCO ALFRIANA FRANCHESCA"/>
        <s v="DOBRE GINA RAMONA"/>
        <s v="CUSTURA' ELENA LAURA"/>
        <s v="GATTO STEFANO"/>
        <s v="PASQUALI GIULIA"/>
        <s v="CORCHERO REDONDO CANDELA"/>
        <s v="BOSIO STELLA"/>
        <s v="WAHAB AHMED KERYA"/>
        <s v="CUSTURA' MARIAN"/>
        <s v="BERDICA ARDIANA"/>
        <s v="OBINNA GIFT"/>
        <s v="CENTO VANESSA"/>
        <s v="BERTOLDI ALESSANDRA"/>
        <s v="EMENE BLESSING"/>
        <s v="OROGUN SONIA ONOME"/>
        <s v="EKWE RUTH"/>
        <s v="COLAVECCHIA CINZIA"/>
        <s v="BORGATTI ROBERTA"/>
        <s v="RUBIO AREVALO CATALINA"/>
        <s v="DHIF FAOUZIA"/>
        <s v="PASQUALI ELENA"/>
        <s v="FRONTERA GIUSIANA"/>
        <s v="KHONDOKAR SURUJ"/>
        <s v="ARAUJO ARLETE"/>
        <s v="MAESTRELLO FRANCO"/>
        <s v="HUSSAIN SYED ALTAF"/>
        <s v="MUNTEANU NATALIA"/>
        <s v="VINCO CATERINA EMANUELA"/>
        <s v="MARINARO LIDIA"/>
        <s v="QUARSHIE EMELIA KOMECHOE"/>
        <s v="GIULIANO FRANCESCA"/>
        <s v="TORNIERI RITA"/>
        <s v="ATMAOUI AZIZA"/>
        <s v="ZUCCHETTI ROSANNA"/>
        <s v="ANONGBO EBBAH CHRISTINE"/>
        <s v="ZANOLLI BARBARA"/>
        <s v="BORLOVAN ALINA"/>
        <s v="DELLEDONNE ISABELLA"/>
        <s v="MOLINARI MILENA"/>
        <s v="PETRACHE GEORGIANA"/>
        <s v="HOSSAIN SHAMEM"/>
        <s v="AKL MOSTAFA EL BASSIOUNI"/>
        <s v="MEATTINI CLARA"/>
        <s v="GYAMBRAH GEORGE KIGSLEY"/>
        <s v="MAZZON LEONORA"/>
        <s v="CHIARINI LORENZA"/>
        <s v="GHAFOOR HAROON"/>
        <s v="SPANACHI ALINA ANDREEA"/>
        <s v="CHARFI BOUCHRA"/>
        <s v="FERREIRA EDLAINE"/>
        <s v="PATRIGNANI LEA"/>
        <s v="LIVIERO MARTINA"/>
        <s v="GUARNIERI ANNALISA"/>
        <s v="AGHAHOWA STELLA"/>
        <s v="MARANGONI ALESSANDRO"/>
        <s v="QASIM MUHAMMAD"/>
        <s v="CERPELLONI ANNA"/>
        <s v="OWOLABI FELIX"/>
        <s v="EKAIRIA FAITH"/>
        <s v="FURLAN LUANA"/>
        <s v="SHAFEEQ AHMED"/>
        <s v="CABIANCA ALESSIA"/>
        <s v="LUPU GIANINA LACRAMIOARA"/>
        <s v="RAMPONI ALESSANDRO"/>
        <s v="CAMARA MARIZA"/>
        <s v="ALI ZEESHAN"/>
        <s v="VENERI PAOLA"/>
        <s v="SAMAKE SOULEYMANE"/>
        <s v="BULAT MARIA"/>
        <s v="AL RAIMI AMEEN MOHAMMED"/>
        <s v="OKOH VIVIAN"/>
        <s v="SPAGNOLO DAVIDE"/>
        <s v="HUANG SHAN MEI"/>
        <s v="TRAINOTTI STEFANIA"/>
        <s v="AGAPIE MIHAITA"/>
        <s v="STURZA RUSLAN"/>
        <s v="BAROZZI VALENTINA"/>
        <s v="MIRISAGE FERNANDO RASIKA CHANDANEE"/>
        <s v="ANTWI ANTHONY"/>
        <s v="ABDULLAH MUHAMMAD"/>
        <s v="FASOLI GIULIA"/>
        <s v="DAL CERO NADIA"/>
        <s v="DOBANDA ADRIANA"/>
        <s v="ALOUI ABDERRAHMAN"/>
        <s v="GIACOMAZZI MARA"/>
        <s v="BEE AGNESE"/>
        <s v="TASELLARI ENEIDA"/>
        <s v="VIRSCHII ANDREEA"/>
        <s v="EKOH FIDELIS IKEVILO"/>
        <s v="HOBORICI IULIANA GABRIELA"/>
        <s v="MALAFFO LORETTA"/>
        <s v="UR RAHMAN DAUD"/>
        <s v="GRASSO GRETA"/>
        <s v="WALLNER LUCA"/>
        <s v="CALORE MADDALENA"/>
        <s v="POLTRONIERI PAOLO GIUSEPPE"/>
        <s v="BACJA BLEDAR"/>
        <s v="URSO ADRIANO"/>
        <s v="FERRARESE GIULIA"/>
        <s v="ELEMETA EJOH MITTERAND"/>
        <s v="CAGALLI MARTINA"/>
        <s v="BERNARDO PAMELA"/>
        <s v="FLORIANI SOLEIMA"/>
        <s v="SECHI VALERIA"/>
        <s v="ASIBOR HOPE"/>
        <s v="SALBEGO SARA"/>
        <s v="YOUSEF ELIAS MILAD"/>
        <s v="PROFIR CRISTIAN"/>
        <s v="KOLA ALBANA"/>
        <s v="SIGNORATO GIOVANNI"/>
        <s v="BOUGHANMI THORAYA"/>
        <s v="SPREA LAURA"/>
        <s v="ZAMBELLI FRANCESCA"/>
        <s v="JANCE KLARITA"/>
        <s v="OPPI BEATRICE"/>
        <s v="BENINI CHIARA"/>
        <s v="QUATTRINA ADELE"/>
        <s v="MURARI CARLOTTA"/>
        <s v="VELTRI ANGELO"/>
        <s v="MANFRIN ELENA"/>
        <s v="MASIH LIAQAT"/>
        <s v="RIMBU SVETLANA"/>
        <s v="BALTATESCU IULIAN"/>
        <s v="TIOZZO COMPINI MONICA"/>
        <s v="ACHIUWA MARGARET CHIDI"/>
        <s v="TANTO GINEVRA"/>
        <s v="VINCO LAURA"/>
        <s v="FISCALE TOMMASO"/>
        <s v="FOKS MONICA"/>
        <s v="MOHAMED LATIF MOHAMED RIYAZ"/>
        <s v="OKOYORMON PETERS"/>
        <s v="IOVITA ECATERINA"/>
        <s v="SINGH HARJINDER"/>
        <s v="ENABUELE QUEEN"/>
        <s v="LISNIC NICOLETA"/>
        <s v="ILEA ADINA RODICA"/>
        <s v="VAROTTO TAMARA"/>
        <s v="EUSEBIO CAMILLA"/>
        <s v="IGUMA MATHIDA"/>
        <s v="PAGANOTTO SARA"/>
        <s v="CHAFAI HICHAM"/>
        <s v="SCHERILLO ENRICA"/>
        <s v="MANIABOSCO GIORGIA"/>
        <s v="EKO FIDELIS" u="1"/>
        <s v="ART. 14" u="1"/>
        <s v="JUNIOR PLANNER" u="1"/>
        <s v="NEW   CARCERE" u="1"/>
        <s v="AGNESE BEE" u="1"/>
        <s v="SANSON ANNA CHIARA" u="1"/>
        <s v="BERTOLI ELISABETTA" u="1"/>
        <s v="MIRISAGE FERNANDO RASIKA" u="1"/>
        <s v="ZARAMELLA KATIA" u="1"/>
        <s v="MUHAMMAD ADEEL" u="1"/>
        <s v="NEW CONFEZIONAMENTO" u="1"/>
        <s v="MARZULLI VITA MARIA" u="1"/>
        <s v="AL RAIMI  AMEEN MOHAMMED" u="1"/>
        <s v="TELGHAMTI BELKACEM" u="1"/>
        <s v="DOSSI FEDERICA" u="1"/>
        <s v="GIOVANNA ZANELLA NEW" u="1"/>
        <s v="WELFARE NEW" u="1"/>
        <s v="STAGE HR" u="1"/>
        <s v=" NEW COMMERCIALE" u="1"/>
        <s v="ZECCHINATO SARA" u="1"/>
        <s v="NEW BACK OFFICE COMMERCIALE " u="1"/>
        <s v="NUOVA ASSUNZIONE" u="1"/>
      </sharedItems>
    </cacheField>
    <cacheField name="Centro di Costo" numFmtId="0">
      <sharedItems count="14">
        <s v="P01 - CONFEZIONAMENTO PDT"/>
        <s v="P07 - TAGLIO"/>
        <s v="P02 - QC- STIRO - PACK"/>
        <s v="P05 - PROTOTIPIA PDT"/>
        <s v="S12 - COMM. MKTG. RETAIL"/>
        <s v="S10 - AMM DIREZ STRUTTURA"/>
        <s v="S13 - PROGETTO YEAH"/>
        <s v="S11 - PERS&amp;PROG STRUTTURA"/>
        <s v="P06 - CARCERE PDT"/>
        <s v="A06 - LOGIST/MAGAZ AUSIL"/>
        <s v="A08 - UFF.PRODOTTO AUSIL"/>
        <s v="A10 - COORD.CARCERE AUSIL"/>
        <s v="A07 - OPERATION AUSIL"/>
        <s v="A09 - TEMPI E METOD AUSIL"/>
      </sharedItems>
      <fieldGroup par="11"/>
    </cacheField>
    <cacheField name="Mese" numFmtId="14">
      <sharedItems containsSemiMixedTypes="0" containsNonDate="0" containsDate="1" containsString="0" minDate="2025-01-31T00:00:00" maxDate="2026-01-01T00:00:00" count="12"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  <d v="2025-11-30T00:00:00"/>
        <d v="2025-12-31T00:00:00"/>
      </sharedItems>
      <fieldGroup par="10"/>
    </cacheField>
    <cacheField name="Ore Lav" numFmtId="0">
      <sharedItems containsSemiMixedTypes="0" containsString="0" containsNumber="1" minValue="-548.5" maxValue="693"/>
    </cacheField>
    <cacheField name="Actual" numFmtId="164">
      <sharedItems containsSemiMixedTypes="0" containsString="0" containsNumber="1" minValue="-14102.110000000004" maxValue="17894.71"/>
    </cacheField>
    <cacheField name="Budget" numFmtId="164">
      <sharedItems containsSemiMixedTypes="0" containsString="0" containsNumber="1" minValue="-3.3800000000001091" maxValue="14328.569999999996"/>
    </cacheField>
    <cacheField name="SCOST" numFmtId="0" formula="Actual-Budget" databaseField="0"/>
    <cacheField name="(%)" numFmtId="0" formula="SCOST/Budget" databaseField="0"/>
    <cacheField name="Days (Mese)" numFmtId="0" databaseField="0">
      <fieldGroup base="3">
        <rangePr groupBy="days" startDate="2025-01-31T00:00:00" endDate="2026-01-01T00:00:00"/>
        <groupItems count="368">
          <s v="&lt;31/01/2025"/>
          <s v="01-gen"/>
          <s v="02-gen"/>
          <s v="03-gen"/>
          <s v="04-gen"/>
          <s v="05-gen"/>
          <s v="06-gen"/>
          <s v="07-gen"/>
          <s v="08-gen"/>
          <s v="09-gen"/>
          <s v="10-gen"/>
          <s v="11-gen"/>
          <s v="12-gen"/>
          <s v="13-gen"/>
          <s v="14-gen"/>
          <s v="15-gen"/>
          <s v="16-gen"/>
          <s v="17-gen"/>
          <s v="18-gen"/>
          <s v="19-gen"/>
          <s v="20-gen"/>
          <s v="21-gen"/>
          <s v="22-gen"/>
          <s v="23-gen"/>
          <s v="24-gen"/>
          <s v="25-gen"/>
          <s v="26-gen"/>
          <s v="27-gen"/>
          <s v="28-gen"/>
          <s v="29-gen"/>
          <s v="30-gen"/>
          <s v="31-ge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g"/>
          <s v="02-mag"/>
          <s v="03-mag"/>
          <s v="04-mag"/>
          <s v="05-mag"/>
          <s v="06-mag"/>
          <s v="07-mag"/>
          <s v="08-mag"/>
          <s v="09-mag"/>
          <s v="10-mag"/>
          <s v="11-mag"/>
          <s v="12-mag"/>
          <s v="13-mag"/>
          <s v="14-mag"/>
          <s v="15-mag"/>
          <s v="16-mag"/>
          <s v="17-mag"/>
          <s v="18-mag"/>
          <s v="19-mag"/>
          <s v="20-mag"/>
          <s v="21-mag"/>
          <s v="22-mag"/>
          <s v="23-mag"/>
          <s v="24-mag"/>
          <s v="25-mag"/>
          <s v="26-mag"/>
          <s v="27-mag"/>
          <s v="28-mag"/>
          <s v="29-mag"/>
          <s v="30-mag"/>
          <s v="31-mag"/>
          <s v="01-giu"/>
          <s v="02-giu"/>
          <s v="03-giu"/>
          <s v="04-giu"/>
          <s v="05-giu"/>
          <s v="06-giu"/>
          <s v="07-giu"/>
          <s v="08-giu"/>
          <s v="09-giu"/>
          <s v="10-giu"/>
          <s v="11-giu"/>
          <s v="12-giu"/>
          <s v="13-giu"/>
          <s v="14-giu"/>
          <s v="15-giu"/>
          <s v="16-giu"/>
          <s v="17-giu"/>
          <s v="18-giu"/>
          <s v="19-giu"/>
          <s v="20-giu"/>
          <s v="21-giu"/>
          <s v="22-giu"/>
          <s v="23-giu"/>
          <s v="24-giu"/>
          <s v="25-giu"/>
          <s v="26-giu"/>
          <s v="27-giu"/>
          <s v="28-giu"/>
          <s v="29-giu"/>
          <s v="30-giu"/>
          <s v="01-lug"/>
          <s v="02-lug"/>
          <s v="03-lug"/>
          <s v="04-lug"/>
          <s v="05-lug"/>
          <s v="06-lug"/>
          <s v="07-lug"/>
          <s v="08-lug"/>
          <s v="09-lug"/>
          <s v="10-lug"/>
          <s v="11-lug"/>
          <s v="12-lug"/>
          <s v="13-lug"/>
          <s v="14-lug"/>
          <s v="15-lug"/>
          <s v="16-lug"/>
          <s v="17-lug"/>
          <s v="18-lug"/>
          <s v="19-lug"/>
          <s v="20-lug"/>
          <s v="21-lug"/>
          <s v="22-lug"/>
          <s v="23-lug"/>
          <s v="24-lug"/>
          <s v="25-lug"/>
          <s v="26-lug"/>
          <s v="27-lug"/>
          <s v="28-lug"/>
          <s v="29-lug"/>
          <s v="30-lug"/>
          <s v="31-lug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t"/>
          <s v="02-set"/>
          <s v="03-set"/>
          <s v="04-set"/>
          <s v="05-set"/>
          <s v="06-set"/>
          <s v="07-set"/>
          <s v="08-set"/>
          <s v="0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01-ott"/>
          <s v="02-ott"/>
          <s v="03-ott"/>
          <s v="04-ott"/>
          <s v="05-ott"/>
          <s v="06-ott"/>
          <s v="07-ott"/>
          <s v="08-ott"/>
          <s v="09-ott"/>
          <s v="10-ott"/>
          <s v="11-ott"/>
          <s v="12-ott"/>
          <s v="13-ott"/>
          <s v="14-ott"/>
          <s v="15-ott"/>
          <s v="16-ott"/>
          <s v="17-ott"/>
          <s v="18-ott"/>
          <s v="19-ott"/>
          <s v="20-ott"/>
          <s v="21-ott"/>
          <s v="22-ott"/>
          <s v="23-ott"/>
          <s v="24-ott"/>
          <s v="25-ott"/>
          <s v="26-ott"/>
          <s v="27-ott"/>
          <s v="28-ott"/>
          <s v="29-ott"/>
          <s v="30-ott"/>
          <s v="31-ot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/01/2026"/>
        </groupItems>
      </fieldGroup>
    </cacheField>
    <cacheField name="Months (Mese)" numFmtId="0" databaseField="0">
      <fieldGroup base="3">
        <rangePr groupBy="months" startDate="2025-01-31T00:00:00" endDate="2026-01-01T00:00:00"/>
        <groupItems count="14">
          <s v="&lt;31/01/2025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01/01/2026"/>
        </groupItems>
      </fieldGroup>
    </cacheField>
    <cacheField name="Centro di Costo2" numFmtId="0" databaseField="0">
      <fieldGroup base="2">
        <discretePr count="14">
          <x v="2"/>
          <x v="2"/>
          <x v="2"/>
          <x v="2"/>
          <x v="3"/>
          <x v="3"/>
          <x v="0"/>
          <x v="3"/>
          <x v="2"/>
          <x v="1"/>
          <x v="1"/>
          <x v="1"/>
          <x v="1"/>
          <x v="1"/>
        </discretePr>
        <groupItems count="4">
          <s v="S13 - PROGETTO YEAH"/>
          <s v="Group1"/>
          <s v="Group2"/>
          <s v="Group3"/>
        </groupItems>
      </fieldGroup>
    </cacheField>
  </cacheFields>
  <extLst>
    <ext xmlns:x14="http://schemas.microsoft.com/office/spreadsheetml/2009/9/main" uri="{725AE2AE-9491-48be-B2B4-4EB974FC3084}">
      <x14:pivotCacheDefinition pivotCacheId="20483956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s v="50"/>
    <x v="0"/>
    <x v="0"/>
    <x v="0"/>
    <n v="148.25"/>
    <n v="2099.1999999999998"/>
    <n v="2099.1999999999998"/>
  </r>
  <r>
    <s v="50"/>
    <x v="0"/>
    <x v="0"/>
    <x v="1"/>
    <n v="147.25"/>
    <n v="1952.9499999999998"/>
    <n v="1952.9499999999998"/>
  </r>
  <r>
    <s v="50"/>
    <x v="0"/>
    <x v="0"/>
    <x v="2"/>
    <n v="142"/>
    <n v="1874.5600000000004"/>
    <n v="1874.5600000000004"/>
  </r>
  <r>
    <s v="50"/>
    <x v="0"/>
    <x v="0"/>
    <x v="3"/>
    <n v="155.5"/>
    <n v="2173.3000000000011"/>
    <n v="2173.3000000000011"/>
  </r>
  <r>
    <s v="50"/>
    <x v="0"/>
    <x v="0"/>
    <x v="4"/>
    <n v="153"/>
    <n v="2066.46"/>
    <n v="2066.46"/>
  </r>
  <r>
    <s v="50"/>
    <x v="0"/>
    <x v="0"/>
    <x v="5"/>
    <n v="151.5"/>
    <n v="2081.8299999999981"/>
    <n v="2066.46"/>
  </r>
  <r>
    <s v="240"/>
    <x v="1"/>
    <x v="0"/>
    <x v="0"/>
    <n v="97"/>
    <n v="2127.1999999999998"/>
    <n v="0"/>
  </r>
  <r>
    <s v="240"/>
    <x v="1"/>
    <x v="0"/>
    <x v="1"/>
    <n v="47.25"/>
    <n v="2426.7799999999997"/>
    <n v="0"/>
  </r>
  <r>
    <s v="240"/>
    <x v="1"/>
    <x v="0"/>
    <x v="2"/>
    <n v="17.5"/>
    <n v="1083.1400000000003"/>
    <n v="0"/>
  </r>
  <r>
    <s v="240"/>
    <x v="1"/>
    <x v="0"/>
    <x v="3"/>
    <n v="0"/>
    <n v="614.84999999999945"/>
    <n v="0"/>
  </r>
  <r>
    <s v="240"/>
    <x v="1"/>
    <x v="0"/>
    <x v="4"/>
    <n v="-161.75"/>
    <n v="-6251.9699999999993"/>
    <n v="0"/>
  </r>
  <r>
    <s v="550"/>
    <x v="2"/>
    <x v="0"/>
    <x v="0"/>
    <n v="98.5"/>
    <n v="1870.5300000000002"/>
    <n v="1870.5300000000002"/>
  </r>
  <r>
    <s v="550"/>
    <x v="2"/>
    <x v="0"/>
    <x v="1"/>
    <n v="75.5"/>
    <n v="1595.08"/>
    <n v="1595.08"/>
  </r>
  <r>
    <s v="550"/>
    <x v="2"/>
    <x v="0"/>
    <x v="2"/>
    <n v="133"/>
    <n v="1992.5300000000002"/>
    <n v="1992.5300000000002"/>
  </r>
  <r>
    <s v="550"/>
    <x v="2"/>
    <x v="0"/>
    <x v="3"/>
    <n v="30"/>
    <n v="1407.63"/>
    <n v="1407.63"/>
  </r>
  <r>
    <s v="550"/>
    <x v="2"/>
    <x v="0"/>
    <x v="4"/>
    <n v="0"/>
    <n v="1031.29"/>
    <n v="1031.29"/>
  </r>
  <r>
    <s v="550"/>
    <x v="2"/>
    <x v="0"/>
    <x v="5"/>
    <n v="0"/>
    <n v="927.38000000000193"/>
    <n v="1031.29"/>
  </r>
  <r>
    <s v="590"/>
    <x v="3"/>
    <x v="0"/>
    <x v="0"/>
    <n v="148"/>
    <n v="3084.9400000000014"/>
    <n v="3084.9400000000014"/>
  </r>
  <r>
    <s v="590"/>
    <x v="3"/>
    <x v="0"/>
    <x v="1"/>
    <n v="135.5"/>
    <n v="2584.2799999999988"/>
    <n v="2584.2799999999988"/>
  </r>
  <r>
    <s v="590"/>
    <x v="3"/>
    <x v="0"/>
    <x v="2"/>
    <n v="160"/>
    <n v="2950.6899999999996"/>
    <n v="2950.6899999999996"/>
  </r>
  <r>
    <s v="590"/>
    <x v="3"/>
    <x v="0"/>
    <x v="3"/>
    <n v="154"/>
    <n v="3089.8099999999995"/>
    <n v="3089.8099999999995"/>
  </r>
  <r>
    <s v="590"/>
    <x v="3"/>
    <x v="0"/>
    <x v="4"/>
    <n v="140"/>
    <n v="2933.1700000000019"/>
    <n v="2933.1700000000019"/>
  </r>
  <r>
    <s v="590"/>
    <x v="3"/>
    <x v="0"/>
    <x v="5"/>
    <n v="101"/>
    <n v="2254.6700000000037"/>
    <n v="2933.1700000000019"/>
  </r>
  <r>
    <s v="600"/>
    <x v="4"/>
    <x v="0"/>
    <x v="0"/>
    <n v="151.5"/>
    <n v="2801.2"/>
    <n v="2801.2"/>
  </r>
  <r>
    <s v="600"/>
    <x v="4"/>
    <x v="0"/>
    <x v="1"/>
    <n v="144.5"/>
    <n v="2473.6799999999994"/>
    <n v="2473.6799999999994"/>
  </r>
  <r>
    <s v="600"/>
    <x v="4"/>
    <x v="0"/>
    <x v="2"/>
    <n v="156"/>
    <n v="2692.8700000000008"/>
    <n v="2692.8700000000008"/>
  </r>
  <r>
    <s v="600"/>
    <x v="4"/>
    <x v="0"/>
    <x v="3"/>
    <n v="151.5"/>
    <n v="2785.8799999999992"/>
    <n v="2785.8799999999992"/>
  </r>
  <r>
    <s v="600"/>
    <x v="4"/>
    <x v="0"/>
    <x v="4"/>
    <n v="124.75"/>
    <n v="2315.8300000000036"/>
    <n v="2315.8300000000036"/>
  </r>
  <r>
    <s v="600"/>
    <x v="4"/>
    <x v="0"/>
    <x v="5"/>
    <n v="46"/>
    <n v="1727.1300000000047"/>
    <n v="2315.8300000000036"/>
  </r>
  <r>
    <s v="620"/>
    <x v="5"/>
    <x v="0"/>
    <x v="0"/>
    <n v="142.5"/>
    <n v="2898.5"/>
    <n v="2898.5"/>
  </r>
  <r>
    <s v="620"/>
    <x v="5"/>
    <x v="0"/>
    <x v="1"/>
    <n v="106.5"/>
    <n v="2631.9299999999994"/>
    <n v="2631.9299999999994"/>
  </r>
  <r>
    <s v="620"/>
    <x v="5"/>
    <x v="0"/>
    <x v="2"/>
    <n v="61"/>
    <n v="2156.4600000000009"/>
    <n v="2156.4600000000009"/>
  </r>
  <r>
    <s v="620"/>
    <x v="5"/>
    <x v="0"/>
    <x v="3"/>
    <n v="141"/>
    <n v="2803.7"/>
    <n v="2803.7"/>
  </r>
  <r>
    <s v="620"/>
    <x v="5"/>
    <x v="0"/>
    <x v="4"/>
    <n v="132.5"/>
    <n v="2616.6699999999983"/>
    <n v="2616.6699999999983"/>
  </r>
  <r>
    <s v="620"/>
    <x v="5"/>
    <x v="0"/>
    <x v="5"/>
    <n v="148"/>
    <n v="2806.1100000000024"/>
    <n v="2616.6699999999983"/>
  </r>
  <r>
    <s v="150"/>
    <x v="6"/>
    <x v="1"/>
    <x v="0"/>
    <n v="136"/>
    <n v="3017.4800000000005"/>
    <n v="3017.4800000000005"/>
  </r>
  <r>
    <s v="150"/>
    <x v="6"/>
    <x v="1"/>
    <x v="1"/>
    <n v="143"/>
    <n v="3090.3099999999986"/>
    <n v="3090.3099999999986"/>
  </r>
  <r>
    <s v="150"/>
    <x v="6"/>
    <x v="1"/>
    <x v="2"/>
    <n v="152.75"/>
    <n v="3312.8900000000012"/>
    <n v="3312.8900000000012"/>
  </r>
  <r>
    <s v="150"/>
    <x v="6"/>
    <x v="1"/>
    <x v="3"/>
    <n v="140.5"/>
    <n v="3398.74"/>
    <n v="3398.74"/>
  </r>
  <r>
    <s v="150"/>
    <x v="6"/>
    <x v="1"/>
    <x v="4"/>
    <n v="120.5"/>
    <n v="3160.76"/>
    <n v="3160.76"/>
  </r>
  <r>
    <s v="150"/>
    <x v="6"/>
    <x v="1"/>
    <x v="5"/>
    <n v="133.75"/>
    <n v="3048.8900000000031"/>
    <n v="3196.0360000000001"/>
  </r>
  <r>
    <s v="260"/>
    <x v="7"/>
    <x v="2"/>
    <x v="0"/>
    <n v="151.5"/>
    <n v="3451.51"/>
    <n v="3451.51"/>
  </r>
  <r>
    <s v="260"/>
    <x v="7"/>
    <x v="2"/>
    <x v="1"/>
    <n v="128.75"/>
    <n v="2736.08"/>
    <n v="2736.08"/>
  </r>
  <r>
    <s v="260"/>
    <x v="7"/>
    <x v="2"/>
    <x v="2"/>
    <n v="148.75"/>
    <n v="3106.8099999999995"/>
    <n v="3106.8099999999995"/>
  </r>
  <r>
    <s v="260"/>
    <x v="7"/>
    <x v="2"/>
    <x v="3"/>
    <n v="152.25"/>
    <n v="3623.9200000000019"/>
    <n v="3623.9200000000019"/>
  </r>
  <r>
    <s v="260"/>
    <x v="7"/>
    <x v="2"/>
    <x v="4"/>
    <n v="138.5"/>
    <n v="3024.2599999999984"/>
    <n v="3024.2599999999984"/>
  </r>
  <r>
    <s v="260"/>
    <x v="7"/>
    <x v="2"/>
    <x v="5"/>
    <n v="144.5"/>
    <n v="3416.1299999999992"/>
    <n v="3024.2599999999984"/>
  </r>
  <r>
    <s v="420"/>
    <x v="8"/>
    <x v="2"/>
    <x v="0"/>
    <n v="159"/>
    <n v="3140.28"/>
    <n v="3140.28"/>
  </r>
  <r>
    <s v="420"/>
    <x v="8"/>
    <x v="2"/>
    <x v="1"/>
    <n v="138.25"/>
    <n v="2779.9999999999986"/>
    <n v="2779.9999999999986"/>
  </r>
  <r>
    <s v="420"/>
    <x v="8"/>
    <x v="2"/>
    <x v="2"/>
    <n v="152.5"/>
    <n v="2743.8500000000004"/>
    <n v="2743.8500000000004"/>
  </r>
  <r>
    <s v="420"/>
    <x v="8"/>
    <x v="2"/>
    <x v="3"/>
    <n v="148"/>
    <n v="2927.2799999999988"/>
    <n v="2927.2799999999988"/>
  </r>
  <r>
    <s v="420"/>
    <x v="8"/>
    <x v="2"/>
    <x v="4"/>
    <n v="140"/>
    <n v="2798.5099999999966"/>
    <n v="2798.5099999999966"/>
  </r>
  <r>
    <s v="420"/>
    <x v="8"/>
    <x v="2"/>
    <x v="5"/>
    <n v="60"/>
    <n v="1593.4300000000039"/>
    <n v="2798.5099999999966"/>
  </r>
  <r>
    <s v="310"/>
    <x v="9"/>
    <x v="3"/>
    <x v="0"/>
    <n v="91.25"/>
    <n v="2358.38"/>
    <n v="2358.38"/>
  </r>
  <r>
    <s v="310"/>
    <x v="9"/>
    <x v="3"/>
    <x v="1"/>
    <n v="134"/>
    <n v="2462.4300000000003"/>
    <n v="2462.4300000000003"/>
  </r>
  <r>
    <s v="310"/>
    <x v="9"/>
    <x v="3"/>
    <x v="2"/>
    <n v="142"/>
    <n v="2440.8399999999992"/>
    <n v="2440.8399999999992"/>
  </r>
  <r>
    <s v="310"/>
    <x v="9"/>
    <x v="3"/>
    <x v="3"/>
    <n v="128.5"/>
    <n v="2496.1299999999992"/>
    <n v="2496.1299999999992"/>
  </r>
  <r>
    <s v="310"/>
    <x v="9"/>
    <x v="3"/>
    <x v="4"/>
    <n v="126.5"/>
    <n v="2340.4799999999977"/>
    <n v="2340.4799999999977"/>
  </r>
  <r>
    <s v="310"/>
    <x v="9"/>
    <x v="3"/>
    <x v="5"/>
    <n v="83"/>
    <n v="2302.0700000000015"/>
    <n v="2419.6519999999991"/>
  </r>
  <r>
    <s v="640"/>
    <x v="10"/>
    <x v="3"/>
    <x v="0"/>
    <n v="127.5"/>
    <n v="2270.89"/>
    <n v="2270.89"/>
  </r>
  <r>
    <s v="640"/>
    <x v="10"/>
    <x v="3"/>
    <x v="1"/>
    <n v="150"/>
    <n v="2237.4500000000003"/>
    <n v="2237.4500000000003"/>
  </r>
  <r>
    <s v="640"/>
    <x v="10"/>
    <x v="3"/>
    <x v="2"/>
    <n v="148"/>
    <n v="2206.2899999999991"/>
    <n v="2206.2899999999991"/>
  </r>
  <r>
    <s v="640"/>
    <x v="10"/>
    <x v="3"/>
    <x v="3"/>
    <n v="121"/>
    <n v="2135.9600000000009"/>
    <n v="2135.9600000000009"/>
  </r>
  <r>
    <s v="640"/>
    <x v="10"/>
    <x v="3"/>
    <x v="4"/>
    <n v="134"/>
    <n v="2079.1499999999978"/>
    <n v="2079.1499999999978"/>
  </r>
  <r>
    <s v="640"/>
    <x v="10"/>
    <x v="3"/>
    <x v="5"/>
    <n v="151"/>
    <n v="2255.1100000000006"/>
    <n v="2185.9479999999994"/>
  </r>
  <r>
    <s v="270"/>
    <x v="11"/>
    <x v="4"/>
    <x v="0"/>
    <n v="117.5"/>
    <n v="7620.1600000000008"/>
    <n v="7620.1600000000008"/>
  </r>
  <r>
    <s v="270"/>
    <x v="11"/>
    <x v="4"/>
    <x v="1"/>
    <n v="112"/>
    <n v="6877.5699999999988"/>
    <n v="6877.5699999999988"/>
  </r>
  <r>
    <s v="270"/>
    <x v="11"/>
    <x v="4"/>
    <x v="2"/>
    <n v="118"/>
    <n v="6768.9100000000035"/>
    <n v="6768.9100000000035"/>
  </r>
  <r>
    <s v="270"/>
    <x v="11"/>
    <x v="4"/>
    <x v="3"/>
    <n v="137.5"/>
    <n v="14328.569999999996"/>
    <n v="14328.569999999996"/>
  </r>
  <r>
    <s v="270"/>
    <x v="11"/>
    <x v="4"/>
    <x v="4"/>
    <n v="121.5"/>
    <n v="7143.7099999999919"/>
    <n v="7143.7099999999919"/>
  </r>
  <r>
    <s v="270"/>
    <x v="11"/>
    <x v="4"/>
    <x v="5"/>
    <n v="152"/>
    <n v="8434.1900000000023"/>
    <n v="8547.7839999999978"/>
  </r>
  <r>
    <s v="440"/>
    <x v="12"/>
    <x v="4"/>
    <x v="0"/>
    <n v="96.5"/>
    <n v="2307.41"/>
    <n v="2307.41"/>
  </r>
  <r>
    <s v="440"/>
    <x v="12"/>
    <x v="4"/>
    <x v="1"/>
    <n v="142.5"/>
    <n v="2336.37"/>
    <n v="2336.37"/>
  </r>
  <r>
    <s v="380"/>
    <x v="13"/>
    <x v="5"/>
    <x v="0"/>
    <n v="135.75"/>
    <n v="3310.2400000000007"/>
    <n v="0"/>
  </r>
  <r>
    <s v="380"/>
    <x v="13"/>
    <x v="5"/>
    <x v="1"/>
    <n v="126.75"/>
    <n v="3271.9300000000003"/>
    <n v="0"/>
  </r>
  <r>
    <s v="380"/>
    <x v="13"/>
    <x v="5"/>
    <x v="2"/>
    <n v="141.75"/>
    <n v="3377.1499999999987"/>
    <n v="0"/>
  </r>
  <r>
    <s v="380"/>
    <x v="13"/>
    <x v="5"/>
    <x v="3"/>
    <n v="120.5"/>
    <n v="4142.7900000000045"/>
    <n v="0"/>
  </r>
  <r>
    <s v="380"/>
    <x v="13"/>
    <x v="5"/>
    <x v="4"/>
    <n v="-524.75"/>
    <n v="-14102.110000000004"/>
    <n v="0"/>
  </r>
  <r>
    <s v="540"/>
    <x v="14"/>
    <x v="6"/>
    <x v="0"/>
    <n v="144"/>
    <n v="13418.04"/>
    <n v="0"/>
  </r>
  <r>
    <s v="540"/>
    <x v="14"/>
    <x v="6"/>
    <x v="1"/>
    <n v="152"/>
    <n v="6149.9599999999991"/>
    <n v="0"/>
  </r>
  <r>
    <s v="540"/>
    <x v="14"/>
    <x v="6"/>
    <x v="2"/>
    <n v="160"/>
    <n v="6044.4999999999964"/>
    <n v="0"/>
  </r>
  <r>
    <s v="540"/>
    <x v="14"/>
    <x v="6"/>
    <x v="3"/>
    <n v="151.5"/>
    <n v="6068.0900000000038"/>
    <n v="0"/>
  </r>
  <r>
    <s v="540"/>
    <x v="14"/>
    <x v="6"/>
    <x v="4"/>
    <n v="159.5"/>
    <n v="6030.7299999999923"/>
    <n v="0"/>
  </r>
  <r>
    <s v="540"/>
    <x v="14"/>
    <x v="6"/>
    <x v="5"/>
    <n v="152"/>
    <n v="11654.699999999997"/>
    <n v="0"/>
  </r>
  <r>
    <s v="670"/>
    <x v="15"/>
    <x v="4"/>
    <x v="0"/>
    <n v="0"/>
    <n v="510.83000000000038"/>
    <n v="510.83000000000038"/>
  </r>
  <r>
    <s v="670"/>
    <x v="15"/>
    <x v="4"/>
    <x v="1"/>
    <n v="0"/>
    <n v="498.76999999999953"/>
    <n v="498.76999999999953"/>
  </r>
  <r>
    <s v="670"/>
    <x v="15"/>
    <x v="4"/>
    <x v="2"/>
    <n v="0"/>
    <n v="521.23000000000047"/>
    <n v="521.23000000000047"/>
  </r>
  <r>
    <s v="670"/>
    <x v="15"/>
    <x v="4"/>
    <x v="3"/>
    <n v="0"/>
    <n v="559.75999999999931"/>
    <n v="559.75999999999931"/>
  </r>
  <r>
    <s v="670"/>
    <x v="15"/>
    <x v="4"/>
    <x v="4"/>
    <n v="0"/>
    <n v="584.02000000000044"/>
    <n v="584.02000000000044"/>
  </r>
  <r>
    <s v="670"/>
    <x v="15"/>
    <x v="4"/>
    <x v="5"/>
    <n v="0"/>
    <n v="514.35000000000036"/>
    <n v="0"/>
  </r>
  <r>
    <s v="680"/>
    <x v="16"/>
    <x v="2"/>
    <x v="0"/>
    <n v="52.75"/>
    <n v="1038.51"/>
    <n v="1038.51"/>
  </r>
  <r>
    <s v="680"/>
    <x v="16"/>
    <x v="2"/>
    <x v="1"/>
    <n v="143"/>
    <n v="1846.7700000000002"/>
    <n v="1846.7700000000002"/>
  </r>
  <r>
    <s v="680"/>
    <x v="16"/>
    <x v="2"/>
    <x v="2"/>
    <n v="146"/>
    <n v="1790.8699999999994"/>
    <n v="1790.8699999999994"/>
  </r>
  <r>
    <s v="680"/>
    <x v="16"/>
    <x v="2"/>
    <x v="3"/>
    <n v="124"/>
    <n v="1896.4300000000003"/>
    <n v="1896.4300000000003"/>
  </r>
  <r>
    <s v="680"/>
    <x v="16"/>
    <x v="2"/>
    <x v="4"/>
    <n v="142.25"/>
    <n v="1840.369999999999"/>
    <n v="1840.369999999999"/>
  </r>
  <r>
    <s v="680"/>
    <x v="16"/>
    <x v="2"/>
    <x v="5"/>
    <n v="135.75"/>
    <n v="1791.7100000000009"/>
    <n v="1840.369999999999"/>
  </r>
  <r>
    <s v="690"/>
    <x v="17"/>
    <x v="0"/>
    <x v="0"/>
    <n v="148.75"/>
    <n v="2211.54"/>
    <n v="2211.54"/>
  </r>
  <r>
    <s v="690"/>
    <x v="17"/>
    <x v="0"/>
    <x v="1"/>
    <n v="152"/>
    <n v="2094.1100000000006"/>
    <n v="2094.1100000000006"/>
  </r>
  <r>
    <s v="690"/>
    <x v="17"/>
    <x v="0"/>
    <x v="2"/>
    <n v="155.5"/>
    <n v="2050.4799999999996"/>
    <n v="2050.4799999999996"/>
  </r>
  <r>
    <s v="690"/>
    <x v="17"/>
    <x v="0"/>
    <x v="3"/>
    <n v="144.5"/>
    <n v="2122.3900000000003"/>
    <n v="2122.3900000000003"/>
  </r>
  <r>
    <s v="690"/>
    <x v="17"/>
    <x v="0"/>
    <x v="4"/>
    <n v="144.5"/>
    <n v="2098.1399999999994"/>
    <n v="2098.1399999999994"/>
  </r>
  <r>
    <s v="690"/>
    <x v="17"/>
    <x v="0"/>
    <x v="5"/>
    <n v="118.5"/>
    <n v="1750.8700000000008"/>
    <n v="2098.1399999999994"/>
  </r>
  <r>
    <s v="700"/>
    <x v="18"/>
    <x v="0"/>
    <x v="0"/>
    <n v="144.75"/>
    <n v="1833.45"/>
    <n v="1833.45"/>
  </r>
  <r>
    <s v="700"/>
    <x v="18"/>
    <x v="0"/>
    <x v="1"/>
    <n v="150"/>
    <n v="1815.0399999999997"/>
    <n v="1815.0399999999997"/>
  </r>
  <r>
    <s v="700"/>
    <x v="18"/>
    <x v="0"/>
    <x v="2"/>
    <n v="147.75"/>
    <n v="1780.9000000000005"/>
    <n v="1780.9000000000005"/>
  </r>
  <r>
    <s v="700"/>
    <x v="18"/>
    <x v="0"/>
    <x v="3"/>
    <n v="133.75"/>
    <n v="1744.8899999999994"/>
    <n v="1744.8899999999994"/>
  </r>
  <r>
    <s v="700"/>
    <x v="18"/>
    <x v="0"/>
    <x v="4"/>
    <n v="142.5"/>
    <n v="1724.1100000000015"/>
    <n v="1724.1100000000015"/>
  </r>
  <r>
    <s v="700"/>
    <x v="18"/>
    <x v="0"/>
    <x v="5"/>
    <n v="145.5"/>
    <n v="1783.989999999998"/>
    <n v="1724.1100000000015"/>
  </r>
  <r>
    <s v="780"/>
    <x v="19"/>
    <x v="0"/>
    <x v="0"/>
    <n v="102.75"/>
    <n v="2321.0700000000002"/>
    <n v="2321.0700000000002"/>
  </r>
  <r>
    <s v="780"/>
    <x v="19"/>
    <x v="0"/>
    <x v="1"/>
    <n v="67.5"/>
    <n v="1560.4099999999999"/>
    <n v="1560.4099999999999"/>
  </r>
  <r>
    <s v="780"/>
    <x v="19"/>
    <x v="0"/>
    <x v="2"/>
    <n v="38"/>
    <n v="260.67000000000053"/>
    <n v="260.67000000000053"/>
  </r>
  <r>
    <s v="780"/>
    <x v="19"/>
    <x v="0"/>
    <x v="4"/>
    <n v="0"/>
    <n v="-9.0949470177292824E-13"/>
    <n v="0"/>
  </r>
  <r>
    <s v="800"/>
    <x v="20"/>
    <x v="0"/>
    <x v="0"/>
    <n v="154.75"/>
    <n v="2831.5599999999995"/>
    <n v="2831.5599999999995"/>
  </r>
  <r>
    <s v="800"/>
    <x v="20"/>
    <x v="0"/>
    <x v="1"/>
    <n v="148.5"/>
    <n v="2530.4300000000003"/>
    <n v="2530.4300000000003"/>
  </r>
  <r>
    <s v="800"/>
    <x v="20"/>
    <x v="0"/>
    <x v="2"/>
    <n v="138"/>
    <n v="2510.5000000000009"/>
    <n v="2510.5000000000009"/>
  </r>
  <r>
    <s v="800"/>
    <x v="20"/>
    <x v="0"/>
    <x v="3"/>
    <n v="155.5"/>
    <n v="2743.6099999999997"/>
    <n v="2743.6099999999997"/>
  </r>
  <r>
    <s v="800"/>
    <x v="20"/>
    <x v="0"/>
    <x v="4"/>
    <n v="155.5"/>
    <n v="2629.99"/>
    <n v="2629.99"/>
  </r>
  <r>
    <s v="800"/>
    <x v="20"/>
    <x v="0"/>
    <x v="5"/>
    <n v="117.25"/>
    <n v="2333.0200000000004"/>
    <n v="2629.99"/>
  </r>
  <r>
    <s v="830"/>
    <x v="21"/>
    <x v="0"/>
    <x v="0"/>
    <n v="0"/>
    <n v="11.700000000000017"/>
    <n v="11.700000000000017"/>
  </r>
  <r>
    <s v="830"/>
    <x v="21"/>
    <x v="0"/>
    <x v="1"/>
    <n v="0"/>
    <n v="13.849999999999994"/>
    <n v="13.849999999999994"/>
  </r>
  <r>
    <s v="830"/>
    <x v="21"/>
    <x v="0"/>
    <x v="2"/>
    <n v="0"/>
    <n v="11.289999999999992"/>
    <n v="11.289999999999992"/>
  </r>
  <r>
    <s v="830"/>
    <x v="21"/>
    <x v="0"/>
    <x v="3"/>
    <n v="0"/>
    <n v="11.860000000000014"/>
    <n v="11.860000000000014"/>
  </r>
  <r>
    <s v="830"/>
    <x v="21"/>
    <x v="0"/>
    <x v="4"/>
    <n v="137"/>
    <n v="2219.98"/>
    <n v="2219.98"/>
  </r>
  <r>
    <s v="830"/>
    <x v="21"/>
    <x v="0"/>
    <x v="5"/>
    <n v="144.5"/>
    <n v="2365.9200000000005"/>
    <n v="2219.98"/>
  </r>
  <r>
    <s v="870"/>
    <x v="22"/>
    <x v="0"/>
    <x v="0"/>
    <n v="142.25"/>
    <n v="2612.5"/>
    <n v="2612.5"/>
  </r>
  <r>
    <s v="870"/>
    <x v="22"/>
    <x v="0"/>
    <x v="1"/>
    <n v="105"/>
    <n v="2096.0099999999993"/>
    <n v="2096.0099999999993"/>
  </r>
  <r>
    <s v="870"/>
    <x v="22"/>
    <x v="0"/>
    <x v="2"/>
    <n v="157"/>
    <n v="2374.2200000000003"/>
    <n v="2374.2200000000003"/>
  </r>
  <r>
    <s v="870"/>
    <x v="22"/>
    <x v="0"/>
    <x v="3"/>
    <n v="154.75"/>
    <n v="2543.9899999999998"/>
    <n v="2543.9899999999998"/>
  </r>
  <r>
    <s v="870"/>
    <x v="22"/>
    <x v="0"/>
    <x v="4"/>
    <n v="159.5"/>
    <n v="2559.1800000000021"/>
    <n v="2559.1800000000021"/>
  </r>
  <r>
    <s v="870"/>
    <x v="22"/>
    <x v="0"/>
    <x v="5"/>
    <n v="129"/>
    <n v="2354.9399999999987"/>
    <n v="2559.1800000000021"/>
  </r>
  <r>
    <s v="920"/>
    <x v="23"/>
    <x v="0"/>
    <x v="0"/>
    <n v="52.5"/>
    <n v="949.82"/>
    <n v="949.82"/>
  </r>
  <r>
    <s v="920"/>
    <x v="23"/>
    <x v="0"/>
    <x v="1"/>
    <n v="64.5"/>
    <n v="1069.1799999999998"/>
    <n v="1069.1799999999998"/>
  </r>
  <r>
    <s v="920"/>
    <x v="23"/>
    <x v="0"/>
    <x v="2"/>
    <n v="68.5"/>
    <n v="1070.4299999999998"/>
    <n v="1070.4299999999998"/>
  </r>
  <r>
    <s v="920"/>
    <x v="23"/>
    <x v="0"/>
    <x v="3"/>
    <n v="52.5"/>
    <n v="1020.56"/>
    <n v="1020.56"/>
  </r>
  <r>
    <s v="920"/>
    <x v="23"/>
    <x v="0"/>
    <x v="4"/>
    <n v="63"/>
    <n v="1035.0700000000015"/>
    <n v="1035.0700000000015"/>
  </r>
  <r>
    <s v="920"/>
    <x v="23"/>
    <x v="0"/>
    <x v="5"/>
    <n v="66.5"/>
    <n v="1069.3000000000002"/>
    <n v="1035.0700000000015"/>
  </r>
  <r>
    <s v="940"/>
    <x v="24"/>
    <x v="1"/>
    <x v="0"/>
    <n v="108.75"/>
    <n v="1870.5600000000002"/>
    <n v="1870.5600000000002"/>
  </r>
  <r>
    <s v="940"/>
    <x v="24"/>
    <x v="1"/>
    <x v="1"/>
    <n v="105.25"/>
    <n v="1460.8900000000006"/>
    <n v="1460.8900000000006"/>
  </r>
  <r>
    <s v="940"/>
    <x v="24"/>
    <x v="1"/>
    <x v="2"/>
    <n v="145.5"/>
    <n v="1766.4599999999991"/>
    <n v="1766.4599999999991"/>
  </r>
  <r>
    <s v="940"/>
    <x v="24"/>
    <x v="1"/>
    <x v="3"/>
    <n v="144"/>
    <n v="1959.92"/>
    <n v="1959.92"/>
  </r>
  <r>
    <s v="940"/>
    <x v="24"/>
    <x v="1"/>
    <x v="4"/>
    <n v="129.25"/>
    <n v="1747.67"/>
    <n v="1747.67"/>
  </r>
  <r>
    <s v="940"/>
    <x v="24"/>
    <x v="1"/>
    <x v="5"/>
    <n v="113.5"/>
    <n v="1783.5400000000009"/>
    <n v="1761.1"/>
  </r>
  <r>
    <s v="990"/>
    <x v="25"/>
    <x v="0"/>
    <x v="0"/>
    <n v="142.75"/>
    <n v="2696.85"/>
    <n v="2696.85"/>
  </r>
  <r>
    <s v="990"/>
    <x v="25"/>
    <x v="0"/>
    <x v="1"/>
    <n v="114"/>
    <n v="2552.6099999999992"/>
    <n v="2552.6099999999992"/>
  </r>
  <r>
    <s v="990"/>
    <x v="25"/>
    <x v="0"/>
    <x v="2"/>
    <n v="30.5"/>
    <n v="1816.6000000000022"/>
    <n v="1816.6000000000022"/>
  </r>
  <r>
    <s v="990"/>
    <x v="25"/>
    <x v="0"/>
    <x v="3"/>
    <n v="0"/>
    <n v="1170.7599999999984"/>
    <n v="1170.7599999999984"/>
  </r>
  <r>
    <s v="990"/>
    <x v="25"/>
    <x v="0"/>
    <x v="4"/>
    <n v="72.25"/>
    <n v="1837.6600000000017"/>
    <n v="1837.6600000000017"/>
  </r>
  <r>
    <s v="990"/>
    <x v="25"/>
    <x v="0"/>
    <x v="5"/>
    <n v="149.25"/>
    <n v="2638.0899999999965"/>
    <n v="1837.6600000000017"/>
  </r>
  <r>
    <s v="1000"/>
    <x v="26"/>
    <x v="0"/>
    <x v="0"/>
    <n v="136.5"/>
    <n v="3854.0199999999995"/>
    <n v="3854.0199999999995"/>
  </r>
  <r>
    <s v="1000"/>
    <x v="26"/>
    <x v="0"/>
    <x v="1"/>
    <n v="126.25"/>
    <n v="2850.3900000000012"/>
    <n v="2850.3900000000012"/>
  </r>
  <r>
    <s v="1000"/>
    <x v="26"/>
    <x v="0"/>
    <x v="2"/>
    <n v="90.5"/>
    <n v="2383.3199999999988"/>
    <n v="2383.3199999999988"/>
  </r>
  <r>
    <s v="1000"/>
    <x v="26"/>
    <x v="0"/>
    <x v="3"/>
    <n v="149.5"/>
    <n v="3609.0300000000025"/>
    <n v="3609.0300000000025"/>
  </r>
  <r>
    <s v="1000"/>
    <x v="26"/>
    <x v="0"/>
    <x v="4"/>
    <n v="138.75"/>
    <n v="3491.7799999999952"/>
    <n v="3491.7799999999952"/>
  </r>
  <r>
    <s v="1000"/>
    <x v="26"/>
    <x v="0"/>
    <x v="5"/>
    <n v="153.25"/>
    <n v="3645.8899999999994"/>
    <n v="3491.7799999999952"/>
  </r>
  <r>
    <s v="1060"/>
    <x v="27"/>
    <x v="7"/>
    <x v="0"/>
    <n v="144"/>
    <n v="5125.8599999999997"/>
    <n v="5125.8599999999997"/>
  </r>
  <r>
    <s v="1060"/>
    <x v="27"/>
    <x v="7"/>
    <x v="1"/>
    <n v="152"/>
    <n v="5560.9699999999984"/>
    <n v="5560.9699999999984"/>
  </r>
  <r>
    <s v="1060"/>
    <x v="27"/>
    <x v="7"/>
    <x v="2"/>
    <n v="160"/>
    <n v="5494.8800000000047"/>
    <n v="5494.8800000000047"/>
  </r>
  <r>
    <s v="1060"/>
    <x v="27"/>
    <x v="7"/>
    <x v="3"/>
    <n v="151.5"/>
    <n v="5509.6499999999978"/>
    <n v="5509.6499999999978"/>
  </r>
  <r>
    <s v="1060"/>
    <x v="27"/>
    <x v="7"/>
    <x v="4"/>
    <n v="159.5"/>
    <n v="5486.260000000002"/>
    <n v="5486.260000000002"/>
  </r>
  <r>
    <s v="1060"/>
    <x v="27"/>
    <x v="7"/>
    <x v="5"/>
    <n v="114"/>
    <n v="4533.93"/>
    <n v="5435.5240000000003"/>
  </r>
  <r>
    <s v="1080"/>
    <x v="28"/>
    <x v="0"/>
    <x v="0"/>
    <n v="159"/>
    <n v="2574.13"/>
    <n v="2574.13"/>
  </r>
  <r>
    <s v="1080"/>
    <x v="28"/>
    <x v="0"/>
    <x v="1"/>
    <n v="121.5"/>
    <n v="2308.2199999999993"/>
    <n v="2308.2199999999993"/>
  </r>
  <r>
    <s v="1080"/>
    <x v="28"/>
    <x v="0"/>
    <x v="2"/>
    <n v="157"/>
    <n v="2383.9900000000016"/>
    <n v="2383.9900000000016"/>
  </r>
  <r>
    <s v="1080"/>
    <x v="28"/>
    <x v="0"/>
    <x v="3"/>
    <n v="159"/>
    <n v="2589.9599999999982"/>
    <n v="2589.9599999999982"/>
  </r>
  <r>
    <s v="1080"/>
    <x v="28"/>
    <x v="0"/>
    <x v="4"/>
    <n v="162.5"/>
    <n v="2540.83"/>
    <n v="2540.83"/>
  </r>
  <r>
    <s v="1080"/>
    <x v="28"/>
    <x v="0"/>
    <x v="5"/>
    <n v="152"/>
    <n v="2447.2100000000009"/>
    <n v="2540.83"/>
  </r>
  <r>
    <s v="1130"/>
    <x v="29"/>
    <x v="7"/>
    <x v="0"/>
    <n v="155.5"/>
    <n v="3313.11"/>
    <n v="3313.11"/>
  </r>
  <r>
    <s v="1130"/>
    <x v="29"/>
    <x v="7"/>
    <x v="1"/>
    <n v="112.25"/>
    <n v="3184.1899999999991"/>
    <n v="3184.1899999999991"/>
  </r>
  <r>
    <s v="1130"/>
    <x v="29"/>
    <x v="7"/>
    <x v="2"/>
    <n v="133.25"/>
    <n v="3346.4600000000009"/>
    <n v="3346.4600000000009"/>
  </r>
  <r>
    <s v="1130"/>
    <x v="29"/>
    <x v="7"/>
    <x v="3"/>
    <n v="140"/>
    <n v="3194.67"/>
    <n v="3194.67"/>
  </r>
  <r>
    <s v="1130"/>
    <x v="29"/>
    <x v="7"/>
    <x v="4"/>
    <n v="141.75"/>
    <n v="3106.5699999999979"/>
    <n v="3106.5699999999979"/>
  </r>
  <r>
    <s v="1130"/>
    <x v="29"/>
    <x v="7"/>
    <x v="5"/>
    <n v="149.5"/>
    <n v="3324.7900000000063"/>
    <n v="3228.9999999999995"/>
  </r>
  <r>
    <s v="1190"/>
    <x v="30"/>
    <x v="4"/>
    <x v="0"/>
    <n v="144"/>
    <n v="9889.4399999999987"/>
    <n v="9889.4399999999987"/>
  </r>
  <r>
    <s v="1190"/>
    <x v="30"/>
    <x v="4"/>
    <x v="1"/>
    <n v="61"/>
    <n v="4529.7200000000012"/>
    <n v="4529.7200000000012"/>
  </r>
  <r>
    <s v="1190"/>
    <x v="30"/>
    <x v="4"/>
    <x v="2"/>
    <n v="160"/>
    <n v="5690.1399999999994"/>
    <n v="5690.1399999999994"/>
  </r>
  <r>
    <s v="1190"/>
    <x v="30"/>
    <x v="4"/>
    <x v="3"/>
    <n v="151.5"/>
    <n v="5715.8400000000038"/>
    <n v="5715.8400000000038"/>
  </r>
  <r>
    <s v="1190"/>
    <x v="30"/>
    <x v="4"/>
    <x v="4"/>
    <n v="152"/>
    <n v="5485.9599999999955"/>
    <n v="5485.9599999999955"/>
  </r>
  <r>
    <s v="1190"/>
    <x v="30"/>
    <x v="4"/>
    <x v="5"/>
    <n v="129.5"/>
    <n v="5096.6999999999971"/>
    <n v="6262.2199999999993"/>
  </r>
  <r>
    <s v="1230"/>
    <x v="31"/>
    <x v="8"/>
    <x v="0"/>
    <n v="147"/>
    <n v="1735.06"/>
    <n v="1735.06"/>
  </r>
  <r>
    <s v="1230"/>
    <x v="31"/>
    <x v="8"/>
    <x v="1"/>
    <n v="136.5"/>
    <n v="1736.29"/>
    <n v="1736.29"/>
  </r>
  <r>
    <s v="1230"/>
    <x v="31"/>
    <x v="8"/>
    <x v="2"/>
    <n v="139.5"/>
    <n v="1663.3599999999992"/>
    <n v="1663.3599999999992"/>
  </r>
  <r>
    <s v="1230"/>
    <x v="31"/>
    <x v="8"/>
    <x v="3"/>
    <n v="130.75"/>
    <n v="1658.9699999999993"/>
    <n v="1658.9699999999993"/>
  </r>
  <r>
    <s v="1230"/>
    <x v="31"/>
    <x v="8"/>
    <x v="4"/>
    <n v="147"/>
    <n v="1724.3800000000047"/>
    <n v="1724.3800000000047"/>
  </r>
  <r>
    <s v="1230"/>
    <x v="31"/>
    <x v="8"/>
    <x v="5"/>
    <n v="138.5"/>
    <n v="1708.2099999999955"/>
    <n v="1703.6120000000005"/>
  </r>
  <r>
    <s v="1270"/>
    <x v="32"/>
    <x v="0"/>
    <x v="0"/>
    <n v="83"/>
    <n v="1583.91"/>
    <n v="1583.91"/>
  </r>
  <r>
    <s v="1270"/>
    <x v="32"/>
    <x v="0"/>
    <x v="1"/>
    <n v="98.5"/>
    <n v="1474.53"/>
    <n v="1474.53"/>
  </r>
  <r>
    <s v="1270"/>
    <x v="32"/>
    <x v="0"/>
    <x v="2"/>
    <n v="111.5"/>
    <n v="1413.2199999999998"/>
    <n v="1413.2199999999998"/>
  </r>
  <r>
    <s v="1270"/>
    <x v="32"/>
    <x v="0"/>
    <x v="3"/>
    <n v="106.5"/>
    <n v="1517.2300000000005"/>
    <n v="1517.2300000000005"/>
  </r>
  <r>
    <s v="1270"/>
    <x v="32"/>
    <x v="0"/>
    <x v="4"/>
    <n v="91"/>
    <n v="1308.1299999999983"/>
    <n v="1308.1299999999983"/>
  </r>
  <r>
    <s v="1270"/>
    <x v="32"/>
    <x v="0"/>
    <x v="5"/>
    <n v="105.5"/>
    <n v="1451.8300000000017"/>
    <n v="1308.1299999999983"/>
  </r>
  <r>
    <s v="1280"/>
    <x v="33"/>
    <x v="2"/>
    <x v="0"/>
    <n v="119"/>
    <n v="2032.02"/>
    <n v="2032.02"/>
  </r>
  <r>
    <s v="1280"/>
    <x v="33"/>
    <x v="2"/>
    <x v="1"/>
    <n v="152"/>
    <n v="2091.3700000000013"/>
    <n v="2091.3700000000013"/>
  </r>
  <r>
    <s v="1280"/>
    <x v="33"/>
    <x v="2"/>
    <x v="2"/>
    <n v="158.75"/>
    <n v="2119.0999999999985"/>
    <n v="2119.0999999999985"/>
  </r>
  <r>
    <s v="1280"/>
    <x v="33"/>
    <x v="2"/>
    <x v="3"/>
    <n v="151"/>
    <n v="2207.58"/>
    <n v="2207.58"/>
  </r>
  <r>
    <s v="1280"/>
    <x v="33"/>
    <x v="2"/>
    <x v="4"/>
    <n v="150.25"/>
    <n v="2149.33"/>
    <n v="2149.33"/>
  </r>
  <r>
    <s v="1280"/>
    <x v="33"/>
    <x v="2"/>
    <x v="5"/>
    <n v="149.5"/>
    <n v="2148.3999999999996"/>
    <n v="2149.33"/>
  </r>
  <r>
    <s v="1290"/>
    <x v="34"/>
    <x v="0"/>
    <x v="0"/>
    <n v="151"/>
    <n v="2035.75"/>
    <n v="2035.75"/>
  </r>
  <r>
    <s v="1290"/>
    <x v="34"/>
    <x v="0"/>
    <x v="1"/>
    <n v="141.5"/>
    <n v="1820.9399999999996"/>
    <n v="1820.9399999999996"/>
  </r>
  <r>
    <s v="1290"/>
    <x v="34"/>
    <x v="0"/>
    <x v="2"/>
    <n v="143.5"/>
    <n v="1794.1500000000005"/>
    <n v="1794.1500000000005"/>
  </r>
  <r>
    <s v="1290"/>
    <x v="34"/>
    <x v="0"/>
    <x v="3"/>
    <n v="128"/>
    <n v="1996.4300000000003"/>
    <n v="1996.4300000000003"/>
  </r>
  <r>
    <s v="1290"/>
    <x v="34"/>
    <x v="0"/>
    <x v="4"/>
    <n v="136"/>
    <n v="1806.7699999999986"/>
    <n v="1806.7699999999986"/>
  </r>
  <r>
    <s v="1290"/>
    <x v="34"/>
    <x v="0"/>
    <x v="5"/>
    <n v="120.5"/>
    <n v="1839.0300000000007"/>
    <n v="1806.7699999999986"/>
  </r>
  <r>
    <s v="1300"/>
    <x v="35"/>
    <x v="0"/>
    <x v="0"/>
    <n v="96"/>
    <n v="1756.9300000000003"/>
    <n v="0"/>
  </r>
  <r>
    <s v="1300"/>
    <x v="35"/>
    <x v="0"/>
    <x v="1"/>
    <n v="69.75"/>
    <n v="1361.1"/>
    <n v="0"/>
  </r>
  <r>
    <s v="1300"/>
    <x v="35"/>
    <x v="0"/>
    <x v="2"/>
    <n v="92.5"/>
    <n v="1566.5099999999989"/>
    <n v="0"/>
  </r>
  <r>
    <s v="1300"/>
    <x v="35"/>
    <x v="0"/>
    <x v="3"/>
    <n v="94"/>
    <n v="1689.7300000000014"/>
    <n v="0"/>
  </r>
  <r>
    <s v="1300"/>
    <x v="35"/>
    <x v="0"/>
    <x v="4"/>
    <n v="112.25"/>
    <n v="1863.7000000000007"/>
    <n v="0"/>
  </r>
  <r>
    <s v="1300"/>
    <x v="35"/>
    <x v="0"/>
    <x v="5"/>
    <n v="78.5"/>
    <n v="1378.8100000000013"/>
    <n v="0"/>
  </r>
  <r>
    <s v="1330"/>
    <x v="36"/>
    <x v="4"/>
    <x v="0"/>
    <n v="47.75"/>
    <n v="1194.9000000000001"/>
    <n v="1194.9000000000001"/>
  </r>
  <r>
    <s v="1330"/>
    <x v="36"/>
    <x v="4"/>
    <x v="1"/>
    <n v="95.5"/>
    <n v="1500.1799999999998"/>
    <n v="1500.1799999999998"/>
  </r>
  <r>
    <s v="1330"/>
    <x v="36"/>
    <x v="4"/>
    <x v="2"/>
    <n v="100.75"/>
    <n v="1361.35"/>
    <n v="1361.35"/>
  </r>
  <r>
    <s v="1330"/>
    <x v="36"/>
    <x v="4"/>
    <x v="3"/>
    <n v="100.25"/>
    <n v="1395.3300000000004"/>
    <n v="1395.3300000000004"/>
  </r>
  <r>
    <s v="1330"/>
    <x v="36"/>
    <x v="4"/>
    <x v="4"/>
    <n v="113"/>
    <n v="1450.6899999999996"/>
    <n v="1450.6899999999996"/>
  </r>
  <r>
    <s v="1330"/>
    <x v="36"/>
    <x v="4"/>
    <x v="5"/>
    <n v="100.25"/>
    <n v="1387.9699999999984"/>
    <n v="1380.49"/>
  </r>
  <r>
    <s v="1360"/>
    <x v="37"/>
    <x v="0"/>
    <x v="0"/>
    <n v="21"/>
    <n v="621.26000000000022"/>
    <n v="0"/>
  </r>
  <r>
    <s v="1360"/>
    <x v="37"/>
    <x v="0"/>
    <x v="1"/>
    <n v="84"/>
    <n v="1114.6100000000001"/>
    <n v="0"/>
  </r>
  <r>
    <s v="1360"/>
    <x v="37"/>
    <x v="0"/>
    <x v="2"/>
    <n v="84"/>
    <n v="1074.6199999999994"/>
    <n v="0"/>
  </r>
  <r>
    <s v="1360"/>
    <x v="37"/>
    <x v="0"/>
    <x v="3"/>
    <n v="72.75"/>
    <n v="1070.5300000000007"/>
    <n v="0"/>
  </r>
  <r>
    <s v="1360"/>
    <x v="37"/>
    <x v="0"/>
    <x v="4"/>
    <n v="-261.75"/>
    <n v="-3881.0200000000004"/>
    <n v="0"/>
  </r>
  <r>
    <s v="1370"/>
    <x v="38"/>
    <x v="0"/>
    <x v="0"/>
    <n v="136.5"/>
    <n v="1859.39"/>
    <n v="1859.39"/>
  </r>
  <r>
    <s v="1370"/>
    <x v="38"/>
    <x v="0"/>
    <x v="1"/>
    <n v="136.5"/>
    <n v="1739.4999999999998"/>
    <n v="1739.4999999999998"/>
  </r>
  <r>
    <s v="1370"/>
    <x v="38"/>
    <x v="0"/>
    <x v="2"/>
    <n v="148.75"/>
    <n v="1830.2599999999998"/>
    <n v="1830.2599999999998"/>
  </r>
  <r>
    <s v="1370"/>
    <x v="38"/>
    <x v="0"/>
    <x v="3"/>
    <n v="136"/>
    <n v="1824.1499999999996"/>
    <n v="1824.1499999999996"/>
  </r>
  <r>
    <s v="1370"/>
    <x v="38"/>
    <x v="0"/>
    <x v="4"/>
    <n v="134"/>
    <n v="1740.5499999999993"/>
    <n v="1740.5499999999993"/>
  </r>
  <r>
    <s v="1370"/>
    <x v="38"/>
    <x v="0"/>
    <x v="5"/>
    <n v="144.5"/>
    <n v="1852.6500000000015"/>
    <n v="1740.5499999999993"/>
  </r>
  <r>
    <s v="1380"/>
    <x v="39"/>
    <x v="0"/>
    <x v="0"/>
    <n v="71"/>
    <n v="1123.9099999999999"/>
    <n v="1123.9099999999999"/>
  </r>
  <r>
    <s v="1380"/>
    <x v="39"/>
    <x v="0"/>
    <x v="1"/>
    <n v="34"/>
    <n v="983.11999999999989"/>
    <n v="983.11999999999989"/>
  </r>
  <r>
    <s v="1380"/>
    <x v="39"/>
    <x v="0"/>
    <x v="2"/>
    <n v="75.75"/>
    <n v="1104.0300000000002"/>
    <n v="1104.0300000000002"/>
  </r>
  <r>
    <s v="1380"/>
    <x v="39"/>
    <x v="0"/>
    <x v="3"/>
    <n v="105.75"/>
    <n v="1548.8399999999997"/>
    <n v="1548.8399999999997"/>
  </r>
  <r>
    <s v="1380"/>
    <x v="39"/>
    <x v="0"/>
    <x v="4"/>
    <n v="97"/>
    <n v="1574.0699999999997"/>
    <n v="1574.0699999999997"/>
  </r>
  <r>
    <s v="1380"/>
    <x v="39"/>
    <x v="0"/>
    <x v="5"/>
    <n v="98"/>
    <n v="1380.4599999999991"/>
    <n v="1574.0699999999997"/>
  </r>
  <r>
    <s v="1430"/>
    <x v="40"/>
    <x v="9"/>
    <x v="0"/>
    <n v="142.75"/>
    <n v="4133.84"/>
    <n v="4133.84"/>
  </r>
  <r>
    <s v="1430"/>
    <x v="40"/>
    <x v="9"/>
    <x v="1"/>
    <n v="120"/>
    <n v="3832.5999999999985"/>
    <n v="3832.5999999999985"/>
  </r>
  <r>
    <s v="1430"/>
    <x v="40"/>
    <x v="9"/>
    <x v="2"/>
    <n v="159.25"/>
    <n v="4461.380000000001"/>
    <n v="4461.380000000001"/>
  </r>
  <r>
    <s v="1430"/>
    <x v="40"/>
    <x v="9"/>
    <x v="3"/>
    <n v="151.5"/>
    <n v="4493.1900000000023"/>
    <n v="4493.1900000000023"/>
  </r>
  <r>
    <s v="1430"/>
    <x v="40"/>
    <x v="9"/>
    <x v="4"/>
    <n v="144.5"/>
    <n v="4160.6799999999967"/>
    <n v="4160.6799999999967"/>
  </r>
  <r>
    <s v="1430"/>
    <x v="40"/>
    <x v="9"/>
    <x v="5"/>
    <n v="113"/>
    <n v="3655.4300000000003"/>
    <n v="4216.3379999999997"/>
  </r>
  <r>
    <s v="1480"/>
    <x v="41"/>
    <x v="6"/>
    <x v="0"/>
    <n v="144"/>
    <n v="13457.28"/>
    <n v="0"/>
  </r>
  <r>
    <s v="1480"/>
    <x v="41"/>
    <x v="6"/>
    <x v="1"/>
    <n v="152"/>
    <n v="6194.9499999999989"/>
    <n v="0"/>
  </r>
  <r>
    <s v="1480"/>
    <x v="41"/>
    <x v="6"/>
    <x v="2"/>
    <n v="160"/>
    <n v="6086.2199999999975"/>
    <n v="0"/>
  </r>
  <r>
    <s v="1480"/>
    <x v="41"/>
    <x v="6"/>
    <x v="3"/>
    <n v="136.5"/>
    <n v="5688.9599999999991"/>
    <n v="0"/>
  </r>
  <r>
    <s v="1480"/>
    <x v="41"/>
    <x v="6"/>
    <x v="4"/>
    <n v="159.5"/>
    <n v="6072.0399999999936"/>
    <n v="0"/>
  </r>
  <r>
    <s v="1480"/>
    <x v="41"/>
    <x v="6"/>
    <x v="5"/>
    <n v="152"/>
    <n v="11979.680000000008"/>
    <n v="0"/>
  </r>
  <r>
    <s v="1490"/>
    <x v="42"/>
    <x v="2"/>
    <x v="0"/>
    <n v="108"/>
    <n v="1385.41"/>
    <n v="1385.41"/>
  </r>
  <r>
    <s v="1490"/>
    <x v="42"/>
    <x v="2"/>
    <x v="1"/>
    <n v="119.5"/>
    <n v="1418.5599999999997"/>
    <n v="1418.5599999999997"/>
  </r>
  <r>
    <s v="1490"/>
    <x v="42"/>
    <x v="2"/>
    <x v="2"/>
    <n v="117.75"/>
    <n v="1353.0000000000005"/>
    <n v="1353.0000000000005"/>
  </r>
  <r>
    <s v="1490"/>
    <x v="42"/>
    <x v="2"/>
    <x v="3"/>
    <n v="113"/>
    <n v="1439.0099999999993"/>
    <n v="1439.0099999999993"/>
  </r>
  <r>
    <s v="1490"/>
    <x v="42"/>
    <x v="2"/>
    <x v="4"/>
    <n v="108"/>
    <n v="1322.1200000000008"/>
    <n v="1322.1200000000008"/>
  </r>
  <r>
    <s v="1490"/>
    <x v="42"/>
    <x v="2"/>
    <x v="5"/>
    <n v="114"/>
    <n v="1402.9400000000005"/>
    <n v="1322.1200000000008"/>
  </r>
  <r>
    <s v="1560"/>
    <x v="43"/>
    <x v="0"/>
    <x v="0"/>
    <n v="63"/>
    <n v="1382.38"/>
    <n v="1382.38"/>
  </r>
  <r>
    <s v="1560"/>
    <x v="43"/>
    <x v="0"/>
    <x v="1"/>
    <n v="104.5"/>
    <n v="1640.6400000000003"/>
    <n v="1640.6400000000003"/>
  </r>
  <r>
    <s v="1560"/>
    <x v="43"/>
    <x v="0"/>
    <x v="2"/>
    <n v="97.25"/>
    <n v="1657.58"/>
    <n v="1657.58"/>
  </r>
  <r>
    <s v="1560"/>
    <x v="43"/>
    <x v="0"/>
    <x v="3"/>
    <n v="104.5"/>
    <n v="1765.7599999999993"/>
    <n v="1765.7599999999993"/>
  </r>
  <r>
    <s v="1560"/>
    <x v="43"/>
    <x v="0"/>
    <x v="4"/>
    <n v="94.5"/>
    <n v="1698.7400000000007"/>
    <n v="1698.7400000000007"/>
  </r>
  <r>
    <s v="1560"/>
    <x v="43"/>
    <x v="0"/>
    <x v="5"/>
    <n v="99.5"/>
    <n v="1636.7999999999993"/>
    <n v="1698.7400000000007"/>
  </r>
  <r>
    <s v="1600"/>
    <x v="44"/>
    <x v="0"/>
    <x v="0"/>
    <n v="89.75"/>
    <n v="1843.62"/>
    <n v="1843.62"/>
  </r>
  <r>
    <s v="1600"/>
    <x v="44"/>
    <x v="0"/>
    <x v="1"/>
    <n v="122"/>
    <n v="1922.7000000000003"/>
    <n v="1922.7000000000003"/>
  </r>
  <r>
    <s v="1600"/>
    <x v="44"/>
    <x v="0"/>
    <x v="2"/>
    <n v="120"/>
    <n v="1836.0499999999997"/>
    <n v="1836.0499999999997"/>
  </r>
  <r>
    <s v="1600"/>
    <x v="44"/>
    <x v="0"/>
    <x v="3"/>
    <n v="123.25"/>
    <n v="2032.6900000000005"/>
    <n v="2032.6900000000005"/>
  </r>
  <r>
    <s v="1600"/>
    <x v="44"/>
    <x v="0"/>
    <x v="4"/>
    <n v="128.75"/>
    <n v="1872.3399999999974"/>
    <n v="1872.3399999999974"/>
  </r>
  <r>
    <s v="1600"/>
    <x v="44"/>
    <x v="0"/>
    <x v="5"/>
    <n v="132"/>
    <n v="1880.5200000000041"/>
    <n v="1872.3399999999974"/>
  </r>
  <r>
    <s v="1650"/>
    <x v="45"/>
    <x v="0"/>
    <x v="0"/>
    <n v="144"/>
    <n v="2694.7999999999993"/>
    <n v="2694.7999999999993"/>
  </r>
  <r>
    <s v="1650"/>
    <x v="45"/>
    <x v="0"/>
    <x v="1"/>
    <n v="146"/>
    <n v="2501.0800000000008"/>
    <n v="2501.0800000000008"/>
  </r>
  <r>
    <s v="1650"/>
    <x v="45"/>
    <x v="0"/>
    <x v="2"/>
    <n v="157"/>
    <n v="2677.9400000000005"/>
    <n v="2677.9400000000005"/>
  </r>
  <r>
    <s v="1650"/>
    <x v="45"/>
    <x v="0"/>
    <x v="3"/>
    <n v="155.5"/>
    <n v="2823.0899999999992"/>
    <n v="2823.0899999999992"/>
  </r>
  <r>
    <s v="1650"/>
    <x v="45"/>
    <x v="0"/>
    <x v="4"/>
    <n v="111"/>
    <n v="2134.5200000000041"/>
    <n v="2134.5200000000041"/>
  </r>
  <r>
    <s v="1650"/>
    <x v="45"/>
    <x v="0"/>
    <x v="5"/>
    <n v="152"/>
    <n v="2727.2099999999991"/>
    <n v="2134.5200000000041"/>
  </r>
  <r>
    <s v="1680"/>
    <x v="46"/>
    <x v="2"/>
    <x v="0"/>
    <n v="153.5"/>
    <n v="3006.72"/>
    <n v="3006.72"/>
  </r>
  <r>
    <s v="1680"/>
    <x v="46"/>
    <x v="2"/>
    <x v="1"/>
    <n v="91"/>
    <n v="2207.0700000000011"/>
    <n v="2207.0700000000011"/>
  </r>
  <r>
    <s v="1680"/>
    <x v="46"/>
    <x v="2"/>
    <x v="2"/>
    <n v="141.5"/>
    <n v="2454.67"/>
    <n v="2454.67"/>
  </r>
  <r>
    <s v="1680"/>
    <x v="46"/>
    <x v="2"/>
    <x v="3"/>
    <n v="151.5"/>
    <n v="2798.6800000000003"/>
    <n v="2798.6800000000003"/>
  </r>
  <r>
    <s v="1680"/>
    <x v="46"/>
    <x v="2"/>
    <x v="4"/>
    <n v="144.5"/>
    <n v="2705.51"/>
    <n v="2705.51"/>
  </r>
  <r>
    <s v="1680"/>
    <x v="46"/>
    <x v="2"/>
    <x v="5"/>
    <n v="137"/>
    <n v="2552.559999999994"/>
    <n v="2705.51"/>
  </r>
  <r>
    <s v="1770"/>
    <x v="47"/>
    <x v="8"/>
    <x v="0"/>
    <n v="111.5"/>
    <n v="1385.31"/>
    <n v="1385.31"/>
  </r>
  <r>
    <s v="1770"/>
    <x v="47"/>
    <x v="8"/>
    <x v="1"/>
    <n v="55.25"/>
    <n v="1205.5999999999999"/>
    <n v="1205.5999999999999"/>
  </r>
  <r>
    <s v="1770"/>
    <x v="47"/>
    <x v="8"/>
    <x v="2"/>
    <n v="99.75"/>
    <n v="1339.2000000000003"/>
    <n v="1339.2000000000003"/>
  </r>
  <r>
    <s v="1770"/>
    <x v="47"/>
    <x v="8"/>
    <x v="3"/>
    <n v="105.75"/>
    <n v="1312.9199999999996"/>
    <n v="1312.9199999999996"/>
  </r>
  <r>
    <s v="1770"/>
    <x v="47"/>
    <x v="8"/>
    <x v="4"/>
    <n v="106.5"/>
    <n v="1298.8900000000003"/>
    <n v="1298.8900000000003"/>
  </r>
  <r>
    <s v="1770"/>
    <x v="47"/>
    <x v="8"/>
    <x v="5"/>
    <n v="0"/>
    <n v="5.0499999999992724"/>
    <n v="0"/>
  </r>
  <r>
    <s v="1790"/>
    <x v="48"/>
    <x v="0"/>
    <x v="0"/>
    <n v="135.5"/>
    <n v="3047.43"/>
    <n v="3047.43"/>
  </r>
  <r>
    <s v="1790"/>
    <x v="48"/>
    <x v="0"/>
    <x v="1"/>
    <n v="137"/>
    <n v="2867.7100000000005"/>
    <n v="2867.7100000000005"/>
  </r>
  <r>
    <s v="1790"/>
    <x v="48"/>
    <x v="0"/>
    <x v="2"/>
    <n v="151.5"/>
    <n v="2839.3300000000008"/>
    <n v="2839.3300000000008"/>
  </r>
  <r>
    <s v="1790"/>
    <x v="48"/>
    <x v="0"/>
    <x v="3"/>
    <n v="159.5"/>
    <n v="3186.9199999999983"/>
    <n v="3186.9199999999983"/>
  </r>
  <r>
    <s v="1790"/>
    <x v="48"/>
    <x v="0"/>
    <x v="4"/>
    <n v="144.5"/>
    <n v="2884.83"/>
    <n v="2884.83"/>
  </r>
  <r>
    <s v="1790"/>
    <x v="48"/>
    <x v="0"/>
    <x v="5"/>
    <n v="144"/>
    <n v="2842.0800000000036"/>
    <n v="2884.83"/>
  </r>
  <r>
    <s v="1820"/>
    <x v="49"/>
    <x v="0"/>
    <x v="0"/>
    <n v="140.5"/>
    <n v="2576.4299999999998"/>
    <n v="2576.4299999999998"/>
  </r>
  <r>
    <s v="1820"/>
    <x v="49"/>
    <x v="0"/>
    <x v="1"/>
    <n v="148.5"/>
    <n v="2458.6700000000005"/>
    <n v="2458.6700000000005"/>
  </r>
  <r>
    <s v="1820"/>
    <x v="49"/>
    <x v="0"/>
    <x v="2"/>
    <n v="119"/>
    <n v="2319.5299999999988"/>
    <n v="2319.5299999999988"/>
  </r>
  <r>
    <s v="1820"/>
    <x v="49"/>
    <x v="0"/>
    <x v="3"/>
    <n v="98.5"/>
    <n v="2121.3899999999994"/>
    <n v="2121.3899999999994"/>
  </r>
  <r>
    <s v="1820"/>
    <x v="49"/>
    <x v="0"/>
    <x v="4"/>
    <n v="137"/>
    <n v="2464.16"/>
    <n v="2464.16"/>
  </r>
  <r>
    <s v="1820"/>
    <x v="49"/>
    <x v="0"/>
    <x v="5"/>
    <n v="128.5"/>
    <n v="2501.1299999999992"/>
    <n v="2464.16"/>
  </r>
  <r>
    <s v="1850"/>
    <x v="50"/>
    <x v="5"/>
    <x v="0"/>
    <n v="137.75"/>
    <n v="6073.03"/>
    <n v="6073.03"/>
  </r>
  <r>
    <s v="1850"/>
    <x v="50"/>
    <x v="5"/>
    <x v="1"/>
    <n v="111.75"/>
    <n v="5301.81"/>
    <n v="5301.81"/>
  </r>
  <r>
    <s v="1850"/>
    <x v="50"/>
    <x v="5"/>
    <x v="2"/>
    <n v="160.5"/>
    <n v="5390.41"/>
    <n v="5390.41"/>
  </r>
  <r>
    <s v="1850"/>
    <x v="50"/>
    <x v="5"/>
    <x v="3"/>
    <n v="128"/>
    <n v="6841.59"/>
    <n v="6841.59"/>
  </r>
  <r>
    <s v="1850"/>
    <x v="50"/>
    <x v="5"/>
    <x v="4"/>
    <n v="152"/>
    <n v="5200.9300000000039"/>
    <n v="5200.9300000000039"/>
  </r>
  <r>
    <s v="1850"/>
    <x v="50"/>
    <x v="5"/>
    <x v="5"/>
    <n v="105.5"/>
    <n v="4203.8899999999994"/>
    <n v="5761.554000000001"/>
  </r>
  <r>
    <s v="1860"/>
    <x v="51"/>
    <x v="0"/>
    <x v="0"/>
    <n v="136"/>
    <n v="2502.9800000000005"/>
    <n v="2502.9800000000005"/>
  </r>
  <r>
    <s v="1860"/>
    <x v="51"/>
    <x v="0"/>
    <x v="1"/>
    <n v="68.5"/>
    <n v="2015.79"/>
    <n v="2015.79"/>
  </r>
  <r>
    <s v="1860"/>
    <x v="51"/>
    <x v="0"/>
    <x v="2"/>
    <n v="30.5"/>
    <n v="1565.6699999999992"/>
    <n v="1565.6699999999992"/>
  </r>
  <r>
    <s v="1860"/>
    <x v="51"/>
    <x v="0"/>
    <x v="3"/>
    <n v="0"/>
    <n v="1093.6000000000013"/>
    <n v="1093.6000000000013"/>
  </r>
  <r>
    <s v="1860"/>
    <x v="51"/>
    <x v="0"/>
    <x v="4"/>
    <n v="96.25"/>
    <n v="494.41000000000167"/>
    <n v="494.41000000000167"/>
  </r>
  <r>
    <s v="1860"/>
    <x v="51"/>
    <x v="0"/>
    <x v="5"/>
    <n v="129.25"/>
    <n v="1824.9699999999975"/>
    <n v="494.41000000000167"/>
  </r>
  <r>
    <s v="2080"/>
    <x v="52"/>
    <x v="0"/>
    <x v="0"/>
    <n v="105.5"/>
    <n v="2610.4900000000002"/>
    <n v="2610.4900000000002"/>
  </r>
  <r>
    <s v="2080"/>
    <x v="52"/>
    <x v="0"/>
    <x v="1"/>
    <n v="0"/>
    <n v="618.01000000000022"/>
    <n v="618.01000000000022"/>
  </r>
  <r>
    <s v="2080"/>
    <x v="52"/>
    <x v="0"/>
    <x v="2"/>
    <n v="41.5"/>
    <n v="1081.7199999999989"/>
    <n v="1081.7199999999989"/>
  </r>
  <r>
    <s v="2080"/>
    <x v="52"/>
    <x v="0"/>
    <x v="3"/>
    <n v="143.5"/>
    <n v="2513.2600000000002"/>
    <n v="2513.2600000000002"/>
  </r>
  <r>
    <s v="2080"/>
    <x v="52"/>
    <x v="0"/>
    <x v="4"/>
    <n v="140.75"/>
    <n v="2382.1000000000004"/>
    <n v="2382.1000000000004"/>
  </r>
  <r>
    <s v="2080"/>
    <x v="52"/>
    <x v="0"/>
    <x v="5"/>
    <n v="146.5"/>
    <n v="2465.4799999999996"/>
    <n v="2382.1000000000004"/>
  </r>
  <r>
    <s v="2280"/>
    <x v="53"/>
    <x v="2"/>
    <x v="0"/>
    <n v="0"/>
    <n v="457.77999999999986"/>
    <n v="457.77999999999986"/>
  </r>
  <r>
    <s v="2280"/>
    <x v="53"/>
    <x v="2"/>
    <x v="1"/>
    <n v="0"/>
    <n v="504.75000000000023"/>
    <n v="504.75000000000023"/>
  </r>
  <r>
    <s v="2280"/>
    <x v="53"/>
    <x v="2"/>
    <x v="2"/>
    <n v="0"/>
    <n v="471.3099999999996"/>
    <n v="471.3099999999996"/>
  </r>
  <r>
    <s v="2280"/>
    <x v="53"/>
    <x v="2"/>
    <x v="3"/>
    <n v="0"/>
    <n v="467.38000000000011"/>
    <n v="467.38000000000011"/>
  </r>
  <r>
    <s v="2280"/>
    <x v="53"/>
    <x v="2"/>
    <x v="4"/>
    <n v="0"/>
    <n v="447.40999999999985"/>
    <n v="447.40999999999985"/>
  </r>
  <r>
    <s v="2280"/>
    <x v="53"/>
    <x v="2"/>
    <x v="5"/>
    <n v="0"/>
    <n v="459.52000000000044"/>
    <n v="447.40999999999985"/>
  </r>
  <r>
    <s v="2440"/>
    <x v="54"/>
    <x v="0"/>
    <x v="0"/>
    <n v="104.5"/>
    <n v="2100.77"/>
    <n v="2100.77"/>
  </r>
  <r>
    <s v="2440"/>
    <x v="54"/>
    <x v="0"/>
    <x v="1"/>
    <n v="140.5"/>
    <n v="2225.8200000000002"/>
    <n v="2225.8200000000002"/>
  </r>
  <r>
    <s v="2440"/>
    <x v="54"/>
    <x v="0"/>
    <x v="2"/>
    <n v="72.75"/>
    <n v="2008.5500000000002"/>
    <n v="2008.5500000000002"/>
  </r>
  <r>
    <s v="2440"/>
    <x v="54"/>
    <x v="0"/>
    <x v="3"/>
    <n v="130"/>
    <n v="2228.3099999999986"/>
    <n v="2228.3099999999986"/>
  </r>
  <r>
    <s v="2440"/>
    <x v="54"/>
    <x v="0"/>
    <x v="4"/>
    <n v="140"/>
    <n v="2213.9400000000005"/>
    <n v="2213.9400000000005"/>
  </r>
  <r>
    <s v="2440"/>
    <x v="54"/>
    <x v="0"/>
    <x v="5"/>
    <n v="135"/>
    <n v="2403.5999999999985"/>
    <n v="2213.9400000000005"/>
  </r>
  <r>
    <s v="2660"/>
    <x v="55"/>
    <x v="4"/>
    <x v="0"/>
    <n v="160.75"/>
    <n v="3176.65"/>
    <n v="0"/>
  </r>
  <r>
    <s v="2660"/>
    <x v="55"/>
    <x v="4"/>
    <x v="1"/>
    <n v="142.75"/>
    <n v="3050.43"/>
    <n v="0"/>
  </r>
  <r>
    <s v="2660"/>
    <x v="55"/>
    <x v="4"/>
    <x v="2"/>
    <n v="170"/>
    <n v="3368.5500000000011"/>
    <n v="0"/>
  </r>
  <r>
    <s v="2660"/>
    <x v="55"/>
    <x v="4"/>
    <x v="3"/>
    <n v="171"/>
    <n v="3394.8299999999981"/>
    <n v="0"/>
  </r>
  <r>
    <s v="2660"/>
    <x v="55"/>
    <x v="4"/>
    <x v="4"/>
    <n v="144.75"/>
    <n v="2940.6299999999992"/>
    <n v="0"/>
  </r>
  <r>
    <s v="2660"/>
    <x v="55"/>
    <x v="4"/>
    <x v="5"/>
    <n v="126.25"/>
    <n v="2692.0400000000027"/>
    <n v="0"/>
  </r>
  <r>
    <s v="2710"/>
    <x v="56"/>
    <x v="5"/>
    <x v="0"/>
    <n v="70.5"/>
    <n v="923.81000000000017"/>
    <n v="923.81000000000017"/>
  </r>
  <r>
    <s v="2710"/>
    <x v="56"/>
    <x v="5"/>
    <x v="1"/>
    <n v="75"/>
    <n v="1099.6200000000001"/>
    <n v="1099.6200000000001"/>
  </r>
  <r>
    <s v="2710"/>
    <x v="56"/>
    <x v="5"/>
    <x v="2"/>
    <n v="60.25"/>
    <n v="941.97999999999956"/>
    <n v="941.97999999999956"/>
  </r>
  <r>
    <s v="2710"/>
    <x v="56"/>
    <x v="5"/>
    <x v="3"/>
    <n v="57.5"/>
    <n v="952.56"/>
    <n v="952.56"/>
  </r>
  <r>
    <s v="2710"/>
    <x v="56"/>
    <x v="5"/>
    <x v="4"/>
    <n v="58.5"/>
    <n v="923.32000000000107"/>
    <n v="923.32000000000107"/>
  </r>
  <r>
    <s v="2710"/>
    <x v="56"/>
    <x v="5"/>
    <x v="5"/>
    <n v="69.5"/>
    <n v="995.23999999999978"/>
    <n v="968.25800000000015"/>
  </r>
  <r>
    <s v="2730"/>
    <x v="57"/>
    <x v="0"/>
    <x v="0"/>
    <n v="135.25"/>
    <n v="1696.77"/>
    <n v="1696.77"/>
  </r>
  <r>
    <s v="2730"/>
    <x v="57"/>
    <x v="0"/>
    <x v="1"/>
    <n v="112"/>
    <n v="1389.5599999999995"/>
    <n v="1389.5599999999995"/>
  </r>
  <r>
    <s v="2730"/>
    <x v="57"/>
    <x v="0"/>
    <x v="2"/>
    <n v="116.25"/>
    <n v="1440.8300000000004"/>
    <n v="1440.8300000000004"/>
  </r>
  <r>
    <s v="2730"/>
    <x v="57"/>
    <x v="0"/>
    <x v="3"/>
    <n v="120.25"/>
    <n v="1564.4899999999998"/>
    <n v="1564.4899999999998"/>
  </r>
  <r>
    <s v="2730"/>
    <x v="57"/>
    <x v="0"/>
    <x v="4"/>
    <n v="75.25"/>
    <n v="1106.5900000000001"/>
    <n v="1106.5900000000001"/>
  </r>
  <r>
    <s v="2730"/>
    <x v="57"/>
    <x v="0"/>
    <x v="5"/>
    <n v="79.75"/>
    <n v="1162.1200000000008"/>
    <n v="1106.5900000000001"/>
  </r>
  <r>
    <s v="2960"/>
    <x v="58"/>
    <x v="9"/>
    <x v="0"/>
    <n v="106"/>
    <n v="2411.5300000000002"/>
    <n v="2411.5300000000002"/>
  </r>
  <r>
    <s v="2960"/>
    <x v="58"/>
    <x v="9"/>
    <x v="1"/>
    <n v="95"/>
    <n v="2434.4499999999994"/>
    <n v="2434.4499999999994"/>
  </r>
  <r>
    <s v="2960"/>
    <x v="58"/>
    <x v="9"/>
    <x v="2"/>
    <n v="115"/>
    <n v="2354.9300000000003"/>
    <n v="2354.9300000000003"/>
  </r>
  <r>
    <s v="2960"/>
    <x v="58"/>
    <x v="9"/>
    <x v="3"/>
    <n v="72.75"/>
    <n v="1946.83"/>
    <n v="1946.83"/>
  </r>
  <r>
    <s v="2960"/>
    <x v="58"/>
    <x v="9"/>
    <x v="4"/>
    <n v="116.25"/>
    <n v="2456.2399999999998"/>
    <n v="2456.2399999999998"/>
  </r>
  <r>
    <s v="2960"/>
    <x v="58"/>
    <x v="9"/>
    <x v="5"/>
    <n v="134.5"/>
    <n v="2750.489999999998"/>
    <n v="2320.7959999999998"/>
  </r>
  <r>
    <s v="3120"/>
    <x v="59"/>
    <x v="10"/>
    <x v="0"/>
    <n v="141.5"/>
    <n v="4212.38"/>
    <n v="4212.38"/>
  </r>
  <r>
    <s v="3120"/>
    <x v="59"/>
    <x v="10"/>
    <x v="1"/>
    <n v="136.75"/>
    <n v="2973.8499999999995"/>
    <n v="2973.8499999999995"/>
  </r>
  <r>
    <s v="3120"/>
    <x v="59"/>
    <x v="10"/>
    <x v="2"/>
    <n v="152"/>
    <n v="2820.7300000000014"/>
    <n v="2820.7300000000014"/>
  </r>
  <r>
    <s v="3120"/>
    <x v="59"/>
    <x v="10"/>
    <x v="3"/>
    <n v="111.5"/>
    <n v="2410.1299999999992"/>
    <n v="2410.1299999999992"/>
  </r>
  <r>
    <s v="3120"/>
    <x v="59"/>
    <x v="10"/>
    <x v="4"/>
    <n v="144"/>
    <n v="2822.9699999999993"/>
    <n v="2822.9699999999993"/>
  </r>
  <r>
    <s v="3120"/>
    <x v="59"/>
    <x v="10"/>
    <x v="5"/>
    <n v="146.5"/>
    <n v="2862.58"/>
    <n v="3048.0119999999997"/>
  </r>
  <r>
    <s v="3240"/>
    <x v="60"/>
    <x v="11"/>
    <x v="1"/>
    <n v="0"/>
    <n v="6.7200000000000273"/>
    <n v="0"/>
  </r>
  <r>
    <s v="3240"/>
    <x v="60"/>
    <x v="11"/>
    <x v="4"/>
    <n v="0"/>
    <n v="-1.1368683772161603E-13"/>
    <n v="0"/>
  </r>
  <r>
    <s v="3260"/>
    <x v="61"/>
    <x v="2"/>
    <x v="0"/>
    <n v="125"/>
    <n v="1495.2100000000003"/>
    <n v="1495.2100000000003"/>
  </r>
  <r>
    <s v="3260"/>
    <x v="61"/>
    <x v="2"/>
    <x v="1"/>
    <n v="116.25"/>
    <n v="1309.6399999999996"/>
    <n v="1309.6399999999996"/>
  </r>
  <r>
    <s v="3260"/>
    <x v="61"/>
    <x v="2"/>
    <x v="2"/>
    <n v="116"/>
    <n v="1382.5099999999998"/>
    <n v="1382.5099999999998"/>
  </r>
  <r>
    <s v="3260"/>
    <x v="61"/>
    <x v="2"/>
    <x v="3"/>
    <n v="57.5"/>
    <n v="1277.4700000000003"/>
    <n v="1277.4700000000003"/>
  </r>
  <r>
    <s v="3260"/>
    <x v="61"/>
    <x v="2"/>
    <x v="4"/>
    <n v="88"/>
    <n v="1196.0800000000008"/>
    <n v="1196.0800000000008"/>
  </r>
  <r>
    <s v="3260"/>
    <x v="61"/>
    <x v="2"/>
    <x v="5"/>
    <n v="105.75"/>
    <n v="1335.9100000000008"/>
    <n v="1196.0800000000008"/>
  </r>
  <r>
    <s v="3320"/>
    <x v="62"/>
    <x v="0"/>
    <x v="0"/>
    <n v="136.75"/>
    <n v="2186.15"/>
    <n v="2186.15"/>
  </r>
  <r>
    <s v="3320"/>
    <x v="62"/>
    <x v="0"/>
    <x v="1"/>
    <n v="148.5"/>
    <n v="2219.9099999999994"/>
    <n v="2219.9099999999994"/>
  </r>
  <r>
    <s v="3320"/>
    <x v="62"/>
    <x v="0"/>
    <x v="2"/>
    <n v="107.75"/>
    <n v="1972.4700000000003"/>
    <n v="1972.4700000000003"/>
  </r>
  <r>
    <s v="3320"/>
    <x v="62"/>
    <x v="0"/>
    <x v="3"/>
    <n v="112.5"/>
    <n v="1974.37"/>
    <n v="1974.37"/>
  </r>
  <r>
    <s v="3320"/>
    <x v="62"/>
    <x v="0"/>
    <x v="4"/>
    <n v="125.25"/>
    <n v="1975.7600000000002"/>
    <n v="1975.7600000000002"/>
  </r>
  <r>
    <s v="3320"/>
    <x v="62"/>
    <x v="0"/>
    <x v="5"/>
    <n v="144.75"/>
    <n v="2154.0800000000017"/>
    <n v="1975.7600000000002"/>
  </r>
  <r>
    <s v="3450"/>
    <x v="63"/>
    <x v="12"/>
    <x v="0"/>
    <n v="132"/>
    <n v="1967.5899999999997"/>
    <n v="1967.5899999999997"/>
  </r>
  <r>
    <s v="3450"/>
    <x v="63"/>
    <x v="12"/>
    <x v="1"/>
    <n v="112.25"/>
    <n v="1617.87"/>
    <n v="1617.87"/>
  </r>
  <r>
    <s v="3450"/>
    <x v="63"/>
    <x v="12"/>
    <x v="2"/>
    <n v="115.25"/>
    <n v="1694.7500000000014"/>
    <n v="1694.7500000000014"/>
  </r>
  <r>
    <s v="3450"/>
    <x v="63"/>
    <x v="12"/>
    <x v="3"/>
    <n v="93"/>
    <n v="1816.3999999999978"/>
    <n v="1816.3999999999978"/>
  </r>
  <r>
    <s v="3450"/>
    <x v="63"/>
    <x v="12"/>
    <x v="4"/>
    <n v="75.25"/>
    <n v="1307.9600000000009"/>
    <n v="1307.9600000000009"/>
  </r>
  <r>
    <s v="3450"/>
    <x v="63"/>
    <x v="12"/>
    <x v="5"/>
    <n v="91.5"/>
    <n v="1547.2499999999982"/>
    <n v="1680.914"/>
  </r>
  <r>
    <s v="3480"/>
    <x v="64"/>
    <x v="2"/>
    <x v="0"/>
    <n v="129"/>
    <n v="2172.2600000000002"/>
    <n v="0"/>
  </r>
  <r>
    <s v="3480"/>
    <x v="64"/>
    <x v="2"/>
    <x v="1"/>
    <n v="139.5"/>
    <n v="2117.88"/>
    <n v="0"/>
  </r>
  <r>
    <s v="3480"/>
    <x v="64"/>
    <x v="2"/>
    <x v="2"/>
    <n v="125"/>
    <n v="2157.75"/>
    <n v="0"/>
  </r>
  <r>
    <s v="3480"/>
    <x v="64"/>
    <x v="2"/>
    <x v="3"/>
    <n v="91"/>
    <n v="2015.63"/>
    <n v="0"/>
  </r>
  <r>
    <s v="3480"/>
    <x v="64"/>
    <x v="2"/>
    <x v="4"/>
    <n v="-484.5"/>
    <n v="-8463.52"/>
    <n v="0"/>
  </r>
  <r>
    <s v="3550"/>
    <x v="65"/>
    <x v="2"/>
    <x v="0"/>
    <n v="121.5"/>
    <n v="2332.25"/>
    <n v="2332.25"/>
  </r>
  <r>
    <s v="3550"/>
    <x v="65"/>
    <x v="2"/>
    <x v="1"/>
    <n v="143.5"/>
    <n v="2221.33"/>
    <n v="2221.33"/>
  </r>
  <r>
    <s v="3550"/>
    <x v="65"/>
    <x v="2"/>
    <x v="2"/>
    <n v="134"/>
    <n v="2170.2600000000002"/>
    <n v="2170.2600000000002"/>
  </r>
  <r>
    <s v="3550"/>
    <x v="65"/>
    <x v="2"/>
    <x v="3"/>
    <n v="129.25"/>
    <n v="2411.09"/>
    <n v="2411.09"/>
  </r>
  <r>
    <s v="3550"/>
    <x v="65"/>
    <x v="2"/>
    <x v="4"/>
    <n v="118.5"/>
    <n v="2283.5200000000004"/>
    <n v="2283.5200000000004"/>
  </r>
  <r>
    <s v="3550"/>
    <x v="65"/>
    <x v="2"/>
    <x v="5"/>
    <n v="144.5"/>
    <n v="2376.4499999999989"/>
    <n v="2283.5200000000004"/>
  </r>
  <r>
    <s v="3590"/>
    <x v="66"/>
    <x v="4"/>
    <x v="0"/>
    <n v="119.75"/>
    <n v="2037.94"/>
    <n v="2037.94"/>
  </r>
  <r>
    <s v="3590"/>
    <x v="66"/>
    <x v="4"/>
    <x v="1"/>
    <n v="144.5"/>
    <n v="2274.4699999999998"/>
    <n v="2274.4699999999998"/>
  </r>
  <r>
    <s v="3590"/>
    <x v="66"/>
    <x v="4"/>
    <x v="2"/>
    <n v="156"/>
    <n v="2280.8000000000011"/>
    <n v="2280.8000000000011"/>
  </r>
  <r>
    <s v="3590"/>
    <x v="66"/>
    <x v="4"/>
    <x v="3"/>
    <n v="151.5"/>
    <n v="2811.3999999999996"/>
    <n v="2811.3999999999996"/>
  </r>
  <r>
    <s v="3590"/>
    <x v="66"/>
    <x v="4"/>
    <x v="4"/>
    <n v="165.75"/>
    <n v="2573.6699999999964"/>
    <n v="2573.6699999999964"/>
  </r>
  <r>
    <s v="3590"/>
    <x v="66"/>
    <x v="4"/>
    <x v="5"/>
    <n v="127.75"/>
    <n v="1958.1800000000021"/>
    <n v="2395.6559999999995"/>
  </r>
  <r>
    <s v="3660"/>
    <x v="67"/>
    <x v="10"/>
    <x v="0"/>
    <n v="139.5"/>
    <n v="4084.72"/>
    <n v="4084.72"/>
  </r>
  <r>
    <s v="3660"/>
    <x v="67"/>
    <x v="10"/>
    <x v="1"/>
    <n v="121.5"/>
    <n v="2807.2600000000016"/>
    <n v="2807.2600000000016"/>
  </r>
  <r>
    <s v="3660"/>
    <x v="67"/>
    <x v="10"/>
    <x v="2"/>
    <n v="160"/>
    <n v="3007.6499999999996"/>
    <n v="3007.6499999999996"/>
  </r>
  <r>
    <s v="3660"/>
    <x v="67"/>
    <x v="10"/>
    <x v="3"/>
    <n v="149.5"/>
    <n v="2886.1099999999988"/>
    <n v="2886.1099999999988"/>
  </r>
  <r>
    <s v="3660"/>
    <x v="67"/>
    <x v="10"/>
    <x v="4"/>
    <n v="147.75"/>
    <n v="2794.8600000000006"/>
    <n v="2794.8600000000006"/>
  </r>
  <r>
    <s v="3660"/>
    <x v="67"/>
    <x v="10"/>
    <x v="5"/>
    <n v="126.75"/>
    <n v="2558.5000000000018"/>
    <n v="3116.12"/>
  </r>
  <r>
    <s v="3960"/>
    <x v="68"/>
    <x v="2"/>
    <x v="0"/>
    <n v="92.5"/>
    <n v="1639.6300000000003"/>
    <n v="1639.6300000000003"/>
  </r>
  <r>
    <s v="3960"/>
    <x v="68"/>
    <x v="2"/>
    <x v="1"/>
    <n v="131.5"/>
    <n v="1783.7999999999995"/>
    <n v="1783.7999999999995"/>
  </r>
  <r>
    <s v="3960"/>
    <x v="68"/>
    <x v="2"/>
    <x v="2"/>
    <n v="124.25"/>
    <n v="1827.6300000000006"/>
    <n v="1827.6300000000006"/>
  </r>
  <r>
    <s v="3960"/>
    <x v="68"/>
    <x v="2"/>
    <x v="3"/>
    <n v="114"/>
    <n v="2057.6900000000005"/>
    <n v="2057.6900000000005"/>
  </r>
  <r>
    <s v="3960"/>
    <x v="68"/>
    <x v="2"/>
    <x v="4"/>
    <n v="128.5"/>
    <n v="1845.8900000000003"/>
    <n v="1845.8900000000003"/>
  </r>
  <r>
    <s v="3960"/>
    <x v="68"/>
    <x v="2"/>
    <x v="5"/>
    <n v="145.5"/>
    <n v="1971.8700000000008"/>
    <n v="1845.8900000000003"/>
  </r>
  <r>
    <s v="3970"/>
    <x v="69"/>
    <x v="2"/>
    <x v="0"/>
    <n v="116.25"/>
    <n v="2139.92"/>
    <n v="2139.92"/>
  </r>
  <r>
    <s v="3970"/>
    <x v="69"/>
    <x v="2"/>
    <x v="1"/>
    <n v="129"/>
    <n v="2077.13"/>
    <n v="2077.13"/>
  </r>
  <r>
    <s v="3970"/>
    <x v="69"/>
    <x v="2"/>
    <x v="2"/>
    <n v="116"/>
    <n v="2047.5500000000002"/>
    <n v="2047.5500000000002"/>
  </r>
  <r>
    <s v="3970"/>
    <x v="69"/>
    <x v="2"/>
    <x v="3"/>
    <n v="119.5"/>
    <n v="2090.9400000000005"/>
    <n v="2090.9400000000005"/>
  </r>
  <r>
    <s v="3970"/>
    <x v="69"/>
    <x v="2"/>
    <x v="4"/>
    <n v="101"/>
    <n v="2012.8899999999994"/>
    <n v="2012.8899999999994"/>
  </r>
  <r>
    <s v="3970"/>
    <x v="69"/>
    <x v="2"/>
    <x v="5"/>
    <n v="101.75"/>
    <n v="1782.4599999999991"/>
    <n v="2012.8899999999994"/>
  </r>
  <r>
    <s v="3980"/>
    <x v="70"/>
    <x v="0"/>
    <x v="0"/>
    <n v="147.75"/>
    <n v="2076.8000000000002"/>
    <n v="2076.8000000000002"/>
  </r>
  <r>
    <s v="3980"/>
    <x v="70"/>
    <x v="0"/>
    <x v="1"/>
    <n v="152"/>
    <n v="2004.4299999999994"/>
    <n v="2004.4299999999994"/>
  </r>
  <r>
    <s v="3980"/>
    <x v="70"/>
    <x v="0"/>
    <x v="2"/>
    <n v="152.5"/>
    <n v="1988.8700000000008"/>
    <n v="1988.8700000000008"/>
  </r>
  <r>
    <s v="3980"/>
    <x v="70"/>
    <x v="0"/>
    <x v="3"/>
    <n v="139.5"/>
    <n v="2009.1099999999997"/>
    <n v="2009.1099999999997"/>
  </r>
  <r>
    <s v="3980"/>
    <x v="70"/>
    <x v="0"/>
    <x v="4"/>
    <n v="137.5"/>
    <n v="1980.2400000000007"/>
    <n v="1980.2400000000007"/>
  </r>
  <r>
    <s v="3980"/>
    <x v="70"/>
    <x v="0"/>
    <x v="5"/>
    <n v="151.25"/>
    <n v="2033.6899999999987"/>
    <n v="1980.2400000000007"/>
  </r>
  <r>
    <s v="4050"/>
    <x v="71"/>
    <x v="2"/>
    <x v="0"/>
    <n v="132"/>
    <n v="1634.64"/>
    <n v="1634.64"/>
  </r>
  <r>
    <s v="4050"/>
    <x v="71"/>
    <x v="2"/>
    <x v="1"/>
    <n v="133.5"/>
    <n v="1536.59"/>
    <n v="1536.59"/>
  </r>
  <r>
    <s v="4050"/>
    <x v="71"/>
    <x v="2"/>
    <x v="2"/>
    <n v="149"/>
    <n v="1665.8100000000009"/>
    <n v="1665.8100000000009"/>
  </r>
  <r>
    <s v="4050"/>
    <x v="71"/>
    <x v="2"/>
    <x v="3"/>
    <n v="140.5"/>
    <n v="1749.7399999999998"/>
    <n v="1749.7399999999998"/>
  </r>
  <r>
    <s v="4050"/>
    <x v="71"/>
    <x v="2"/>
    <x v="4"/>
    <n v="124.5"/>
    <n v="1492.88"/>
    <n v="1492.88"/>
  </r>
  <r>
    <s v="4050"/>
    <x v="71"/>
    <x v="2"/>
    <x v="5"/>
    <n v="134.5"/>
    <n v="1573.8699999999981"/>
    <n v="1492.88"/>
  </r>
  <r>
    <s v="4060"/>
    <x v="72"/>
    <x v="2"/>
    <x v="0"/>
    <n v="74"/>
    <n v="1242.1000000000001"/>
    <n v="1242.1000000000001"/>
  </r>
  <r>
    <s v="4060"/>
    <x v="72"/>
    <x v="2"/>
    <x v="1"/>
    <n v="71"/>
    <n v="1080.7699999999998"/>
    <n v="1080.7699999999998"/>
  </r>
  <r>
    <s v="4060"/>
    <x v="72"/>
    <x v="2"/>
    <x v="2"/>
    <n v="79.75"/>
    <n v="1192.1100000000006"/>
    <n v="1192.1100000000006"/>
  </r>
  <r>
    <s v="4060"/>
    <x v="72"/>
    <x v="2"/>
    <x v="3"/>
    <n v="81"/>
    <n v="1315.4999999999991"/>
    <n v="1315.4999999999991"/>
  </r>
  <r>
    <s v="4060"/>
    <x v="72"/>
    <x v="2"/>
    <x v="4"/>
    <n v="72"/>
    <n v="1166.9800000000014"/>
    <n v="1166.9800000000014"/>
  </r>
  <r>
    <s v="4060"/>
    <x v="72"/>
    <x v="2"/>
    <x v="5"/>
    <n v="63"/>
    <n v="1081.2799999999997"/>
    <n v="1166.9800000000014"/>
  </r>
  <r>
    <s v="4120"/>
    <x v="73"/>
    <x v="7"/>
    <x v="0"/>
    <n v="132"/>
    <n v="2956.87"/>
    <n v="2956.87"/>
  </r>
  <r>
    <s v="4120"/>
    <x v="73"/>
    <x v="7"/>
    <x v="1"/>
    <n v="133.5"/>
    <n v="2934.24"/>
    <n v="2934.24"/>
  </r>
  <r>
    <s v="4120"/>
    <x v="73"/>
    <x v="7"/>
    <x v="2"/>
    <n v="144.5"/>
    <n v="2956.95"/>
    <n v="2956.95"/>
  </r>
  <r>
    <s v="4120"/>
    <x v="73"/>
    <x v="7"/>
    <x v="3"/>
    <n v="99.5"/>
    <n v="2627.0699999999997"/>
    <n v="2627.0699999999997"/>
  </r>
  <r>
    <s v="4120"/>
    <x v="73"/>
    <x v="7"/>
    <x v="4"/>
    <n v="141.5"/>
    <n v="3064.9199999999983"/>
    <n v="3064.9199999999983"/>
  </r>
  <r>
    <s v="4120"/>
    <x v="73"/>
    <x v="7"/>
    <x v="5"/>
    <n v="137.75"/>
    <n v="3145.9699999999993"/>
    <n v="2908.0099999999993"/>
  </r>
  <r>
    <s v="4140"/>
    <x v="74"/>
    <x v="0"/>
    <x v="0"/>
    <n v="0"/>
    <n v="158.96000000000004"/>
    <n v="158.96000000000004"/>
  </r>
  <r>
    <s v="4140"/>
    <x v="74"/>
    <x v="0"/>
    <x v="1"/>
    <n v="0"/>
    <n v="176.70999999999958"/>
    <n v="176.70999999999958"/>
  </r>
  <r>
    <s v="4140"/>
    <x v="74"/>
    <x v="0"/>
    <x v="2"/>
    <n v="0"/>
    <n v="158.41000000000031"/>
    <n v="158.41000000000031"/>
  </r>
  <r>
    <s v="4140"/>
    <x v="74"/>
    <x v="0"/>
    <x v="3"/>
    <n v="0"/>
    <n v="162.50999999999976"/>
    <n v="162.50999999999976"/>
  </r>
  <r>
    <s v="4140"/>
    <x v="74"/>
    <x v="0"/>
    <x v="4"/>
    <n v="0"/>
    <n v="156.02999999999975"/>
    <n v="156.02999999999975"/>
  </r>
  <r>
    <s v="4140"/>
    <x v="74"/>
    <x v="0"/>
    <x v="5"/>
    <n v="0"/>
    <n v="-618.56999999999925"/>
    <n v="156.02999999999975"/>
  </r>
  <r>
    <s v="4180"/>
    <x v="75"/>
    <x v="0"/>
    <x v="0"/>
    <n v="151.5"/>
    <n v="2454.4199999999996"/>
    <n v="2454.4199999999996"/>
  </r>
  <r>
    <s v="4180"/>
    <x v="75"/>
    <x v="0"/>
    <x v="1"/>
    <n v="137"/>
    <n v="2160.2099999999996"/>
    <n v="2160.2099999999996"/>
  </r>
  <r>
    <s v="4180"/>
    <x v="75"/>
    <x v="0"/>
    <x v="2"/>
    <n v="141.25"/>
    <n v="2208.1000000000004"/>
    <n v="2208.1000000000004"/>
  </r>
  <r>
    <s v="4180"/>
    <x v="75"/>
    <x v="0"/>
    <x v="3"/>
    <n v="144"/>
    <n v="2361.2400000000016"/>
    <n v="2361.2400000000016"/>
  </r>
  <r>
    <s v="4180"/>
    <x v="75"/>
    <x v="0"/>
    <x v="4"/>
    <n v="144.5"/>
    <n v="2373.4699999999975"/>
    <n v="2373.4699999999975"/>
  </r>
  <r>
    <s v="4180"/>
    <x v="75"/>
    <x v="0"/>
    <x v="5"/>
    <n v="23"/>
    <n v="1147.7399999999998"/>
    <n v="2373.4699999999975"/>
  </r>
  <r>
    <s v="4210"/>
    <x v="76"/>
    <x v="0"/>
    <x v="0"/>
    <n v="60"/>
    <n v="1084.08"/>
    <n v="1084.08"/>
  </r>
  <r>
    <s v="4210"/>
    <x v="76"/>
    <x v="0"/>
    <x v="1"/>
    <n v="84"/>
    <n v="1264.7599999999998"/>
    <n v="1264.7599999999998"/>
  </r>
  <r>
    <s v="4210"/>
    <x v="76"/>
    <x v="0"/>
    <x v="2"/>
    <n v="118"/>
    <n v="1325.8100000000009"/>
    <n v="1325.8100000000009"/>
  </r>
  <r>
    <s v="4210"/>
    <x v="76"/>
    <x v="0"/>
    <x v="3"/>
    <n v="83.5"/>
    <n v="1354.5599999999995"/>
    <n v="1354.5599999999995"/>
  </r>
  <r>
    <s v="4210"/>
    <x v="76"/>
    <x v="0"/>
    <x v="4"/>
    <n v="108"/>
    <n v="1297.5300000000007"/>
    <n v="1297.5300000000007"/>
  </r>
  <r>
    <s v="4210"/>
    <x v="76"/>
    <x v="0"/>
    <x v="5"/>
    <n v="120"/>
    <n v="1398.1799999999985"/>
    <n v="1297.5300000000007"/>
  </r>
  <r>
    <s v="4260"/>
    <x v="77"/>
    <x v="0"/>
    <x v="0"/>
    <n v="151"/>
    <n v="2901.9600000000005"/>
    <n v="2901.9600000000005"/>
  </r>
  <r>
    <s v="4260"/>
    <x v="77"/>
    <x v="0"/>
    <x v="1"/>
    <n v="129"/>
    <n v="2373.9499999999994"/>
    <n v="2373.9499999999994"/>
  </r>
  <r>
    <s v="4260"/>
    <x v="77"/>
    <x v="0"/>
    <x v="2"/>
    <n v="150.75"/>
    <n v="2403.9300000000003"/>
    <n v="2403.9300000000003"/>
  </r>
  <r>
    <s v="4260"/>
    <x v="77"/>
    <x v="0"/>
    <x v="3"/>
    <n v="151.5"/>
    <n v="2924.4400000000005"/>
    <n v="2924.4400000000005"/>
  </r>
  <r>
    <s v="4260"/>
    <x v="77"/>
    <x v="0"/>
    <x v="4"/>
    <n v="76.5"/>
    <n v="1734.1599999999999"/>
    <n v="1734.1599999999999"/>
  </r>
  <r>
    <s v="4260"/>
    <x v="77"/>
    <x v="0"/>
    <x v="5"/>
    <n v="38.5"/>
    <n v="1204.7199999999975"/>
    <n v="1734.1599999999999"/>
  </r>
  <r>
    <s v="4290"/>
    <x v="78"/>
    <x v="11"/>
    <x v="0"/>
    <n v="159"/>
    <n v="3329.6299999999997"/>
    <n v="3329.6299999999997"/>
  </r>
  <r>
    <s v="4290"/>
    <x v="78"/>
    <x v="11"/>
    <x v="1"/>
    <n v="152"/>
    <n v="2990.7100000000005"/>
    <n v="2990.7100000000005"/>
  </r>
  <r>
    <s v="4290"/>
    <x v="78"/>
    <x v="11"/>
    <x v="2"/>
    <n v="160"/>
    <n v="3107.5299999999988"/>
    <n v="3107.5299999999988"/>
  </r>
  <r>
    <s v="4290"/>
    <x v="78"/>
    <x v="11"/>
    <x v="3"/>
    <n v="151.5"/>
    <n v="3237.0800000000017"/>
    <n v="3237.0800000000017"/>
  </r>
  <r>
    <s v="4290"/>
    <x v="78"/>
    <x v="11"/>
    <x v="4"/>
    <n v="26.5"/>
    <n v="1835.75"/>
    <n v="1835.75"/>
  </r>
  <r>
    <s v="4290"/>
    <x v="78"/>
    <x v="11"/>
    <x v="5"/>
    <n v="152"/>
    <n v="4430.0999999999985"/>
    <n v="2900.1400000000003"/>
  </r>
  <r>
    <s v="4300"/>
    <x v="79"/>
    <x v="9"/>
    <x v="0"/>
    <n v="171.5"/>
    <n v="4344.76"/>
    <n v="4344.76"/>
  </r>
  <r>
    <s v="4300"/>
    <x v="79"/>
    <x v="9"/>
    <x v="1"/>
    <n v="160.25"/>
    <n v="4288.7999999999993"/>
    <n v="4288.7999999999993"/>
  </r>
  <r>
    <s v="4300"/>
    <x v="79"/>
    <x v="9"/>
    <x v="2"/>
    <n v="79.75"/>
    <n v="4159.3799999999992"/>
    <n v="4159.3799999999992"/>
  </r>
  <r>
    <s v="4300"/>
    <x v="79"/>
    <x v="9"/>
    <x v="3"/>
    <n v="171.5"/>
    <n v="5493.3400000000038"/>
    <n v="5493.3400000000038"/>
  </r>
  <r>
    <s v="4300"/>
    <x v="79"/>
    <x v="9"/>
    <x v="4"/>
    <n v="182.75"/>
    <n v="4560.0200000000004"/>
    <n v="4560.0200000000004"/>
  </r>
  <r>
    <s v="4300"/>
    <x v="79"/>
    <x v="9"/>
    <x v="5"/>
    <n v="176.5"/>
    <n v="4577.0300000000025"/>
    <n v="4569.26"/>
  </r>
  <r>
    <s v="4320"/>
    <x v="80"/>
    <x v="0"/>
    <x v="0"/>
    <n v="136.5"/>
    <n v="2426.13"/>
    <n v="2426.13"/>
  </r>
  <r>
    <s v="4320"/>
    <x v="80"/>
    <x v="0"/>
    <x v="1"/>
    <n v="129"/>
    <n v="2370.8399999999992"/>
    <n v="2370.8399999999992"/>
  </r>
  <r>
    <s v="4320"/>
    <x v="80"/>
    <x v="0"/>
    <x v="2"/>
    <n v="146.75"/>
    <n v="2552.4800000000005"/>
    <n v="2552.4800000000005"/>
  </r>
  <r>
    <s v="4320"/>
    <x v="80"/>
    <x v="0"/>
    <x v="3"/>
    <n v="147.75"/>
    <n v="2613.0500000000002"/>
    <n v="2613.0500000000002"/>
  </r>
  <r>
    <s v="4320"/>
    <x v="80"/>
    <x v="0"/>
    <x v="4"/>
    <n v="140"/>
    <n v="2417.4299999999985"/>
    <n v="2417.4299999999985"/>
  </r>
  <r>
    <s v="4320"/>
    <x v="80"/>
    <x v="0"/>
    <x v="5"/>
    <n v="142.5"/>
    <n v="2508.8900000000049"/>
    <n v="2417.4299999999985"/>
  </r>
  <r>
    <s v="4340"/>
    <x v="81"/>
    <x v="0"/>
    <x v="0"/>
    <n v="158.75"/>
    <n v="3015.3399999999997"/>
    <n v="3015.3399999999997"/>
  </r>
  <r>
    <s v="4340"/>
    <x v="81"/>
    <x v="0"/>
    <x v="1"/>
    <n v="137"/>
    <n v="2400.3000000000006"/>
    <n v="2400.3000000000006"/>
  </r>
  <r>
    <s v="4340"/>
    <x v="81"/>
    <x v="0"/>
    <x v="2"/>
    <n v="155.5"/>
    <n v="2709.0600000000004"/>
    <n v="2709.0600000000004"/>
  </r>
  <r>
    <s v="4340"/>
    <x v="81"/>
    <x v="0"/>
    <x v="3"/>
    <n v="149"/>
    <n v="2780.8999999999996"/>
    <n v="2780.8999999999996"/>
  </r>
  <r>
    <s v="4340"/>
    <x v="81"/>
    <x v="0"/>
    <x v="4"/>
    <n v="140"/>
    <n v="2604.3000000000029"/>
    <n v="2604.3000000000029"/>
  </r>
  <r>
    <s v="4340"/>
    <x v="81"/>
    <x v="0"/>
    <x v="5"/>
    <n v="157.25"/>
    <n v="2743.8499999999913"/>
    <n v="2604.3000000000029"/>
  </r>
  <r>
    <s v="4370"/>
    <x v="82"/>
    <x v="12"/>
    <x v="0"/>
    <n v="113.5"/>
    <n v="2186.0100000000002"/>
    <n v="0"/>
  </r>
  <r>
    <s v="4370"/>
    <x v="82"/>
    <x v="12"/>
    <x v="1"/>
    <n v="84"/>
    <n v="2005.9699999999993"/>
    <n v="0"/>
  </r>
  <r>
    <s v="4370"/>
    <x v="82"/>
    <x v="12"/>
    <x v="2"/>
    <n v="103.5"/>
    <n v="1968.67"/>
    <n v="0"/>
  </r>
  <r>
    <s v="4370"/>
    <x v="82"/>
    <x v="12"/>
    <x v="3"/>
    <n v="127.25"/>
    <n v="2253.4500000000007"/>
    <n v="0"/>
  </r>
  <r>
    <s v="4370"/>
    <x v="82"/>
    <x v="12"/>
    <x v="4"/>
    <n v="-428.25"/>
    <n v="-8414.1"/>
    <n v="0"/>
  </r>
  <r>
    <s v="4400"/>
    <x v="83"/>
    <x v="10"/>
    <x v="0"/>
    <n v="133.75"/>
    <n v="3963.75"/>
    <n v="3963.75"/>
  </r>
  <r>
    <s v="4400"/>
    <x v="83"/>
    <x v="10"/>
    <x v="1"/>
    <n v="106.5"/>
    <n v="4488.4400000000005"/>
    <n v="4488.4400000000005"/>
  </r>
  <r>
    <s v="4400"/>
    <x v="83"/>
    <x v="10"/>
    <x v="2"/>
    <n v="158.5"/>
    <n v="4493.6399999999994"/>
    <n v="4493.6399999999994"/>
  </r>
  <r>
    <s v="4400"/>
    <x v="83"/>
    <x v="10"/>
    <x v="3"/>
    <n v="129"/>
    <n v="4000.159999999998"/>
    <n v="4000.159999999998"/>
  </r>
  <r>
    <s v="4400"/>
    <x v="83"/>
    <x v="10"/>
    <x v="4"/>
    <n v="157.5"/>
    <n v="4544.7000000000007"/>
    <n v="4544.7000000000007"/>
  </r>
  <r>
    <s v="4400"/>
    <x v="83"/>
    <x v="10"/>
    <x v="5"/>
    <n v="150.75"/>
    <n v="4479.5799999999981"/>
    <n v="4298.1379999999999"/>
  </r>
  <r>
    <s v="4510"/>
    <x v="84"/>
    <x v="2"/>
    <x v="0"/>
    <n v="107"/>
    <n v="649.4"/>
    <n v="649.4"/>
  </r>
  <r>
    <s v="4510"/>
    <x v="84"/>
    <x v="2"/>
    <x v="1"/>
    <n v="96"/>
    <n v="563.5200000000001"/>
    <n v="563.5200000000001"/>
  </r>
  <r>
    <s v="4510"/>
    <x v="84"/>
    <x v="2"/>
    <x v="2"/>
    <n v="95.75"/>
    <n v="524.58000000000038"/>
    <n v="524.58000000000038"/>
  </r>
  <r>
    <s v="4510"/>
    <x v="84"/>
    <x v="2"/>
    <x v="3"/>
    <n v="100.5"/>
    <n v="632.61999999999989"/>
    <n v="632.61999999999989"/>
  </r>
  <r>
    <s v="4510"/>
    <x v="84"/>
    <x v="2"/>
    <x v="4"/>
    <n v="96"/>
    <n v="567.99999999999955"/>
    <n v="567.99999999999955"/>
  </r>
  <r>
    <s v="4510"/>
    <x v="84"/>
    <x v="2"/>
    <x v="5"/>
    <n v="102"/>
    <n v="456.95000000000027"/>
    <n v="567.99999999999955"/>
  </r>
  <r>
    <s v="4600"/>
    <x v="85"/>
    <x v="10"/>
    <x v="0"/>
    <n v="78.5"/>
    <n v="1645.75"/>
    <n v="1645.75"/>
  </r>
  <r>
    <s v="4600"/>
    <x v="85"/>
    <x v="10"/>
    <x v="1"/>
    <n v="90.25"/>
    <n v="1530.7399999999998"/>
    <n v="1530.7399999999998"/>
  </r>
  <r>
    <s v="4600"/>
    <x v="85"/>
    <x v="10"/>
    <x v="2"/>
    <n v="51.25"/>
    <n v="1006.1400000000003"/>
    <n v="1006.1400000000003"/>
  </r>
  <r>
    <s v="4600"/>
    <x v="85"/>
    <x v="10"/>
    <x v="3"/>
    <n v="103.25"/>
    <n v="1941.8000000000002"/>
    <n v="1941.8000000000002"/>
  </r>
  <r>
    <s v="4600"/>
    <x v="85"/>
    <x v="10"/>
    <x v="4"/>
    <n v="112"/>
    <n v="1772.7399999999998"/>
    <n v="1772.7399999999998"/>
  </r>
  <r>
    <s v="4600"/>
    <x v="85"/>
    <x v="10"/>
    <x v="5"/>
    <n v="41.75"/>
    <n v="464.07999999999993"/>
    <n v="0"/>
  </r>
  <r>
    <s v="4620"/>
    <x v="86"/>
    <x v="7"/>
    <x v="0"/>
    <n v="144"/>
    <n v="5524.15"/>
    <n v="5524.15"/>
  </r>
  <r>
    <s v="4620"/>
    <x v="86"/>
    <x v="7"/>
    <x v="1"/>
    <n v="152"/>
    <n v="5990.85"/>
    <n v="5990.85"/>
  </r>
  <r>
    <s v="4620"/>
    <x v="86"/>
    <x v="7"/>
    <x v="2"/>
    <n v="145"/>
    <n v="5523.8799999999974"/>
    <n v="5523.8799999999974"/>
  </r>
  <r>
    <s v="4620"/>
    <x v="86"/>
    <x v="7"/>
    <x v="3"/>
    <n v="144"/>
    <n v="9980.130000000001"/>
    <n v="9980.130000000001"/>
  </r>
  <r>
    <s v="4620"/>
    <x v="86"/>
    <x v="7"/>
    <x v="4"/>
    <n v="159.5"/>
    <n v="6003.2400000000016"/>
    <n v="6003.2400000000016"/>
  </r>
  <r>
    <s v="4620"/>
    <x v="86"/>
    <x v="7"/>
    <x v="5"/>
    <n v="129.5"/>
    <n v="5705.4199999999983"/>
    <n v="6604.45"/>
  </r>
  <r>
    <s v="4710"/>
    <x v="87"/>
    <x v="2"/>
    <x v="0"/>
    <n v="121.5"/>
    <n v="2935.53"/>
    <n v="2935.53"/>
  </r>
  <r>
    <s v="4710"/>
    <x v="87"/>
    <x v="2"/>
    <x v="1"/>
    <n v="150.75"/>
    <n v="2593.1599999999994"/>
    <n v="2593.1599999999994"/>
  </r>
  <r>
    <s v="4710"/>
    <x v="87"/>
    <x v="2"/>
    <x v="2"/>
    <n v="155.75"/>
    <n v="2649.3099999999995"/>
    <n v="2649.3099999999995"/>
  </r>
  <r>
    <s v="4710"/>
    <x v="87"/>
    <x v="2"/>
    <x v="3"/>
    <n v="151.5"/>
    <n v="2852.5900000000011"/>
    <n v="2852.5900000000011"/>
  </r>
  <r>
    <s v="4710"/>
    <x v="87"/>
    <x v="2"/>
    <x v="4"/>
    <n v="133.75"/>
    <n v="2617.8199999999997"/>
    <n v="2617.8199999999997"/>
  </r>
  <r>
    <s v="4710"/>
    <x v="87"/>
    <x v="2"/>
    <x v="5"/>
    <n v="68.5"/>
    <n v="1631.1500000000015"/>
    <n v="2617.8199999999997"/>
  </r>
  <r>
    <s v="4730"/>
    <x v="88"/>
    <x v="0"/>
    <x v="0"/>
    <n v="144"/>
    <n v="2380.2399999999998"/>
    <n v="2380.2399999999998"/>
  </r>
  <r>
    <s v="4730"/>
    <x v="88"/>
    <x v="0"/>
    <x v="1"/>
    <n v="152"/>
    <n v="2345.0199999999995"/>
    <n v="2345.0199999999995"/>
  </r>
  <r>
    <s v="4730"/>
    <x v="88"/>
    <x v="0"/>
    <x v="2"/>
    <n v="156"/>
    <n v="2373.3400000000011"/>
    <n v="2373.3400000000011"/>
  </r>
  <r>
    <s v="4730"/>
    <x v="88"/>
    <x v="0"/>
    <x v="3"/>
    <n v="120"/>
    <n v="2087.9599999999991"/>
    <n v="2087.9599999999991"/>
  </r>
  <r>
    <s v="4730"/>
    <x v="88"/>
    <x v="0"/>
    <x v="4"/>
    <n v="137"/>
    <n v="2283.4899999999998"/>
    <n v="2283.4899999999998"/>
  </r>
  <r>
    <s v="4730"/>
    <x v="88"/>
    <x v="0"/>
    <x v="5"/>
    <n v="144.5"/>
    <n v="2310.7899999999991"/>
    <n v="2283.4899999999998"/>
  </r>
  <r>
    <s v="4740"/>
    <x v="89"/>
    <x v="7"/>
    <x v="0"/>
    <n v="71.5"/>
    <n v="1071.1099999999997"/>
    <n v="1071.1099999999997"/>
  </r>
  <r>
    <s v="4740"/>
    <x v="89"/>
    <x v="7"/>
    <x v="1"/>
    <n v="75.5"/>
    <n v="1159.7599999999998"/>
    <n v="1159.7599999999998"/>
  </r>
  <r>
    <s v="4740"/>
    <x v="89"/>
    <x v="7"/>
    <x v="2"/>
    <n v="76"/>
    <n v="1221.4300000000007"/>
    <n v="1221.4300000000007"/>
  </r>
  <r>
    <s v="4740"/>
    <x v="89"/>
    <x v="7"/>
    <x v="3"/>
    <n v="70.5"/>
    <n v="601.39999999999918"/>
    <n v="601.39999999999918"/>
  </r>
  <r>
    <s v="4740"/>
    <x v="89"/>
    <x v="7"/>
    <x v="4"/>
    <n v="59.25"/>
    <n v="484.70000000000118"/>
    <n v="484.70000000000118"/>
  </r>
  <r>
    <s v="4740"/>
    <x v="89"/>
    <x v="7"/>
    <x v="5"/>
    <n v="35"/>
    <n v="232.36999999999898"/>
    <n v="2899.5999999999995"/>
  </r>
  <r>
    <s v="4760"/>
    <x v="90"/>
    <x v="0"/>
    <x v="0"/>
    <n v="114"/>
    <n v="1855.32"/>
    <n v="1855.32"/>
  </r>
  <r>
    <s v="4760"/>
    <x v="90"/>
    <x v="0"/>
    <x v="1"/>
    <n v="102"/>
    <n v="1820.4400000000003"/>
    <n v="1820.4400000000003"/>
  </r>
  <r>
    <s v="4760"/>
    <x v="90"/>
    <x v="0"/>
    <x v="2"/>
    <n v="118.5"/>
    <n v="1833.7799999999997"/>
    <n v="1833.7799999999997"/>
  </r>
  <r>
    <s v="4760"/>
    <x v="90"/>
    <x v="0"/>
    <x v="3"/>
    <n v="54"/>
    <n v="1421.6000000000004"/>
    <n v="1421.6000000000004"/>
  </r>
  <r>
    <s v="4760"/>
    <x v="90"/>
    <x v="0"/>
    <x v="4"/>
    <n v="114"/>
    <n v="1803.8400000000011"/>
    <n v="1803.8400000000011"/>
  </r>
  <r>
    <s v="4760"/>
    <x v="90"/>
    <x v="0"/>
    <x v="5"/>
    <n v="120"/>
    <n v="1843.0999999999967"/>
    <n v="1803.8400000000011"/>
  </r>
  <r>
    <s v="4800"/>
    <x v="91"/>
    <x v="13"/>
    <x v="0"/>
    <n v="144"/>
    <n v="6092.07"/>
    <n v="6092.07"/>
  </r>
  <r>
    <s v="4800"/>
    <x v="91"/>
    <x v="13"/>
    <x v="1"/>
    <n v="152"/>
    <n v="4117.82"/>
    <n v="4117.82"/>
  </r>
  <r>
    <s v="4800"/>
    <x v="91"/>
    <x v="13"/>
    <x v="2"/>
    <n v="160"/>
    <n v="4246.26"/>
    <n v="4246.26"/>
  </r>
  <r>
    <s v="4800"/>
    <x v="91"/>
    <x v="13"/>
    <x v="3"/>
    <n v="105.5"/>
    <n v="3270.3999999999996"/>
    <n v="3270.3999999999996"/>
  </r>
  <r>
    <s v="4800"/>
    <x v="91"/>
    <x v="13"/>
    <x v="4"/>
    <n v="142.5"/>
    <n v="3976.380000000001"/>
    <n v="3976.380000000001"/>
  </r>
  <r>
    <s v="4800"/>
    <x v="91"/>
    <x v="13"/>
    <x v="5"/>
    <n v="175.75"/>
    <n v="4894.8600000000006"/>
    <n v="4340.5860000000002"/>
  </r>
  <r>
    <s v="4870"/>
    <x v="92"/>
    <x v="10"/>
    <x v="0"/>
    <n v="151.5"/>
    <n v="3835.47"/>
    <n v="3835.47"/>
  </r>
  <r>
    <s v="4870"/>
    <x v="92"/>
    <x v="10"/>
    <x v="1"/>
    <n v="140.5"/>
    <n v="2835.1300000000006"/>
    <n v="2835.1300000000006"/>
  </r>
  <r>
    <s v="4870"/>
    <x v="92"/>
    <x v="10"/>
    <x v="2"/>
    <n v="81"/>
    <n v="2592.6499999999996"/>
    <n v="2592.6499999999996"/>
  </r>
  <r>
    <s v="4870"/>
    <x v="92"/>
    <x v="10"/>
    <x v="3"/>
    <n v="134.75"/>
    <n v="2662.5600000000013"/>
    <n v="2662.5600000000013"/>
  </r>
  <r>
    <s v="4870"/>
    <x v="92"/>
    <x v="10"/>
    <x v="4"/>
    <n v="144.5"/>
    <n v="2726.7099999999991"/>
    <n v="2726.7099999999991"/>
  </r>
  <r>
    <s v="4870"/>
    <x v="92"/>
    <x v="10"/>
    <x v="5"/>
    <n v="136"/>
    <n v="3399.25"/>
    <n v="2930.5039999999999"/>
  </r>
  <r>
    <s v="4880"/>
    <x v="93"/>
    <x v="12"/>
    <x v="0"/>
    <n v="137.25"/>
    <n v="2064.2799999999997"/>
    <n v="0"/>
  </r>
  <r>
    <s v="4880"/>
    <x v="93"/>
    <x v="12"/>
    <x v="1"/>
    <n v="144.5"/>
    <n v="2103.3100000000004"/>
    <n v="0"/>
  </r>
  <r>
    <s v="4880"/>
    <x v="93"/>
    <x v="12"/>
    <x v="2"/>
    <n v="130"/>
    <n v="1911.3999999999996"/>
    <n v="0"/>
  </r>
  <r>
    <s v="4880"/>
    <x v="93"/>
    <x v="12"/>
    <x v="3"/>
    <n v="150.75"/>
    <n v="2207.5300000000007"/>
    <n v="0"/>
  </r>
  <r>
    <s v="4880"/>
    <x v="93"/>
    <x v="12"/>
    <x v="4"/>
    <n v="159.5"/>
    <n v="2166.5200000000004"/>
    <n v="0"/>
  </r>
  <r>
    <s v="4880"/>
    <x v="93"/>
    <x v="12"/>
    <x v="5"/>
    <n v="144"/>
    <n v="2084.630000000001"/>
    <n v="0"/>
  </r>
  <r>
    <s v="4930"/>
    <x v="94"/>
    <x v="0"/>
    <x v="0"/>
    <n v="157.5"/>
    <n v="2482.39"/>
    <n v="2482.39"/>
  </r>
  <r>
    <s v="4930"/>
    <x v="94"/>
    <x v="0"/>
    <x v="1"/>
    <n v="53"/>
    <n v="1793.5900000000006"/>
    <n v="1793.5900000000006"/>
  </r>
  <r>
    <s v="4930"/>
    <x v="94"/>
    <x v="0"/>
    <x v="2"/>
    <n v="119"/>
    <n v="1883.37"/>
    <n v="1883.37"/>
  </r>
  <r>
    <s v="4930"/>
    <x v="94"/>
    <x v="0"/>
    <x v="3"/>
    <n v="150"/>
    <n v="2391.4799999999996"/>
    <n v="2391.4799999999996"/>
  </r>
  <r>
    <s v="4930"/>
    <x v="94"/>
    <x v="0"/>
    <x v="4"/>
    <n v="118.5"/>
    <n v="1981.2000000000007"/>
    <n v="1981.2000000000007"/>
  </r>
  <r>
    <s v="4930"/>
    <x v="94"/>
    <x v="0"/>
    <x v="5"/>
    <n v="152"/>
    <n v="2344.8099999999959"/>
    <n v="1981.2000000000007"/>
  </r>
  <r>
    <s v="5000"/>
    <x v="95"/>
    <x v="1"/>
    <x v="0"/>
    <n v="144"/>
    <n v="2038.13"/>
    <n v="2038.13"/>
  </r>
  <r>
    <s v="5000"/>
    <x v="95"/>
    <x v="1"/>
    <x v="1"/>
    <n v="151.5"/>
    <n v="2008.2799999999997"/>
    <n v="2008.2799999999997"/>
  </r>
  <r>
    <s v="5000"/>
    <x v="95"/>
    <x v="1"/>
    <x v="2"/>
    <n v="131.75"/>
    <n v="2020.0999999999995"/>
    <n v="2020.0999999999995"/>
  </r>
  <r>
    <s v="5000"/>
    <x v="95"/>
    <x v="1"/>
    <x v="3"/>
    <n v="141.5"/>
    <n v="2197.6200000000017"/>
    <n v="2197.6200000000017"/>
  </r>
  <r>
    <s v="5000"/>
    <x v="95"/>
    <x v="1"/>
    <x v="4"/>
    <n v="139.25"/>
    <n v="2082.489999999998"/>
    <n v="2082.489999999998"/>
  </r>
  <r>
    <s v="5000"/>
    <x v="95"/>
    <x v="1"/>
    <x v="5"/>
    <n v="130.75"/>
    <n v="1902.6000000000004"/>
    <n v="2069.3239999999996"/>
  </r>
  <r>
    <s v="5010"/>
    <x v="96"/>
    <x v="0"/>
    <x v="0"/>
    <n v="134.25"/>
    <n v="2237.9499999999998"/>
    <n v="2237.9499999999998"/>
  </r>
  <r>
    <s v="5010"/>
    <x v="96"/>
    <x v="0"/>
    <x v="1"/>
    <n v="91"/>
    <n v="1711.4099999999999"/>
    <n v="1711.4099999999999"/>
  </r>
  <r>
    <s v="5010"/>
    <x v="96"/>
    <x v="0"/>
    <x v="2"/>
    <n v="150"/>
    <n v="2168.0699999999997"/>
    <n v="2168.0699999999997"/>
  </r>
  <r>
    <s v="5010"/>
    <x v="96"/>
    <x v="0"/>
    <x v="3"/>
    <n v="122"/>
    <n v="2262.37"/>
    <n v="2262.37"/>
  </r>
  <r>
    <s v="5010"/>
    <x v="96"/>
    <x v="0"/>
    <x v="4"/>
    <n v="139"/>
    <n v="2110.1999999999989"/>
    <n v="2110.1999999999989"/>
  </r>
  <r>
    <s v="5010"/>
    <x v="96"/>
    <x v="0"/>
    <x v="5"/>
    <n v="140.75"/>
    <n v="2168.0800000000036"/>
    <n v="2110.1999999999989"/>
  </r>
  <r>
    <s v="5040"/>
    <x v="97"/>
    <x v="6"/>
    <x v="0"/>
    <n v="144"/>
    <n v="4653.83"/>
    <n v="0"/>
  </r>
  <r>
    <s v="5040"/>
    <x v="97"/>
    <x v="6"/>
    <x v="1"/>
    <n v="152"/>
    <n v="3030.55"/>
    <n v="0"/>
  </r>
  <r>
    <s v="5040"/>
    <x v="97"/>
    <x v="6"/>
    <x v="2"/>
    <n v="160"/>
    <n v="3009.6600000000008"/>
    <n v="0"/>
  </r>
  <r>
    <s v="5040"/>
    <x v="97"/>
    <x v="6"/>
    <x v="3"/>
    <n v="151.5"/>
    <n v="3014.3099999999977"/>
    <n v="0"/>
  </r>
  <r>
    <s v="5040"/>
    <x v="97"/>
    <x v="6"/>
    <x v="4"/>
    <n v="159.5"/>
    <n v="3006.9300000000039"/>
    <n v="0"/>
  </r>
  <r>
    <s v="5040"/>
    <x v="97"/>
    <x v="6"/>
    <x v="5"/>
    <n v="114"/>
    <n v="2582.0299999999952"/>
    <n v="0"/>
  </r>
  <r>
    <s v="5090"/>
    <x v="98"/>
    <x v="2"/>
    <x v="0"/>
    <n v="48"/>
    <n v="677.96"/>
    <n v="677.96"/>
  </r>
  <r>
    <s v="5090"/>
    <x v="98"/>
    <x v="2"/>
    <x v="1"/>
    <n v="83.25"/>
    <n v="1219.04"/>
    <n v="1219.04"/>
  </r>
  <r>
    <s v="5090"/>
    <x v="98"/>
    <x v="2"/>
    <x v="2"/>
    <n v="115.25"/>
    <n v="1377.9099999999999"/>
    <n v="1377.9099999999999"/>
  </r>
  <r>
    <s v="5090"/>
    <x v="98"/>
    <x v="2"/>
    <x v="3"/>
    <n v="74.75"/>
    <n v="1278.5100000000002"/>
    <n v="1278.5100000000002"/>
  </r>
  <r>
    <s v="5090"/>
    <x v="98"/>
    <x v="2"/>
    <x v="4"/>
    <n v="104.5"/>
    <n v="1436.670000000001"/>
    <n v="1436.670000000001"/>
  </r>
  <r>
    <s v="5090"/>
    <x v="98"/>
    <x v="2"/>
    <x v="5"/>
    <n v="105.75"/>
    <n v="1270.5999999999985"/>
    <n v="1436.670000000001"/>
  </r>
  <r>
    <s v="5110"/>
    <x v="99"/>
    <x v="12"/>
    <x v="0"/>
    <n v="106"/>
    <n v="2847.57"/>
    <n v="0"/>
  </r>
  <r>
    <s v="5110"/>
    <x v="99"/>
    <x v="12"/>
    <x v="1"/>
    <n v="114"/>
    <n v="3274.3300000000013"/>
    <n v="0"/>
  </r>
  <r>
    <s v="5110"/>
    <x v="99"/>
    <x v="12"/>
    <x v="2"/>
    <n v="139.5"/>
    <n v="4040.1899999999987"/>
    <n v="0"/>
  </r>
  <r>
    <s v="5110"/>
    <x v="99"/>
    <x v="12"/>
    <x v="3"/>
    <n v="150.25"/>
    <n v="3847.08"/>
    <n v="0"/>
  </r>
  <r>
    <s v="5110"/>
    <x v="99"/>
    <x v="12"/>
    <x v="4"/>
    <n v="-509.75"/>
    <n v="-14009.17"/>
    <n v="0"/>
  </r>
  <r>
    <s v="5170"/>
    <x v="100"/>
    <x v="0"/>
    <x v="0"/>
    <n v="117.5"/>
    <n v="1771.49"/>
    <n v="1771.49"/>
  </r>
  <r>
    <s v="5170"/>
    <x v="100"/>
    <x v="0"/>
    <x v="1"/>
    <n v="136"/>
    <n v="1543.05"/>
    <n v="1543.05"/>
  </r>
  <r>
    <s v="5170"/>
    <x v="100"/>
    <x v="0"/>
    <x v="2"/>
    <n v="82.25"/>
    <n v="1458.4600000000009"/>
    <n v="1458.4600000000009"/>
  </r>
  <r>
    <s v="5170"/>
    <x v="100"/>
    <x v="0"/>
    <x v="3"/>
    <n v="139"/>
    <n v="1283.8899999999994"/>
    <n v="1283.8899999999994"/>
  </r>
  <r>
    <s v="5170"/>
    <x v="100"/>
    <x v="0"/>
    <x v="4"/>
    <n v="86.5"/>
    <n v="829.02000000000135"/>
    <n v="829.02000000000135"/>
  </r>
  <r>
    <s v="5170"/>
    <x v="100"/>
    <x v="0"/>
    <x v="5"/>
    <n v="0"/>
    <n v="-97.760000000000218"/>
    <n v="829.02000000000135"/>
  </r>
  <r>
    <s v="5250"/>
    <x v="101"/>
    <x v="0"/>
    <x v="0"/>
    <n v="144"/>
    <n v="1893.89"/>
    <n v="1893.89"/>
  </r>
  <r>
    <s v="5250"/>
    <x v="101"/>
    <x v="0"/>
    <x v="1"/>
    <n v="142.5"/>
    <n v="2003.14"/>
    <n v="2003.14"/>
  </r>
  <r>
    <s v="5250"/>
    <x v="101"/>
    <x v="0"/>
    <x v="2"/>
    <n v="134"/>
    <n v="2266.9799999999991"/>
    <n v="2266.9799999999991"/>
  </r>
  <r>
    <s v="5250"/>
    <x v="101"/>
    <x v="0"/>
    <x v="3"/>
    <n v="149"/>
    <n v="2483.37"/>
    <n v="2483.37"/>
  </r>
  <r>
    <s v="5250"/>
    <x v="101"/>
    <x v="0"/>
    <x v="4"/>
    <n v="51.5"/>
    <n v="911.65000000000146"/>
    <n v="911.65000000000146"/>
  </r>
  <r>
    <s v="5250"/>
    <x v="101"/>
    <x v="0"/>
    <x v="5"/>
    <n v="243.75"/>
    <n v="3955.5500000000011"/>
    <n v="911.65000000000146"/>
  </r>
  <r>
    <s v="5290"/>
    <x v="102"/>
    <x v="0"/>
    <x v="0"/>
    <n v="100.25"/>
    <n v="1306.75"/>
    <n v="0"/>
  </r>
  <r>
    <s v="5290"/>
    <x v="102"/>
    <x v="0"/>
    <x v="1"/>
    <n v="76.5"/>
    <n v="1156.8699999999999"/>
    <n v="0"/>
  </r>
  <r>
    <s v="5290"/>
    <x v="102"/>
    <x v="0"/>
    <x v="2"/>
    <n v="94.75"/>
    <n v="1294.7100000000005"/>
    <n v="0"/>
  </r>
  <r>
    <s v="5290"/>
    <x v="102"/>
    <x v="0"/>
    <x v="3"/>
    <n v="110.25"/>
    <n v="1531.0099999999998"/>
    <n v="0"/>
  </r>
  <r>
    <s v="5290"/>
    <x v="102"/>
    <x v="0"/>
    <x v="4"/>
    <n v="-381.75"/>
    <n v="-5289.34"/>
    <n v="0"/>
  </r>
  <r>
    <s v="5300"/>
    <x v="103"/>
    <x v="2"/>
    <x v="0"/>
    <n v="0"/>
    <n v="1252.5800000000002"/>
    <n v="1252.5800000000002"/>
  </r>
  <r>
    <s v="5300"/>
    <x v="103"/>
    <x v="2"/>
    <x v="1"/>
    <n v="38"/>
    <n v="1090.01"/>
    <n v="1090.01"/>
  </r>
  <r>
    <s v="5300"/>
    <x v="103"/>
    <x v="2"/>
    <x v="2"/>
    <n v="149"/>
    <n v="2180.4499999999998"/>
    <n v="2180.4499999999998"/>
  </r>
  <r>
    <s v="5300"/>
    <x v="103"/>
    <x v="2"/>
    <x v="3"/>
    <n v="151.5"/>
    <n v="2361.4499999999998"/>
    <n v="2361.4499999999998"/>
  </r>
  <r>
    <s v="5300"/>
    <x v="103"/>
    <x v="2"/>
    <x v="4"/>
    <n v="144.5"/>
    <n v="2203.0700000000015"/>
    <n v="2203.0700000000015"/>
  </r>
  <r>
    <s v="5300"/>
    <x v="103"/>
    <x v="2"/>
    <x v="5"/>
    <n v="144.5"/>
    <n v="2163.9999999999982"/>
    <n v="2203.0700000000015"/>
  </r>
  <r>
    <s v="5320"/>
    <x v="104"/>
    <x v="8"/>
    <x v="0"/>
    <n v="63"/>
    <n v="1023.02"/>
    <n v="0"/>
  </r>
  <r>
    <s v="5320"/>
    <x v="104"/>
    <x v="8"/>
    <x v="1"/>
    <n v="0"/>
    <n v="1529.0099999999998"/>
    <n v="0"/>
  </r>
  <r>
    <s v="5330"/>
    <x v="105"/>
    <x v="7"/>
    <x v="0"/>
    <n v="157.5"/>
    <n v="2462.65"/>
    <n v="2462.65"/>
  </r>
  <r>
    <s v="5330"/>
    <x v="105"/>
    <x v="7"/>
    <x v="1"/>
    <n v="144"/>
    <n v="2331.3200000000002"/>
    <n v="2331.3200000000002"/>
  </r>
  <r>
    <s v="5330"/>
    <x v="105"/>
    <x v="7"/>
    <x v="2"/>
    <n v="158"/>
    <n v="2342.63"/>
    <n v="2342.63"/>
  </r>
  <r>
    <s v="5330"/>
    <x v="105"/>
    <x v="7"/>
    <x v="3"/>
    <n v="121.5"/>
    <n v="2577.9400000000005"/>
    <n v="2577.9400000000005"/>
  </r>
  <r>
    <s v="5330"/>
    <x v="105"/>
    <x v="7"/>
    <x v="4"/>
    <n v="148"/>
    <n v="2194.7700000000004"/>
    <n v="2194.7700000000004"/>
  </r>
  <r>
    <s v="5330"/>
    <x v="105"/>
    <x v="7"/>
    <x v="5"/>
    <n v="134.75"/>
    <n v="2202.409999999998"/>
    <n v="2381.8620000000001"/>
  </r>
  <r>
    <s v="5340"/>
    <x v="106"/>
    <x v="4"/>
    <x v="0"/>
    <n v="144"/>
    <n v="4890.04"/>
    <n v="4890.04"/>
  </r>
  <r>
    <s v="5340"/>
    <x v="106"/>
    <x v="4"/>
    <x v="1"/>
    <n v="150.25"/>
    <n v="5241.0900000000011"/>
    <n v="5241.0900000000011"/>
  </r>
  <r>
    <s v="5340"/>
    <x v="106"/>
    <x v="4"/>
    <x v="2"/>
    <n v="152"/>
    <n v="5092.2199999999975"/>
    <n v="5092.2199999999975"/>
  </r>
  <r>
    <s v="5340"/>
    <x v="106"/>
    <x v="4"/>
    <x v="3"/>
    <n v="121.5"/>
    <n v="8705.66"/>
    <n v="8705.66"/>
  </r>
  <r>
    <s v="5340"/>
    <x v="106"/>
    <x v="4"/>
    <x v="4"/>
    <n v="159.5"/>
    <n v="5319.0399999999972"/>
    <n v="5319.0399999999972"/>
  </r>
  <r>
    <s v="5340"/>
    <x v="106"/>
    <x v="4"/>
    <x v="5"/>
    <n v="136.5"/>
    <n v="4875.7200000000084"/>
    <n v="5849.6099999999988"/>
  </r>
  <r>
    <s v="5350"/>
    <x v="107"/>
    <x v="8"/>
    <x v="0"/>
    <n v="147"/>
    <n v="1672.2199999999998"/>
    <n v="1672.2199999999998"/>
  </r>
  <r>
    <s v="5350"/>
    <x v="107"/>
    <x v="8"/>
    <x v="1"/>
    <n v="125.5"/>
    <n v="1667.5600000000004"/>
    <n v="1667.5600000000004"/>
  </r>
  <r>
    <s v="5350"/>
    <x v="107"/>
    <x v="8"/>
    <x v="2"/>
    <n v="136.25"/>
    <n v="1562.3800000000006"/>
    <n v="1562.3800000000006"/>
  </r>
  <r>
    <s v="5350"/>
    <x v="107"/>
    <x v="8"/>
    <x v="3"/>
    <n v="128"/>
    <n v="1568.1799999999994"/>
    <n v="1568.1799999999994"/>
  </r>
  <r>
    <s v="5350"/>
    <x v="107"/>
    <x v="8"/>
    <x v="4"/>
    <n v="145"/>
    <n v="1648.5100000000002"/>
    <n v="1648.5100000000002"/>
  </r>
  <r>
    <s v="5350"/>
    <x v="107"/>
    <x v="8"/>
    <x v="5"/>
    <n v="131.25"/>
    <n v="1587.0800000000017"/>
    <n v="1623.77"/>
  </r>
  <r>
    <s v="5370"/>
    <x v="108"/>
    <x v="2"/>
    <x v="0"/>
    <n v="71"/>
    <n v="911.49"/>
    <n v="911.49"/>
  </r>
  <r>
    <s v="5370"/>
    <x v="108"/>
    <x v="2"/>
    <x v="1"/>
    <n v="58.5"/>
    <n v="752.25"/>
    <n v="752.25"/>
  </r>
  <r>
    <s v="5370"/>
    <x v="108"/>
    <x v="2"/>
    <x v="2"/>
    <n v="75"/>
    <n v="847.6400000000001"/>
    <n v="847.6400000000001"/>
  </r>
  <r>
    <s v="5370"/>
    <x v="108"/>
    <x v="2"/>
    <x v="3"/>
    <n v="55"/>
    <n v="888.34999999999991"/>
    <n v="888.34999999999991"/>
  </r>
  <r>
    <s v="5370"/>
    <x v="108"/>
    <x v="2"/>
    <x v="4"/>
    <n v="58"/>
    <n v="748.58000000000038"/>
    <n v="748.58000000000038"/>
  </r>
  <r>
    <s v="5370"/>
    <x v="108"/>
    <x v="2"/>
    <x v="5"/>
    <n v="68"/>
    <n v="866.36999999999989"/>
    <n v="748.58000000000038"/>
  </r>
  <r>
    <s v="5400"/>
    <x v="109"/>
    <x v="0"/>
    <x v="0"/>
    <n v="135"/>
    <n v="1870.46"/>
    <n v="1870.46"/>
  </r>
  <r>
    <s v="5400"/>
    <x v="109"/>
    <x v="0"/>
    <x v="1"/>
    <n v="120"/>
    <n v="1626.7399999999998"/>
    <n v="1626.7399999999998"/>
  </r>
  <r>
    <s v="5400"/>
    <x v="109"/>
    <x v="0"/>
    <x v="2"/>
    <n v="139.5"/>
    <n v="1718.8500000000004"/>
    <n v="1718.8500000000004"/>
  </r>
  <r>
    <s v="5400"/>
    <x v="109"/>
    <x v="0"/>
    <x v="3"/>
    <n v="148"/>
    <n v="1787.63"/>
    <n v="1787.63"/>
  </r>
  <r>
    <s v="5400"/>
    <x v="109"/>
    <x v="0"/>
    <x v="4"/>
    <n v="140"/>
    <n v="1654.6799999999985"/>
    <n v="1654.6799999999985"/>
  </r>
  <r>
    <s v="5400"/>
    <x v="109"/>
    <x v="0"/>
    <x v="5"/>
    <n v="113.25"/>
    <n v="1646.7000000000007"/>
    <n v="1654.6799999999985"/>
  </r>
  <r>
    <s v="5410"/>
    <x v="110"/>
    <x v="0"/>
    <x v="0"/>
    <n v="159"/>
    <n v="2199.1799999999998"/>
    <n v="2199.1799999999998"/>
  </r>
  <r>
    <s v="5410"/>
    <x v="110"/>
    <x v="0"/>
    <x v="1"/>
    <n v="152"/>
    <n v="2000.6600000000003"/>
    <n v="2000.6600000000003"/>
  </r>
  <r>
    <s v="5410"/>
    <x v="110"/>
    <x v="0"/>
    <x v="2"/>
    <n v="157"/>
    <n v="2471.54"/>
    <n v="2471.54"/>
  </r>
  <r>
    <s v="5410"/>
    <x v="110"/>
    <x v="0"/>
    <x v="3"/>
    <n v="155.5"/>
    <n v="2701.9800000000005"/>
    <n v="2701.9800000000005"/>
  </r>
  <r>
    <s v="5410"/>
    <x v="110"/>
    <x v="0"/>
    <x v="4"/>
    <n v="144.5"/>
    <n v="2282.9500000000007"/>
    <n v="2282.9500000000007"/>
  </r>
  <r>
    <s v="5410"/>
    <x v="110"/>
    <x v="0"/>
    <x v="5"/>
    <n v="147.75"/>
    <n v="2320.5599999999995"/>
    <n v="2282.9500000000007"/>
  </r>
  <r>
    <s v="5420"/>
    <x v="111"/>
    <x v="0"/>
    <x v="0"/>
    <n v="22.75"/>
    <n v="760.03"/>
    <n v="760.03"/>
  </r>
  <r>
    <s v="5420"/>
    <x v="111"/>
    <x v="0"/>
    <x v="1"/>
    <n v="0"/>
    <n v="381.93000000000006"/>
    <n v="381.93000000000006"/>
  </r>
  <r>
    <s v="5420"/>
    <x v="111"/>
    <x v="0"/>
    <x v="2"/>
    <n v="47"/>
    <n v="689.40999999999985"/>
    <n v="689.40999999999985"/>
  </r>
  <r>
    <s v="5420"/>
    <x v="111"/>
    <x v="0"/>
    <x v="3"/>
    <n v="29"/>
    <n v="772.61000000000013"/>
    <n v="772.61000000000013"/>
  </r>
  <r>
    <s v="5420"/>
    <x v="111"/>
    <x v="0"/>
    <x v="4"/>
    <n v="36.5"/>
    <n v="722.70999999999958"/>
    <n v="722.70999999999958"/>
  </r>
  <r>
    <s v="5420"/>
    <x v="111"/>
    <x v="0"/>
    <x v="5"/>
    <n v="32"/>
    <n v="842.74000000000069"/>
    <n v="722.70999999999958"/>
  </r>
  <r>
    <s v="5430"/>
    <x v="112"/>
    <x v="8"/>
    <x v="0"/>
    <n v="143"/>
    <n v="1626.83"/>
    <n v="1626.83"/>
  </r>
  <r>
    <s v="5430"/>
    <x v="112"/>
    <x v="8"/>
    <x v="1"/>
    <n v="134"/>
    <n v="1618.12"/>
    <n v="1618.12"/>
  </r>
  <r>
    <s v="5430"/>
    <x v="112"/>
    <x v="8"/>
    <x v="2"/>
    <n v="118.5"/>
    <n v="1408.0900000000001"/>
    <n v="1408.0900000000001"/>
  </r>
  <r>
    <s v="5430"/>
    <x v="112"/>
    <x v="8"/>
    <x v="3"/>
    <n v="121.5"/>
    <n v="1489.3000000000002"/>
    <n v="1489.3000000000002"/>
  </r>
  <r>
    <s v="5430"/>
    <x v="112"/>
    <x v="8"/>
    <x v="4"/>
    <n v="48.5"/>
    <n v="1276.1500000000005"/>
    <n v="1276.1500000000005"/>
  </r>
  <r>
    <s v="5430"/>
    <x v="112"/>
    <x v="8"/>
    <x v="5"/>
    <n v="94.25"/>
    <n v="1273.2699999999995"/>
    <n v="1483.6980000000001"/>
  </r>
  <r>
    <s v="5440"/>
    <x v="113"/>
    <x v="8"/>
    <x v="0"/>
    <n v="77"/>
    <n v="1044.0200000000002"/>
    <n v="1044.0200000000002"/>
  </r>
  <r>
    <s v="5440"/>
    <x v="113"/>
    <x v="8"/>
    <x v="1"/>
    <n v="49"/>
    <n v="484.44000000000005"/>
    <n v="484.44000000000005"/>
  </r>
  <r>
    <s v="5460"/>
    <x v="114"/>
    <x v="8"/>
    <x v="1"/>
    <n v="0"/>
    <n v="1.7400000000000091"/>
    <n v="1.7400000000000091"/>
  </r>
  <r>
    <s v="5460"/>
    <x v="114"/>
    <x v="8"/>
    <x v="2"/>
    <n v="0"/>
    <n v="0.5"/>
    <n v="0.5"/>
  </r>
  <r>
    <s v="5470"/>
    <x v="115"/>
    <x v="0"/>
    <x v="0"/>
    <n v="105"/>
    <n v="1661.2299999999998"/>
    <n v="1661.2299999999998"/>
  </r>
  <r>
    <s v="5470"/>
    <x v="115"/>
    <x v="0"/>
    <x v="1"/>
    <n v="120.25"/>
    <n v="1679.47"/>
    <n v="1679.47"/>
  </r>
  <r>
    <s v="5470"/>
    <x v="115"/>
    <x v="0"/>
    <x v="2"/>
    <n v="102.5"/>
    <n v="1642.04"/>
    <n v="1642.04"/>
  </r>
  <r>
    <s v="5470"/>
    <x v="115"/>
    <x v="0"/>
    <x v="3"/>
    <n v="126.5"/>
    <n v="2527.1800000000012"/>
    <n v="2527.1800000000012"/>
  </r>
  <r>
    <s v="5470"/>
    <x v="115"/>
    <x v="0"/>
    <x v="4"/>
    <n v="112.5"/>
    <n v="1924.37"/>
    <n v="1924.37"/>
  </r>
  <r>
    <s v="5470"/>
    <x v="115"/>
    <x v="0"/>
    <x v="5"/>
    <n v="107"/>
    <n v="1867.4200000000019"/>
    <n v="1924.37"/>
  </r>
  <r>
    <s v="5480"/>
    <x v="116"/>
    <x v="4"/>
    <x v="0"/>
    <n v="67.5"/>
    <n v="1513.4799999999998"/>
    <n v="1513.4799999999998"/>
  </r>
  <r>
    <s v="5480"/>
    <x v="116"/>
    <x v="4"/>
    <x v="1"/>
    <n v="69"/>
    <n v="995.77000000000021"/>
    <n v="995.77000000000021"/>
  </r>
  <r>
    <s v="5510"/>
    <x v="117"/>
    <x v="0"/>
    <x v="0"/>
    <n v="114"/>
    <n v="1410.89"/>
    <n v="1410.89"/>
  </r>
  <r>
    <s v="5510"/>
    <x v="117"/>
    <x v="0"/>
    <x v="1"/>
    <n v="107"/>
    <n v="1217.0899999999999"/>
    <n v="1217.0899999999999"/>
  </r>
  <r>
    <s v="5510"/>
    <x v="117"/>
    <x v="0"/>
    <x v="2"/>
    <n v="122"/>
    <n v="1339.6800000000003"/>
    <n v="1339.6800000000003"/>
  </r>
  <r>
    <s v="5510"/>
    <x v="117"/>
    <x v="0"/>
    <x v="3"/>
    <n v="106"/>
    <n v="1336.5499999999997"/>
    <n v="1336.5499999999997"/>
  </r>
  <r>
    <s v="5510"/>
    <x v="117"/>
    <x v="0"/>
    <x v="4"/>
    <n v="106.5"/>
    <n v="1310.6099999999997"/>
    <n v="1310.6099999999997"/>
  </r>
  <r>
    <s v="5510"/>
    <x v="117"/>
    <x v="0"/>
    <x v="5"/>
    <n v="107"/>
    <n v="1369.79"/>
    <n v="1310.6099999999997"/>
  </r>
  <r>
    <s v="5520"/>
    <x v="118"/>
    <x v="12"/>
    <x v="0"/>
    <n v="144"/>
    <n v="5476.56"/>
    <n v="5476.56"/>
  </r>
  <r>
    <s v="5520"/>
    <x v="118"/>
    <x v="12"/>
    <x v="1"/>
    <n v="137"/>
    <n v="5491.5999999999995"/>
    <n v="5491.5999999999995"/>
  </r>
  <r>
    <s v="5520"/>
    <x v="118"/>
    <x v="12"/>
    <x v="2"/>
    <n v="133"/>
    <n v="5144.0999999999985"/>
    <n v="5144.0999999999985"/>
  </r>
  <r>
    <s v="5520"/>
    <x v="118"/>
    <x v="12"/>
    <x v="3"/>
    <n v="151.5"/>
    <n v="7877.4600000000028"/>
    <n v="7877.4600000000028"/>
  </r>
  <r>
    <s v="5520"/>
    <x v="118"/>
    <x v="12"/>
    <x v="4"/>
    <n v="152"/>
    <n v="5599.9699999999939"/>
    <n v="5599.9699999999939"/>
  </r>
  <r>
    <s v="5520"/>
    <x v="118"/>
    <x v="12"/>
    <x v="5"/>
    <n v="129"/>
    <n v="5125.2200000000084"/>
    <n v="5917.9379999999992"/>
  </r>
  <r>
    <s v="5530"/>
    <x v="119"/>
    <x v="11"/>
    <x v="0"/>
    <n v="114"/>
    <n v="2099.4"/>
    <n v="2099.4"/>
  </r>
  <r>
    <s v="5530"/>
    <x v="119"/>
    <x v="11"/>
    <x v="1"/>
    <n v="129"/>
    <n v="2236.2100000000005"/>
    <n v="2236.2100000000005"/>
  </r>
  <r>
    <s v="5530"/>
    <x v="119"/>
    <x v="11"/>
    <x v="2"/>
    <n v="160"/>
    <n v="2623.7999999999993"/>
    <n v="2623.7999999999993"/>
  </r>
  <r>
    <s v="5530"/>
    <x v="119"/>
    <x v="11"/>
    <x v="3"/>
    <n v="148.5"/>
    <n v="2681.1099999999988"/>
    <n v="2681.1099999999988"/>
  </r>
  <r>
    <s v="5530"/>
    <x v="119"/>
    <x v="11"/>
    <x v="4"/>
    <n v="125"/>
    <n v="2570.2800000000007"/>
    <n v="2570.2800000000007"/>
  </r>
  <r>
    <s v="5530"/>
    <x v="119"/>
    <x v="11"/>
    <x v="5"/>
    <n v="144"/>
    <n v="2527.9800000000014"/>
    <n v="2442.16"/>
  </r>
  <r>
    <s v="5550"/>
    <x v="120"/>
    <x v="0"/>
    <x v="0"/>
    <n v="144"/>
    <n v="1972.5500000000002"/>
    <n v="1972.5500000000002"/>
  </r>
  <r>
    <s v="5550"/>
    <x v="120"/>
    <x v="0"/>
    <x v="1"/>
    <n v="113"/>
    <n v="1894.7399999999998"/>
    <n v="1894.7399999999998"/>
  </r>
  <r>
    <s v="5550"/>
    <x v="120"/>
    <x v="0"/>
    <x v="2"/>
    <n v="140.75"/>
    <n v="2169.58"/>
    <n v="2169.58"/>
  </r>
  <r>
    <s v="5550"/>
    <x v="120"/>
    <x v="0"/>
    <x v="3"/>
    <n v="134.25"/>
    <n v="2296.0800000000008"/>
    <n v="2296.0800000000008"/>
  </r>
  <r>
    <s v="5550"/>
    <x v="120"/>
    <x v="0"/>
    <x v="4"/>
    <n v="117.75"/>
    <n v="2250.4100000000017"/>
    <n v="2250.4100000000017"/>
  </r>
  <r>
    <s v="5550"/>
    <x v="120"/>
    <x v="0"/>
    <x v="5"/>
    <n v="133.75"/>
    <n v="2179.2199999999993"/>
    <n v="2250.4100000000017"/>
  </r>
  <r>
    <s v="5570"/>
    <x v="121"/>
    <x v="0"/>
    <x v="0"/>
    <n v="128.5"/>
    <n v="1586.5400000000002"/>
    <n v="1586.5400000000002"/>
  </r>
  <r>
    <s v="5570"/>
    <x v="121"/>
    <x v="0"/>
    <x v="1"/>
    <n v="131"/>
    <n v="1473.32"/>
    <n v="1473.32"/>
  </r>
  <r>
    <s v="5570"/>
    <x v="121"/>
    <x v="0"/>
    <x v="2"/>
    <n v="127.5"/>
    <n v="1441.98"/>
    <n v="1441.98"/>
  </r>
  <r>
    <s v="5570"/>
    <x v="121"/>
    <x v="0"/>
    <x v="3"/>
    <n v="105"/>
    <n v="1511.9599999999991"/>
    <n v="1511.9599999999991"/>
  </r>
  <r>
    <s v="5570"/>
    <x v="121"/>
    <x v="0"/>
    <x v="4"/>
    <n v="84"/>
    <n v="1333.6000000000004"/>
    <n v="1333.6000000000004"/>
  </r>
  <r>
    <s v="5570"/>
    <x v="121"/>
    <x v="0"/>
    <x v="5"/>
    <n v="130.5"/>
    <n v="1567.4700000000012"/>
    <n v="1333.6000000000004"/>
  </r>
  <r>
    <s v="5580"/>
    <x v="122"/>
    <x v="2"/>
    <x v="0"/>
    <n v="147.25"/>
    <n v="1729.66"/>
    <n v="1729.66"/>
  </r>
  <r>
    <s v="5580"/>
    <x v="122"/>
    <x v="2"/>
    <x v="1"/>
    <n v="83.5"/>
    <n v="1261.0899999999999"/>
    <n v="1261.0899999999999"/>
  </r>
  <r>
    <s v="5580"/>
    <x v="122"/>
    <x v="2"/>
    <x v="2"/>
    <n v="145"/>
    <n v="1600.4899999999998"/>
    <n v="1600.4899999999998"/>
  </r>
  <r>
    <s v="5580"/>
    <x v="122"/>
    <x v="2"/>
    <x v="3"/>
    <n v="96"/>
    <n v="1616.46"/>
    <n v="1616.46"/>
  </r>
  <r>
    <s v="5580"/>
    <x v="122"/>
    <x v="2"/>
    <x v="4"/>
    <n v="119.5"/>
    <n v="1488.5900000000001"/>
    <n v="1488.5900000000001"/>
  </r>
  <r>
    <s v="5580"/>
    <x v="122"/>
    <x v="2"/>
    <x v="5"/>
    <n v="127.75"/>
    <n v="1532.2400000000007"/>
    <n v="1488.5900000000001"/>
  </r>
  <r>
    <s v="5590"/>
    <x v="123"/>
    <x v="4"/>
    <x v="0"/>
    <n v="109.5"/>
    <n v="1861.0500000000002"/>
    <n v="1861.0500000000002"/>
  </r>
  <r>
    <s v="5590"/>
    <x v="123"/>
    <x v="4"/>
    <x v="1"/>
    <n v="82"/>
    <n v="1278.06"/>
    <n v="1278.06"/>
  </r>
  <r>
    <s v="5590"/>
    <x v="123"/>
    <x v="4"/>
    <x v="2"/>
    <n v="137.5"/>
    <n v="2396.6"/>
    <n v="2396.6"/>
  </r>
  <r>
    <s v="5600"/>
    <x v="124"/>
    <x v="2"/>
    <x v="0"/>
    <n v="148.75"/>
    <n v="1775.1"/>
    <n v="1775.1"/>
  </r>
  <r>
    <s v="5600"/>
    <x v="124"/>
    <x v="2"/>
    <x v="1"/>
    <n v="142"/>
    <n v="1584.6"/>
    <n v="1584.6"/>
  </r>
  <r>
    <s v="5600"/>
    <x v="124"/>
    <x v="2"/>
    <x v="2"/>
    <n v="139.5"/>
    <n v="1596.3000000000002"/>
    <n v="1596.3000000000002"/>
  </r>
  <r>
    <s v="5600"/>
    <x v="124"/>
    <x v="2"/>
    <x v="3"/>
    <n v="137"/>
    <n v="1762.33"/>
    <n v="1762.33"/>
  </r>
  <r>
    <s v="5600"/>
    <x v="124"/>
    <x v="2"/>
    <x v="4"/>
    <n v="140.75"/>
    <n v="1688.340000000002"/>
    <n v="1688.340000000002"/>
  </r>
  <r>
    <s v="5600"/>
    <x v="124"/>
    <x v="2"/>
    <x v="5"/>
    <n v="124.5"/>
    <n v="1521.6399999999976"/>
    <n v="1688.340000000002"/>
  </r>
  <r>
    <s v="5620"/>
    <x v="125"/>
    <x v="4"/>
    <x v="0"/>
    <n v="105.75"/>
    <n v="2257.94"/>
    <n v="0"/>
  </r>
  <r>
    <s v="5620"/>
    <x v="125"/>
    <x v="4"/>
    <x v="1"/>
    <n v="151.25"/>
    <n v="1941.6399999999999"/>
    <n v="0"/>
  </r>
  <r>
    <s v="5620"/>
    <x v="125"/>
    <x v="4"/>
    <x v="2"/>
    <n v="159.25"/>
    <n v="1931.0699999999997"/>
    <n v="0"/>
  </r>
  <r>
    <s v="5620"/>
    <x v="125"/>
    <x v="4"/>
    <x v="3"/>
    <n v="132.25"/>
    <n v="1892.33"/>
    <n v="0"/>
  </r>
  <r>
    <s v="5620"/>
    <x v="125"/>
    <x v="4"/>
    <x v="4"/>
    <n v="-548.5"/>
    <n v="-8022.98"/>
    <n v="0"/>
  </r>
  <r>
    <s v="5630"/>
    <x v="126"/>
    <x v="12"/>
    <x v="0"/>
    <n v="126.25"/>
    <n v="3281.18"/>
    <n v="3281.18"/>
  </r>
  <r>
    <s v="5630"/>
    <x v="126"/>
    <x v="12"/>
    <x v="1"/>
    <n v="132"/>
    <n v="3512.1199999999994"/>
    <n v="3512.1199999999994"/>
  </r>
  <r>
    <s v="5630"/>
    <x v="126"/>
    <x v="12"/>
    <x v="2"/>
    <n v="149.75"/>
    <n v="3549"/>
    <n v="3549"/>
  </r>
  <r>
    <s v="5630"/>
    <x v="126"/>
    <x v="12"/>
    <x v="3"/>
    <n v="133.5"/>
    <n v="3497.340000000002"/>
    <n v="3497.340000000002"/>
  </r>
  <r>
    <s v="5630"/>
    <x v="126"/>
    <x v="12"/>
    <x v="4"/>
    <n v="83"/>
    <n v="3366.0599999999995"/>
    <n v="3366.0599999999995"/>
  </r>
  <r>
    <s v="5630"/>
    <x v="126"/>
    <x v="12"/>
    <x v="5"/>
    <n v="129.5"/>
    <n v="493.15000000000146"/>
    <n v="3441.1400000000003"/>
  </r>
  <r>
    <s v="5640"/>
    <x v="127"/>
    <x v="2"/>
    <x v="0"/>
    <n v="105"/>
    <n v="1232.4100000000001"/>
    <n v="1232.4100000000001"/>
  </r>
  <r>
    <s v="5640"/>
    <x v="127"/>
    <x v="2"/>
    <x v="1"/>
    <n v="95"/>
    <n v="1061.1899999999998"/>
    <n v="1061.1899999999998"/>
  </r>
  <r>
    <s v="5640"/>
    <x v="127"/>
    <x v="2"/>
    <x v="2"/>
    <n v="106"/>
    <n v="1176.1800000000003"/>
    <n v="1176.1800000000003"/>
  </r>
  <r>
    <s v="5640"/>
    <x v="127"/>
    <x v="2"/>
    <x v="3"/>
    <n v="75"/>
    <n v="1117.7499999999995"/>
    <n v="1117.7499999999995"/>
  </r>
  <r>
    <s v="5640"/>
    <x v="127"/>
    <x v="2"/>
    <x v="4"/>
    <n v="95"/>
    <n v="1141.2400000000007"/>
    <n v="1141.2400000000007"/>
  </r>
  <r>
    <s v="5640"/>
    <x v="127"/>
    <x v="2"/>
    <x v="5"/>
    <n v="60"/>
    <n v="825.11000000000149"/>
    <n v="1141.2400000000007"/>
  </r>
  <r>
    <s v="5660"/>
    <x v="128"/>
    <x v="8"/>
    <x v="0"/>
    <n v="147"/>
    <n v="1669.41"/>
    <n v="1669.41"/>
  </r>
  <r>
    <s v="5660"/>
    <x v="128"/>
    <x v="8"/>
    <x v="1"/>
    <n v="138.25"/>
    <n v="1653.07"/>
    <n v="1653.07"/>
  </r>
  <r>
    <s v="5660"/>
    <x v="128"/>
    <x v="8"/>
    <x v="2"/>
    <n v="144"/>
    <n v="1640.19"/>
    <n v="1640.19"/>
  </r>
  <r>
    <s v="5660"/>
    <x v="128"/>
    <x v="8"/>
    <x v="3"/>
    <n v="140"/>
    <n v="1667.96"/>
    <n v="1667.96"/>
  </r>
  <r>
    <s v="5660"/>
    <x v="128"/>
    <x v="8"/>
    <x v="4"/>
    <n v="115.5"/>
    <n v="1606.3000000000002"/>
    <n v="1606.3000000000002"/>
  </r>
  <r>
    <s v="5660"/>
    <x v="128"/>
    <x v="8"/>
    <x v="5"/>
    <n v="130"/>
    <n v="1577.58"/>
    <n v="1647.386"/>
  </r>
  <r>
    <s v="5670"/>
    <x v="129"/>
    <x v="8"/>
    <x v="0"/>
    <n v="147"/>
    <n v="1558.6"/>
    <n v="1558.6"/>
  </r>
  <r>
    <s v="5670"/>
    <x v="129"/>
    <x v="8"/>
    <x v="1"/>
    <n v="125.5"/>
    <n v="1497.04"/>
    <n v="1497.04"/>
  </r>
  <r>
    <s v="5670"/>
    <x v="129"/>
    <x v="8"/>
    <x v="2"/>
    <n v="131.5"/>
    <n v="1431.48"/>
    <n v="1431.48"/>
  </r>
  <r>
    <s v="5670"/>
    <x v="129"/>
    <x v="8"/>
    <x v="3"/>
    <n v="124.75"/>
    <n v="1494.2399999999998"/>
    <n v="1494.2399999999998"/>
  </r>
  <r>
    <s v="5670"/>
    <x v="129"/>
    <x v="8"/>
    <x v="4"/>
    <n v="147"/>
    <n v="1563.62"/>
    <n v="1563.62"/>
  </r>
  <r>
    <s v="5670"/>
    <x v="129"/>
    <x v="8"/>
    <x v="5"/>
    <n v="124.75"/>
    <n v="1430.6599999999999"/>
    <n v="1508.9959999999999"/>
  </r>
  <r>
    <s v="5680"/>
    <x v="130"/>
    <x v="8"/>
    <x v="0"/>
    <n v="147"/>
    <n v="1667.37"/>
    <n v="1667.37"/>
  </r>
  <r>
    <s v="5680"/>
    <x v="130"/>
    <x v="8"/>
    <x v="1"/>
    <n v="134"/>
    <n v="1616.6"/>
    <n v="1616.6"/>
  </r>
  <r>
    <s v="5680"/>
    <x v="130"/>
    <x v="8"/>
    <x v="2"/>
    <n v="136"/>
    <n v="1573.2000000000003"/>
    <n v="1573.2000000000003"/>
  </r>
  <r>
    <s v="5680"/>
    <x v="130"/>
    <x v="8"/>
    <x v="3"/>
    <n v="125.25"/>
    <n v="1544.37"/>
    <n v="1544.37"/>
  </r>
  <r>
    <s v="5680"/>
    <x v="130"/>
    <x v="8"/>
    <x v="4"/>
    <n v="133.5"/>
    <n v="1553.6200000000008"/>
    <n v="1553.6200000000008"/>
  </r>
  <r>
    <s v="5680"/>
    <x v="130"/>
    <x v="8"/>
    <x v="5"/>
    <n v="129.5"/>
    <n v="1573.38"/>
    <n v="1591.0320000000002"/>
  </r>
  <r>
    <s v="5690"/>
    <x v="131"/>
    <x v="6"/>
    <x v="0"/>
    <n v="144"/>
    <n v="3018.96"/>
    <n v="0"/>
  </r>
  <r>
    <s v="5690"/>
    <x v="131"/>
    <x v="6"/>
    <x v="1"/>
    <n v="152"/>
    <n v="2681.87"/>
    <n v="0"/>
  </r>
  <r>
    <s v="5690"/>
    <x v="131"/>
    <x v="6"/>
    <x v="2"/>
    <n v="160"/>
    <n v="2677.8199999999997"/>
    <n v="0"/>
  </r>
  <r>
    <s v="5690"/>
    <x v="131"/>
    <x v="6"/>
    <x v="3"/>
    <n v="151.5"/>
    <n v="2678.6999999999989"/>
    <n v="0"/>
  </r>
  <r>
    <s v="5690"/>
    <x v="131"/>
    <x v="6"/>
    <x v="4"/>
    <n v="159.5"/>
    <n v="2677.2900000000009"/>
    <n v="0"/>
  </r>
  <r>
    <s v="5690"/>
    <x v="131"/>
    <x v="6"/>
    <x v="5"/>
    <n v="122"/>
    <n v="2513.0199999999986"/>
    <n v="0"/>
  </r>
  <r>
    <s v="5700"/>
    <x v="132"/>
    <x v="0"/>
    <x v="0"/>
    <n v="156.5"/>
    <n v="2390.25"/>
    <n v="2390.25"/>
  </r>
  <r>
    <s v="5700"/>
    <x v="132"/>
    <x v="0"/>
    <x v="1"/>
    <n v="151"/>
    <n v="2201.66"/>
    <n v="2201.66"/>
  </r>
  <r>
    <s v="5700"/>
    <x v="132"/>
    <x v="0"/>
    <x v="2"/>
    <n v="137"/>
    <n v="2112.4400000000005"/>
    <n v="2112.4400000000005"/>
  </r>
  <r>
    <s v="5700"/>
    <x v="132"/>
    <x v="0"/>
    <x v="3"/>
    <n v="121.25"/>
    <n v="2260.489999999998"/>
    <n v="2260.489999999998"/>
  </r>
  <r>
    <s v="5700"/>
    <x v="132"/>
    <x v="0"/>
    <x v="4"/>
    <n v="130.5"/>
    <n v="2028.1200000000008"/>
    <n v="2028.1200000000008"/>
  </r>
  <r>
    <s v="5700"/>
    <x v="132"/>
    <x v="0"/>
    <x v="5"/>
    <n v="122"/>
    <n v="1981.6200000000008"/>
    <n v="2028.1200000000008"/>
  </r>
  <r>
    <s v="5720"/>
    <x v="133"/>
    <x v="8"/>
    <x v="0"/>
    <n v="127"/>
    <n v="1474.7600000000002"/>
    <n v="1474.7600000000002"/>
  </r>
  <r>
    <s v="5720"/>
    <x v="133"/>
    <x v="8"/>
    <x v="1"/>
    <n v="98.75"/>
    <n v="1503.0299999999997"/>
    <n v="1503.0299999999997"/>
  </r>
  <r>
    <s v="5720"/>
    <x v="133"/>
    <x v="8"/>
    <x v="2"/>
    <n v="86.5"/>
    <n v="1085.5200000000004"/>
    <n v="1085.5200000000004"/>
  </r>
  <r>
    <s v="5720"/>
    <x v="133"/>
    <x v="8"/>
    <x v="3"/>
    <n v="105.25"/>
    <n v="1453.29"/>
    <n v="1453.29"/>
  </r>
  <r>
    <s v="5720"/>
    <x v="133"/>
    <x v="8"/>
    <x v="4"/>
    <n v="101.75"/>
    <n v="1347.7299999999987"/>
    <n v="1347.7299999999987"/>
  </r>
  <r>
    <s v="5720"/>
    <x v="133"/>
    <x v="8"/>
    <x v="5"/>
    <n v="102.5"/>
    <n v="1334.9300000000012"/>
    <n v="1372.8659999999998"/>
  </r>
  <r>
    <s v="5740"/>
    <x v="134"/>
    <x v="0"/>
    <x v="0"/>
    <n v="127"/>
    <n v="2067.4399999999996"/>
    <n v="2067.4399999999996"/>
  </r>
  <r>
    <s v="5740"/>
    <x v="134"/>
    <x v="0"/>
    <x v="1"/>
    <n v="124.5"/>
    <n v="1934.6099999999997"/>
    <n v="1934.6099999999997"/>
  </r>
  <r>
    <s v="5740"/>
    <x v="134"/>
    <x v="0"/>
    <x v="2"/>
    <n v="148.25"/>
    <n v="2149.7500000000009"/>
    <n v="2149.7500000000009"/>
  </r>
  <r>
    <s v="5740"/>
    <x v="134"/>
    <x v="0"/>
    <x v="3"/>
    <n v="125.75"/>
    <n v="2150.0200000000013"/>
    <n v="2150.0200000000013"/>
  </r>
  <r>
    <s v="5740"/>
    <x v="134"/>
    <x v="0"/>
    <x v="4"/>
    <n v="134.5"/>
    <n v="2124.8000000000011"/>
    <n v="2124.8000000000011"/>
  </r>
  <r>
    <s v="5740"/>
    <x v="134"/>
    <x v="0"/>
    <x v="5"/>
    <n v="146.75"/>
    <n v="2202.0999999999967"/>
    <n v="2124.8000000000011"/>
  </r>
  <r>
    <s v="5750"/>
    <x v="135"/>
    <x v="11"/>
    <x v="0"/>
    <n v="113.5"/>
    <n v="2244.63"/>
    <n v="2244.63"/>
  </r>
  <r>
    <s v="5750"/>
    <x v="135"/>
    <x v="11"/>
    <x v="1"/>
    <n v="103.5"/>
    <n v="1786.7900000000004"/>
    <n v="1786.7900000000004"/>
  </r>
  <r>
    <s v="5750"/>
    <x v="135"/>
    <x v="11"/>
    <x v="2"/>
    <n v="112.5"/>
    <n v="1807.35"/>
    <n v="1807.35"/>
  </r>
  <r>
    <s v="5750"/>
    <x v="135"/>
    <x v="11"/>
    <x v="3"/>
    <n v="127.5"/>
    <n v="2085.0999999999995"/>
    <n v="2085.0999999999995"/>
  </r>
  <r>
    <s v="5750"/>
    <x v="135"/>
    <x v="11"/>
    <x v="4"/>
    <n v="75"/>
    <n v="1625.4500000000016"/>
    <n v="1625.4500000000016"/>
  </r>
  <r>
    <s v="5750"/>
    <x v="135"/>
    <x v="11"/>
    <x v="5"/>
    <n v="144.5"/>
    <n v="2843.6199999999972"/>
    <n v="1909.8640000000003"/>
  </r>
  <r>
    <s v="5760"/>
    <x v="136"/>
    <x v="8"/>
    <x v="0"/>
    <n v="56"/>
    <n v="858.04"/>
    <n v="858.04"/>
  </r>
  <r>
    <s v="5760"/>
    <x v="136"/>
    <x v="8"/>
    <x v="1"/>
    <n v="111"/>
    <n v="1548.9900000000002"/>
    <n v="1548.9900000000002"/>
  </r>
  <r>
    <s v="5760"/>
    <x v="136"/>
    <x v="8"/>
    <x v="2"/>
    <n v="123"/>
    <n v="1581.4699999999998"/>
    <n v="1581.4699999999998"/>
  </r>
  <r>
    <s v="5760"/>
    <x v="136"/>
    <x v="8"/>
    <x v="3"/>
    <n v="115.25"/>
    <n v="1460.4699999999993"/>
    <n v="1460.4699999999993"/>
  </r>
  <r>
    <s v="5760"/>
    <x v="136"/>
    <x v="8"/>
    <x v="4"/>
    <n v="135.25"/>
    <n v="1568.2600000000002"/>
    <n v="1568.2600000000002"/>
  </r>
  <r>
    <s v="5760"/>
    <x v="136"/>
    <x v="8"/>
    <x v="5"/>
    <n v="14"/>
    <n v="215.8700000000008"/>
    <n v="0"/>
  </r>
  <r>
    <s v="5770"/>
    <x v="137"/>
    <x v="4"/>
    <x v="0"/>
    <n v="100.5"/>
    <n v="1934.5199999999998"/>
    <n v="1934.5199999999998"/>
  </r>
  <r>
    <s v="5770"/>
    <x v="137"/>
    <x v="4"/>
    <x v="1"/>
    <n v="116.5"/>
    <n v="1673.43"/>
    <n v="1673.43"/>
  </r>
  <r>
    <s v="5770"/>
    <x v="137"/>
    <x v="4"/>
    <x v="2"/>
    <n v="108.44999999999999"/>
    <n v="2050.66"/>
    <n v="2050.66"/>
  </r>
  <r>
    <s v="5770"/>
    <x v="137"/>
    <x v="4"/>
    <x v="3"/>
    <n v="10"/>
    <n v="285.72000000000025"/>
    <n v="285.72000000000025"/>
  </r>
  <r>
    <s v="5770"/>
    <x v="137"/>
    <x v="4"/>
    <x v="4"/>
    <n v="0"/>
    <n v="9.0949470177292824E-13"/>
    <n v="9.0949470177292824E-13"/>
  </r>
  <r>
    <s v="5780"/>
    <x v="138"/>
    <x v="8"/>
    <x v="0"/>
    <n v="145.5"/>
    <n v="1655.43"/>
    <n v="1655.43"/>
  </r>
  <r>
    <s v="5780"/>
    <x v="138"/>
    <x v="8"/>
    <x v="1"/>
    <n v="139.5"/>
    <n v="1660.7800000000004"/>
    <n v="1660.7800000000004"/>
  </r>
  <r>
    <s v="5780"/>
    <x v="138"/>
    <x v="8"/>
    <x v="2"/>
    <n v="145"/>
    <n v="1648.2699999999991"/>
    <n v="1648.2699999999991"/>
  </r>
  <r>
    <s v="5780"/>
    <x v="138"/>
    <x v="8"/>
    <x v="3"/>
    <n v="137.75"/>
    <n v="1648.3300000000008"/>
    <n v="1648.3300000000008"/>
  </r>
  <r>
    <s v="5780"/>
    <x v="138"/>
    <x v="8"/>
    <x v="4"/>
    <n v="147"/>
    <n v="1666.5400000000018"/>
    <n v="1666.5400000000018"/>
  </r>
  <r>
    <s v="5780"/>
    <x v="138"/>
    <x v="8"/>
    <x v="5"/>
    <n v="140"/>
    <n v="1661.1299999999974"/>
    <n v="1655.8700000000003"/>
  </r>
  <r>
    <s v="5790"/>
    <x v="139"/>
    <x v="4"/>
    <x v="0"/>
    <n v="75.75"/>
    <n v="1344.38"/>
    <n v="1344.38"/>
  </r>
  <r>
    <s v="5790"/>
    <x v="139"/>
    <x v="4"/>
    <x v="1"/>
    <n v="80"/>
    <n v="1503.48"/>
    <n v="1503.48"/>
  </r>
  <r>
    <s v="5790"/>
    <x v="139"/>
    <x v="4"/>
    <x v="2"/>
    <n v="111.25"/>
    <n v="2030.9199999999996"/>
    <n v="2030.9199999999996"/>
  </r>
  <r>
    <s v="5790"/>
    <x v="139"/>
    <x v="4"/>
    <x v="3"/>
    <n v="120"/>
    <n v="2146.9900000000007"/>
    <n v="2146.9900000000007"/>
  </r>
  <r>
    <s v="5790"/>
    <x v="139"/>
    <x v="4"/>
    <x v="4"/>
    <n v="117.75"/>
    <n v="2034.1099999999988"/>
    <n v="2034.1099999999988"/>
  </r>
  <r>
    <s v="5790"/>
    <x v="139"/>
    <x v="4"/>
    <x v="5"/>
    <n v="118"/>
    <n v="2120.42"/>
    <n v="1811.9759999999999"/>
  </r>
  <r>
    <s v="5800"/>
    <x v="140"/>
    <x v="11"/>
    <x v="0"/>
    <n v="157"/>
    <n v="3450.69"/>
    <n v="3450.69"/>
  </r>
  <r>
    <s v="5800"/>
    <x v="140"/>
    <x v="11"/>
    <x v="1"/>
    <n v="151.5"/>
    <n v="3110.94"/>
    <n v="3110.94"/>
  </r>
  <r>
    <s v="5800"/>
    <x v="140"/>
    <x v="11"/>
    <x v="2"/>
    <n v="159"/>
    <n v="3230.7399999999989"/>
    <n v="3230.7399999999989"/>
  </r>
  <r>
    <s v="5800"/>
    <x v="140"/>
    <x v="11"/>
    <x v="3"/>
    <n v="151.5"/>
    <n v="3360.3899999999994"/>
    <n v="3360.3899999999994"/>
  </r>
  <r>
    <s v="5800"/>
    <x v="140"/>
    <x v="11"/>
    <x v="4"/>
    <n v="157.5"/>
    <n v="3328.7000000000044"/>
    <n v="3328.7000000000044"/>
  </r>
  <r>
    <s v="5800"/>
    <x v="140"/>
    <x v="11"/>
    <x v="5"/>
    <n v="151.5"/>
    <n v="3245.7400000000052"/>
    <n v="3296.2920000000004"/>
  </r>
  <r>
    <s v="5810"/>
    <x v="141"/>
    <x v="8"/>
    <x v="0"/>
    <n v="117"/>
    <n v="1619.94"/>
    <n v="1619.94"/>
  </r>
  <r>
    <s v="5810"/>
    <x v="141"/>
    <x v="8"/>
    <x v="1"/>
    <n v="125.25"/>
    <n v="1542.56"/>
    <n v="1542.56"/>
  </r>
  <r>
    <s v="5810"/>
    <x v="141"/>
    <x v="8"/>
    <x v="2"/>
    <n v="133"/>
    <n v="1548.04"/>
    <n v="1548.04"/>
  </r>
  <r>
    <s v="5810"/>
    <x v="141"/>
    <x v="8"/>
    <x v="3"/>
    <n v="126.75"/>
    <n v="1556.63"/>
    <n v="1556.63"/>
  </r>
  <r>
    <s v="5810"/>
    <x v="141"/>
    <x v="8"/>
    <x v="4"/>
    <n v="136.25"/>
    <n v="1576.63"/>
    <n v="1576.63"/>
  </r>
  <r>
    <s v="5810"/>
    <x v="141"/>
    <x v="8"/>
    <x v="5"/>
    <n v="123.75"/>
    <n v="1525.2800000000016"/>
    <n v="1568.76"/>
  </r>
  <r>
    <s v="5820"/>
    <x v="142"/>
    <x v="4"/>
    <x v="0"/>
    <n v="103.5"/>
    <n v="1726.82"/>
    <n v="1726.82"/>
  </r>
  <r>
    <s v="5820"/>
    <x v="142"/>
    <x v="4"/>
    <x v="1"/>
    <n v="100"/>
    <n v="1474.0999999999997"/>
    <n v="1474.0999999999997"/>
  </r>
  <r>
    <s v="5820"/>
    <x v="142"/>
    <x v="4"/>
    <x v="2"/>
    <n v="121.5"/>
    <n v="2045.02"/>
    <n v="2045.02"/>
  </r>
  <r>
    <s v="5820"/>
    <x v="142"/>
    <x v="4"/>
    <x v="3"/>
    <n v="144"/>
    <n v="2617.5600000000013"/>
    <n v="2617.5600000000013"/>
  </r>
  <r>
    <s v="5820"/>
    <x v="142"/>
    <x v="4"/>
    <x v="4"/>
    <n v="149"/>
    <n v="2322.2700000000013"/>
    <n v="2322.2700000000013"/>
  </r>
  <r>
    <s v="5820"/>
    <x v="142"/>
    <x v="4"/>
    <x v="5"/>
    <n v="120"/>
    <n v="1885.2699999999986"/>
    <n v="2037.1540000000005"/>
  </r>
  <r>
    <s v="5830"/>
    <x v="143"/>
    <x v="9"/>
    <x v="0"/>
    <n v="158.75"/>
    <n v="1921.2700000000002"/>
    <n v="1921.2700000000002"/>
  </r>
  <r>
    <s v="5830"/>
    <x v="143"/>
    <x v="9"/>
    <x v="1"/>
    <n v="151"/>
    <n v="1692.2499999999998"/>
    <n v="1692.2499999999998"/>
  </r>
  <r>
    <s v="5830"/>
    <x v="143"/>
    <x v="9"/>
    <x v="2"/>
    <n v="157.25"/>
    <n v="1795.1600000000003"/>
    <n v="1795.1600000000003"/>
  </r>
  <r>
    <s v="5830"/>
    <x v="143"/>
    <x v="9"/>
    <x v="3"/>
    <n v="146.5"/>
    <n v="1853.0300000000007"/>
    <n v="1853.0300000000007"/>
  </r>
  <r>
    <s v="5830"/>
    <x v="143"/>
    <x v="9"/>
    <x v="4"/>
    <n v="155.5"/>
    <n v="1925.25"/>
    <n v="1925.25"/>
  </r>
  <r>
    <s v="5830"/>
    <x v="143"/>
    <x v="9"/>
    <x v="5"/>
    <n v="106.5"/>
    <n v="1457.3799999999992"/>
    <n v="1837.3920000000003"/>
  </r>
  <r>
    <s v="5840"/>
    <x v="144"/>
    <x v="2"/>
    <x v="0"/>
    <n v="45"/>
    <n v="1446.5500000000002"/>
    <n v="1446.5500000000002"/>
  </r>
  <r>
    <s v="5840"/>
    <x v="144"/>
    <x v="2"/>
    <x v="1"/>
    <n v="0"/>
    <n v="254.66999999999985"/>
    <n v="254.66999999999985"/>
  </r>
  <r>
    <s v="5850"/>
    <x v="145"/>
    <x v="0"/>
    <x v="0"/>
    <n v="161"/>
    <n v="2443.4500000000003"/>
    <n v="2443.4500000000003"/>
  </r>
  <r>
    <s v="5850"/>
    <x v="145"/>
    <x v="0"/>
    <x v="1"/>
    <n v="128"/>
    <n v="2163.14"/>
    <n v="2163.14"/>
  </r>
  <r>
    <s v="5850"/>
    <x v="145"/>
    <x v="0"/>
    <x v="2"/>
    <n v="142"/>
    <n v="2332.6099999999997"/>
    <n v="2332.6099999999997"/>
  </r>
  <r>
    <s v="5850"/>
    <x v="145"/>
    <x v="0"/>
    <x v="3"/>
    <n v="149.5"/>
    <n v="2361.8599999999997"/>
    <n v="2361.8599999999997"/>
  </r>
  <r>
    <s v="5850"/>
    <x v="145"/>
    <x v="0"/>
    <x v="4"/>
    <n v="143.5"/>
    <n v="2211.0000000000018"/>
    <n v="2211.0000000000018"/>
  </r>
  <r>
    <s v="5850"/>
    <x v="145"/>
    <x v="0"/>
    <x v="5"/>
    <n v="83"/>
    <n v="1656.239999999998"/>
    <n v="2211.0000000000018"/>
  </r>
  <r>
    <s v="5860"/>
    <x v="146"/>
    <x v="0"/>
    <x v="0"/>
    <n v="159"/>
    <n v="2559.25"/>
    <n v="2559.25"/>
  </r>
  <r>
    <s v="5860"/>
    <x v="146"/>
    <x v="0"/>
    <x v="1"/>
    <n v="137"/>
    <n v="2122.21"/>
    <n v="2122.21"/>
  </r>
  <r>
    <s v="5860"/>
    <x v="146"/>
    <x v="0"/>
    <x v="2"/>
    <n v="110"/>
    <n v="2450.9399999999996"/>
    <n v="2450.9399999999996"/>
  </r>
  <r>
    <s v="5860"/>
    <x v="146"/>
    <x v="0"/>
    <x v="3"/>
    <n v="147.5"/>
    <n v="2945.2199999999993"/>
    <n v="2945.2199999999993"/>
  </r>
  <r>
    <s v="5860"/>
    <x v="146"/>
    <x v="0"/>
    <x v="4"/>
    <n v="127.5"/>
    <n v="2625.09"/>
    <n v="2625.09"/>
  </r>
  <r>
    <s v="5860"/>
    <x v="146"/>
    <x v="0"/>
    <x v="5"/>
    <n v="134.5"/>
    <n v="2463.9900000000016"/>
    <n v="2625.09"/>
  </r>
  <r>
    <s v="5870"/>
    <x v="147"/>
    <x v="4"/>
    <x v="0"/>
    <n v="106"/>
    <n v="1864.89"/>
    <n v="1864.89"/>
  </r>
  <r>
    <s v="5870"/>
    <x v="147"/>
    <x v="4"/>
    <x v="1"/>
    <n v="104"/>
    <n v="1610.64"/>
    <n v="1610.64"/>
  </r>
  <r>
    <s v="5870"/>
    <x v="147"/>
    <x v="4"/>
    <x v="2"/>
    <n v="77.5"/>
    <n v="1346.4699999999998"/>
    <n v="1346.4699999999998"/>
  </r>
  <r>
    <s v="5870"/>
    <x v="147"/>
    <x v="4"/>
    <x v="3"/>
    <n v="0"/>
    <n v="-3.3800000000001091"/>
    <n v="-3.3800000000001091"/>
  </r>
  <r>
    <s v="5880"/>
    <x v="148"/>
    <x v="4"/>
    <x v="0"/>
    <n v="84"/>
    <n v="1101.07"/>
    <n v="1101.07"/>
  </r>
  <r>
    <s v="5880"/>
    <x v="148"/>
    <x v="4"/>
    <x v="1"/>
    <n v="84"/>
    <n v="1169.1299999999999"/>
    <n v="1169.1299999999999"/>
  </r>
  <r>
    <s v="5880"/>
    <x v="148"/>
    <x v="4"/>
    <x v="2"/>
    <n v="86.75"/>
    <n v="1166.8900000000003"/>
    <n v="1166.8900000000003"/>
  </r>
  <r>
    <s v="5880"/>
    <x v="148"/>
    <x v="4"/>
    <x v="3"/>
    <n v="79.25"/>
    <n v="1215.7399999999998"/>
    <n v="1215.7399999999998"/>
  </r>
  <r>
    <s v="5880"/>
    <x v="148"/>
    <x v="4"/>
    <x v="4"/>
    <n v="82"/>
    <n v="1115.6999999999998"/>
    <n v="1115.6999999999998"/>
  </r>
  <r>
    <s v="5880"/>
    <x v="148"/>
    <x v="4"/>
    <x v="5"/>
    <n v="83.25"/>
    <n v="1229.6999999999989"/>
    <n v="1153.7059999999999"/>
  </r>
  <r>
    <s v="5890"/>
    <x v="149"/>
    <x v="8"/>
    <x v="0"/>
    <n v="109"/>
    <n v="1458.2800000000002"/>
    <n v="1458.2800000000002"/>
  </r>
  <r>
    <s v="5890"/>
    <x v="149"/>
    <x v="8"/>
    <x v="1"/>
    <n v="111"/>
    <n v="1461.63"/>
    <n v="1461.63"/>
  </r>
  <r>
    <s v="5890"/>
    <x v="149"/>
    <x v="8"/>
    <x v="2"/>
    <n v="112.25"/>
    <n v="1351.5300000000002"/>
    <n v="1351.5300000000002"/>
  </r>
  <r>
    <s v="5890"/>
    <x v="149"/>
    <x v="8"/>
    <x v="4"/>
    <n v="7"/>
    <n v="847.46"/>
    <n v="847.46"/>
  </r>
  <r>
    <s v="5900"/>
    <x v="150"/>
    <x v="9"/>
    <x v="0"/>
    <n v="97.5"/>
    <n v="1465.98"/>
    <n v="1465.98"/>
  </r>
  <r>
    <s v="5900"/>
    <x v="150"/>
    <x v="9"/>
    <x v="1"/>
    <n v="130.5"/>
    <n v="1510.6400000000003"/>
    <n v="1510.6400000000003"/>
  </r>
  <r>
    <s v="5900"/>
    <x v="150"/>
    <x v="9"/>
    <x v="2"/>
    <n v="127"/>
    <n v="1510.1299999999997"/>
    <n v="1510.1299999999997"/>
  </r>
  <r>
    <s v="5900"/>
    <x v="150"/>
    <x v="9"/>
    <x v="3"/>
    <n v="136.5"/>
    <n v="1764.62"/>
    <n v="1764.62"/>
  </r>
  <r>
    <s v="5900"/>
    <x v="150"/>
    <x v="9"/>
    <x v="4"/>
    <n v="104"/>
    <n v="1690.6000000000004"/>
    <n v="1690.6000000000004"/>
  </r>
  <r>
    <s v="5900"/>
    <x v="150"/>
    <x v="9"/>
    <x v="5"/>
    <n v="126"/>
    <n v="1624.1600000000026"/>
    <n v="1588.394"/>
  </r>
  <r>
    <s v="5910"/>
    <x v="151"/>
    <x v="2"/>
    <x v="0"/>
    <n v="32"/>
    <n v="269.47000000000003"/>
    <n v="269.47000000000003"/>
  </r>
  <r>
    <s v="5910"/>
    <x v="151"/>
    <x v="2"/>
    <x v="1"/>
    <n v="72"/>
    <n v="820.86999999999989"/>
    <n v="820.86999999999989"/>
  </r>
  <r>
    <s v="5910"/>
    <x v="151"/>
    <x v="2"/>
    <x v="2"/>
    <n v="76"/>
    <n v="859.47"/>
    <n v="859.47"/>
  </r>
  <r>
    <s v="5910"/>
    <x v="151"/>
    <x v="2"/>
    <x v="3"/>
    <n v="48"/>
    <n v="694.88000000000011"/>
    <n v="694.88000000000011"/>
  </r>
  <r>
    <s v="5910"/>
    <x v="151"/>
    <x v="2"/>
    <x v="4"/>
    <n v="68"/>
    <n v="828.61999999999989"/>
    <n v="828.61999999999989"/>
  </r>
  <r>
    <s v="5910"/>
    <x v="151"/>
    <x v="2"/>
    <x v="5"/>
    <n v="80"/>
    <n v="965.43999999999915"/>
    <n v="828.61999999999989"/>
  </r>
  <r>
    <s v="5920"/>
    <x v="152"/>
    <x v="6"/>
    <x v="0"/>
    <n v="20"/>
    <n v="216.52"/>
    <n v="0"/>
  </r>
  <r>
    <s v="5920"/>
    <x v="152"/>
    <x v="6"/>
    <x v="1"/>
    <n v="80"/>
    <n v="1408.6100000000001"/>
    <n v="0"/>
  </r>
  <r>
    <s v="5920"/>
    <x v="152"/>
    <x v="6"/>
    <x v="2"/>
    <n v="84"/>
    <n v="2105.5299999999997"/>
    <n v="0"/>
  </r>
  <r>
    <s v="5920"/>
    <x v="152"/>
    <x v="6"/>
    <x v="3"/>
    <n v="80"/>
    <n v="1671.5400000000009"/>
    <n v="0"/>
  </r>
  <r>
    <s v="5920"/>
    <x v="152"/>
    <x v="6"/>
    <x v="4"/>
    <n v="84"/>
    <n v="1671.5200000000004"/>
    <n v="0"/>
  </r>
  <r>
    <s v="5920"/>
    <x v="152"/>
    <x v="6"/>
    <x v="5"/>
    <n v="220.75"/>
    <n v="5607.5199999999986"/>
    <n v="0"/>
  </r>
  <r>
    <s v="5940"/>
    <x v="153"/>
    <x v="0"/>
    <x v="0"/>
    <n v="22.5"/>
    <n v="498.25"/>
    <n v="498.25"/>
  </r>
  <r>
    <s v="5940"/>
    <x v="153"/>
    <x v="0"/>
    <x v="1"/>
    <n v="98.25"/>
    <n v="1599.73"/>
    <n v="1599.73"/>
  </r>
  <r>
    <s v="5940"/>
    <x v="153"/>
    <x v="0"/>
    <x v="2"/>
    <n v="95.75"/>
    <n v="1594.3000000000002"/>
    <n v="1594.3000000000002"/>
  </r>
  <r>
    <s v="5940"/>
    <x v="153"/>
    <x v="0"/>
    <x v="3"/>
    <n v="105"/>
    <n v="1793.44"/>
    <n v="1793.44"/>
  </r>
  <r>
    <s v="5940"/>
    <x v="153"/>
    <x v="0"/>
    <x v="4"/>
    <n v="112"/>
    <n v="1682.2400000000007"/>
    <n v="1682.2400000000007"/>
  </r>
  <r>
    <s v="5940"/>
    <x v="153"/>
    <x v="0"/>
    <x v="5"/>
    <n v="85.5"/>
    <n v="1418.6399999999994"/>
    <n v="1682.2400000000007"/>
  </r>
  <r>
    <s v="80520"/>
    <x v="154"/>
    <x v="8"/>
    <x v="0"/>
    <n v="0"/>
    <n v="566.08000000000004"/>
    <n v="0"/>
  </r>
  <r>
    <s v="80550"/>
    <x v="155"/>
    <x v="10"/>
    <x v="0"/>
    <n v="0"/>
    <n v="466.08"/>
    <n v="466.08"/>
  </r>
  <r>
    <s v="80550"/>
    <x v="155"/>
    <x v="10"/>
    <x v="1"/>
    <n v="0"/>
    <n v="466.08"/>
    <n v="466.08"/>
  </r>
  <r>
    <s v="80550"/>
    <x v="155"/>
    <x v="10"/>
    <x v="2"/>
    <n v="0"/>
    <n v="108.86000000000001"/>
    <n v="108.86000000000001"/>
  </r>
  <r>
    <s v="80560"/>
    <x v="156"/>
    <x v="4"/>
    <x v="0"/>
    <n v="0"/>
    <n v="676.83"/>
    <n v="676.83"/>
  </r>
  <r>
    <s v="80560"/>
    <x v="156"/>
    <x v="4"/>
    <x v="1"/>
    <n v="0"/>
    <n v="661.36"/>
    <n v="661.36"/>
  </r>
  <r>
    <s v="80570"/>
    <x v="153"/>
    <x v="0"/>
    <x v="0"/>
    <n v="0"/>
    <n v="11.58"/>
    <n v="11.58"/>
  </r>
  <r>
    <s v="80580"/>
    <x v="157"/>
    <x v="8"/>
    <x v="0"/>
    <n v="0"/>
    <n v="516.08000000000004"/>
    <n v="0"/>
  </r>
  <r>
    <s v="80580"/>
    <x v="157"/>
    <x v="8"/>
    <x v="1"/>
    <n v="0"/>
    <n v="516.08000000000004"/>
    <n v="0"/>
  </r>
  <r>
    <s v="80580"/>
    <x v="157"/>
    <x v="8"/>
    <x v="2"/>
    <n v="0"/>
    <n v="516.07999999999993"/>
    <n v="0"/>
  </r>
  <r>
    <s v="80590"/>
    <x v="158"/>
    <x v="8"/>
    <x v="0"/>
    <n v="0"/>
    <n v="516.08000000000004"/>
    <n v="516.08000000000004"/>
  </r>
  <r>
    <s v="80590"/>
    <x v="158"/>
    <x v="8"/>
    <x v="1"/>
    <n v="0"/>
    <n v="516.08000000000004"/>
    <n v="516.08000000000004"/>
  </r>
  <r>
    <s v="80590"/>
    <x v="158"/>
    <x v="8"/>
    <x v="2"/>
    <n v="0"/>
    <n v="516.07999999999993"/>
    <n v="516.07999999999993"/>
  </r>
  <r>
    <s v="80610"/>
    <x v="150"/>
    <x v="9"/>
    <x v="0"/>
    <n v="0"/>
    <n v="23.91"/>
    <n v="23.91"/>
  </r>
  <r>
    <s v="80620"/>
    <x v="159"/>
    <x v="8"/>
    <x v="0"/>
    <n v="0"/>
    <n v="466.08"/>
    <n v="466.08"/>
  </r>
  <r>
    <s v="80620"/>
    <x v="159"/>
    <x v="8"/>
    <x v="1"/>
    <n v="0"/>
    <n v="465.44"/>
    <n v="465.44"/>
  </r>
  <r>
    <s v="80630"/>
    <x v="160"/>
    <x v="0"/>
    <x v="0"/>
    <n v="0"/>
    <n v="16.079999999999998"/>
    <n v="16.079999999999998"/>
  </r>
  <r>
    <s v="80630"/>
    <x v="160"/>
    <x v="0"/>
    <x v="1"/>
    <n v="0"/>
    <n v="10.940000000000001"/>
    <n v="10.940000000000001"/>
  </r>
  <r>
    <s v="80640"/>
    <x v="161"/>
    <x v="8"/>
    <x v="0"/>
    <n v="0"/>
    <n v="466.08"/>
    <n v="466.08"/>
  </r>
  <r>
    <s v="80640"/>
    <x v="161"/>
    <x v="8"/>
    <x v="1"/>
    <n v="0"/>
    <n v="466.08"/>
    <n v="466.08"/>
  </r>
  <r>
    <s v="80640"/>
    <x v="161"/>
    <x v="8"/>
    <x v="2"/>
    <n v="0"/>
    <n v="466.08000000000004"/>
    <n v="466.08000000000004"/>
  </r>
  <r>
    <s v="80640"/>
    <x v="161"/>
    <x v="8"/>
    <x v="3"/>
    <n v="0"/>
    <n v="516.07999999999993"/>
    <n v="516.07999999999993"/>
  </r>
  <r>
    <s v="80640"/>
    <x v="161"/>
    <x v="8"/>
    <x v="4"/>
    <n v="0"/>
    <n v="516.08000000000015"/>
    <n v="516.08000000000015"/>
  </r>
  <r>
    <s v="80640"/>
    <x v="161"/>
    <x v="8"/>
    <x v="5"/>
    <n v="152"/>
    <n v="516.07999999999993"/>
    <n v="500"/>
  </r>
  <r>
    <s v="80650"/>
    <x v="162"/>
    <x v="8"/>
    <x v="0"/>
    <n v="0"/>
    <n v="466.08"/>
    <n v="466.08"/>
  </r>
  <r>
    <s v="80650"/>
    <x v="162"/>
    <x v="8"/>
    <x v="1"/>
    <n v="0"/>
    <n v="466.08"/>
    <n v="466.08"/>
  </r>
  <r>
    <s v="80650"/>
    <x v="162"/>
    <x v="8"/>
    <x v="2"/>
    <n v="0"/>
    <n v="466.08000000000004"/>
    <n v="466.08000000000004"/>
  </r>
  <r>
    <s v="80650"/>
    <x v="162"/>
    <x v="8"/>
    <x v="3"/>
    <n v="0"/>
    <n v="516.07999999999993"/>
    <n v="516.07999999999993"/>
  </r>
  <r>
    <s v="80650"/>
    <x v="162"/>
    <x v="8"/>
    <x v="4"/>
    <n v="0"/>
    <n v="516.08000000000015"/>
    <n v="516.08000000000015"/>
  </r>
  <r>
    <s v="80650"/>
    <x v="162"/>
    <x v="8"/>
    <x v="5"/>
    <n v="152"/>
    <n v="516.07999999999993"/>
    <n v="500"/>
  </r>
  <r>
    <s v="80660"/>
    <x v="163"/>
    <x v="2"/>
    <x v="0"/>
    <n v="0"/>
    <n v="16.079999999999998"/>
    <n v="16.079999999999998"/>
  </r>
  <r>
    <s v="80660"/>
    <x v="163"/>
    <x v="2"/>
    <x v="1"/>
    <n v="0"/>
    <n v="16.079999999999998"/>
    <n v="16.079999999999998"/>
  </r>
  <r>
    <s v="80660"/>
    <x v="163"/>
    <x v="2"/>
    <x v="2"/>
    <n v="0"/>
    <n v="15.440000000000005"/>
    <n v="15.440000000000005"/>
  </r>
  <r>
    <s v="80670"/>
    <x v="164"/>
    <x v="2"/>
    <x v="0"/>
    <n v="0"/>
    <n v="7.08"/>
    <n v="7.08"/>
  </r>
  <r>
    <s v="80670"/>
    <x v="164"/>
    <x v="2"/>
    <x v="1"/>
    <n v="0"/>
    <n v="16.079999999999998"/>
    <n v="16.079999999999998"/>
  </r>
  <r>
    <s v="80670"/>
    <x v="164"/>
    <x v="2"/>
    <x v="2"/>
    <n v="0"/>
    <n v="10.940000000000005"/>
    <n v="10.940000000000005"/>
  </r>
  <r>
    <s v="80680"/>
    <x v="165"/>
    <x v="8"/>
    <x v="0"/>
    <n v="0"/>
    <n v="62.58"/>
    <n v="62.58"/>
  </r>
  <r>
    <s v="80680"/>
    <x v="165"/>
    <x v="8"/>
    <x v="1"/>
    <n v="0"/>
    <n v="186.43"/>
    <n v="186.43"/>
  </r>
  <r>
    <s v="80690"/>
    <x v="166"/>
    <x v="5"/>
    <x v="0"/>
    <n v="0"/>
    <n v="289.39999999999998"/>
    <n v="289.39999999999998"/>
  </r>
  <r>
    <s v="80690"/>
    <x v="166"/>
    <x v="5"/>
    <x v="1"/>
    <n v="0"/>
    <n v="456.47"/>
    <n v="456.47"/>
  </r>
  <r>
    <s v="80690"/>
    <x v="166"/>
    <x v="5"/>
    <x v="2"/>
    <n v="0"/>
    <n v="456.46999999999991"/>
    <n v="456.46999999999991"/>
  </r>
  <r>
    <s v="80690"/>
    <x v="166"/>
    <x v="5"/>
    <x v="3"/>
    <n v="0"/>
    <n v="213.11000000000013"/>
    <n v="213.11000000000013"/>
  </r>
  <r>
    <s v="100000"/>
    <x v="11"/>
    <x v="5"/>
    <x v="0"/>
    <n v="0"/>
    <n v="1450"/>
    <n v="1450"/>
  </r>
  <r>
    <s v="100000"/>
    <x v="11"/>
    <x v="5"/>
    <x v="1"/>
    <n v="0"/>
    <n v="1450"/>
    <n v="1450"/>
  </r>
  <r>
    <s v="100000"/>
    <x v="11"/>
    <x v="5"/>
    <x v="2"/>
    <n v="0"/>
    <n v="1450"/>
    <n v="1450"/>
  </r>
  <r>
    <s v="100000"/>
    <x v="11"/>
    <x v="5"/>
    <x v="3"/>
    <n v="0"/>
    <n v="1450"/>
    <n v="1450"/>
  </r>
  <r>
    <s v="100000"/>
    <x v="11"/>
    <x v="5"/>
    <x v="4"/>
    <n v="0"/>
    <n v="1450"/>
    <n v="1450"/>
  </r>
  <r>
    <s v="100000"/>
    <x v="11"/>
    <x v="5"/>
    <x v="5"/>
    <n v="0"/>
    <n v="1450"/>
    <n v="1666"/>
  </r>
  <r>
    <s v="5930"/>
    <x v="167"/>
    <x v="8"/>
    <x v="1"/>
    <n v="105.25"/>
    <n v="1363.4"/>
    <n v="1363.4"/>
  </r>
  <r>
    <s v="5930"/>
    <x v="167"/>
    <x v="8"/>
    <x v="2"/>
    <n v="82"/>
    <n v="1057.8899999999999"/>
    <n v="1057.8899999999999"/>
  </r>
  <r>
    <s v="5930"/>
    <x v="167"/>
    <x v="8"/>
    <x v="4"/>
    <n v="0"/>
    <n v="4.5474735088646412E-13"/>
    <n v="4.5474735088646412E-13"/>
  </r>
  <r>
    <s v="5950"/>
    <x v="168"/>
    <x v="4"/>
    <x v="1"/>
    <n v="90"/>
    <n v="1379.55"/>
    <n v="1379.55"/>
  </r>
  <r>
    <s v="5950"/>
    <x v="168"/>
    <x v="4"/>
    <x v="2"/>
    <n v="112"/>
    <n v="1559.6499999999999"/>
    <n v="1559.6499999999999"/>
  </r>
  <r>
    <s v="5950"/>
    <x v="168"/>
    <x v="4"/>
    <x v="3"/>
    <n v="96.5"/>
    <n v="1772.9800000000005"/>
    <n v="1772.9800000000005"/>
  </r>
  <r>
    <s v="5950"/>
    <x v="168"/>
    <x v="4"/>
    <x v="4"/>
    <n v="113.5"/>
    <n v="1708.3999999999996"/>
    <n v="1708.3999999999996"/>
  </r>
  <r>
    <s v="5950"/>
    <x v="168"/>
    <x v="4"/>
    <x v="5"/>
    <n v="108.5"/>
    <n v="1726.71"/>
    <n v="1605.145"/>
  </r>
  <r>
    <s v="5960"/>
    <x v="154"/>
    <x v="8"/>
    <x v="1"/>
    <n v="120"/>
    <n v="1482.66"/>
    <n v="1482.66"/>
  </r>
  <r>
    <s v="5960"/>
    <x v="154"/>
    <x v="8"/>
    <x v="2"/>
    <n v="117.75"/>
    <n v="1407.1899999999998"/>
    <n v="1407.1899999999998"/>
  </r>
  <r>
    <s v="5960"/>
    <x v="154"/>
    <x v="8"/>
    <x v="3"/>
    <n v="135"/>
    <n v="1609.2200000000007"/>
    <n v="1609.2200000000007"/>
  </r>
  <r>
    <s v="5960"/>
    <x v="154"/>
    <x v="8"/>
    <x v="4"/>
    <n v="144.25"/>
    <n v="1627.8499999999995"/>
    <n v="1627.8499999999995"/>
  </r>
  <r>
    <s v="5960"/>
    <x v="154"/>
    <x v="8"/>
    <x v="5"/>
    <n v="131.75"/>
    <n v="1580.239999999998"/>
    <n v="1338.6000000000001"/>
  </r>
  <r>
    <s v="5970"/>
    <x v="169"/>
    <x v="5"/>
    <x v="1"/>
    <n v="31"/>
    <n v="2850.92"/>
    <n v="2850.92"/>
  </r>
  <r>
    <s v="5970"/>
    <x v="169"/>
    <x v="5"/>
    <x v="2"/>
    <n v="43"/>
    <n v="2730.5299999999997"/>
    <n v="2730.5299999999997"/>
  </r>
  <r>
    <s v="5970"/>
    <x v="169"/>
    <x v="5"/>
    <x v="3"/>
    <n v="39"/>
    <n v="3136.3400000000011"/>
    <n v="3136.3400000000011"/>
  </r>
  <r>
    <s v="5970"/>
    <x v="169"/>
    <x v="5"/>
    <x v="4"/>
    <n v="51"/>
    <n v="2959.5300000000025"/>
    <n v="2959.5300000000025"/>
  </r>
  <r>
    <s v="5970"/>
    <x v="169"/>
    <x v="5"/>
    <x v="5"/>
    <n v="48"/>
    <n v="2945.5699999999961"/>
    <n v="2919.3300000000008"/>
  </r>
  <r>
    <s v="5980"/>
    <x v="170"/>
    <x v="4"/>
    <x v="1"/>
    <n v="76"/>
    <n v="1208.42"/>
    <n v="1208.42"/>
  </r>
  <r>
    <s v="5980"/>
    <x v="170"/>
    <x v="4"/>
    <x v="2"/>
    <n v="159.5"/>
    <n v="3401.29"/>
    <n v="3401.29"/>
  </r>
  <r>
    <s v="5980"/>
    <x v="170"/>
    <x v="4"/>
    <x v="3"/>
    <n v="129.25"/>
    <n v="2975.2699999999995"/>
    <n v="2975.2699999999995"/>
  </r>
  <r>
    <s v="5980"/>
    <x v="170"/>
    <x v="4"/>
    <x v="4"/>
    <n v="113"/>
    <n v="2857.7199999999993"/>
    <n v="2857.7199999999993"/>
  </r>
  <r>
    <s v="5980"/>
    <x v="170"/>
    <x v="4"/>
    <x v="5"/>
    <n v="135.75"/>
    <n v="3036.630000000001"/>
    <n v="2610.6749999999997"/>
  </r>
  <r>
    <s v="5990"/>
    <x v="171"/>
    <x v="4"/>
    <x v="1"/>
    <n v="30"/>
    <n v="355.66"/>
    <n v="355.66"/>
  </r>
  <r>
    <s v="5990"/>
    <x v="171"/>
    <x v="4"/>
    <x v="2"/>
    <n v="78.5"/>
    <n v="1282.6599999999999"/>
    <n v="1282.6599999999999"/>
  </r>
  <r>
    <s v="6000"/>
    <x v="172"/>
    <x v="0"/>
    <x v="1"/>
    <n v="38.5"/>
    <n v="317.36"/>
    <n v="317.36"/>
  </r>
  <r>
    <s v="6000"/>
    <x v="172"/>
    <x v="0"/>
    <x v="2"/>
    <n v="102"/>
    <n v="1272.3499999999999"/>
    <n v="1272.3499999999999"/>
  </r>
  <r>
    <s v="6000"/>
    <x v="172"/>
    <x v="0"/>
    <x v="3"/>
    <n v="103"/>
    <n v="1382.75"/>
    <n v="1382.75"/>
  </r>
  <r>
    <s v="6000"/>
    <x v="172"/>
    <x v="0"/>
    <x v="4"/>
    <n v="99"/>
    <n v="1197.6000000000004"/>
    <n v="1197.6000000000004"/>
  </r>
  <r>
    <s v="6000"/>
    <x v="172"/>
    <x v="0"/>
    <x v="5"/>
    <n v="99"/>
    <n v="1159.3599999999997"/>
    <n v="1197.6000000000004"/>
  </r>
  <r>
    <s v="6010"/>
    <x v="160"/>
    <x v="0"/>
    <x v="1"/>
    <n v="33"/>
    <n v="272.04000000000002"/>
    <n v="272.04000000000002"/>
  </r>
  <r>
    <s v="6010"/>
    <x v="160"/>
    <x v="0"/>
    <x v="2"/>
    <n v="112.75"/>
    <n v="1228.8500000000001"/>
    <n v="1228.8500000000001"/>
  </r>
  <r>
    <s v="6010"/>
    <x v="160"/>
    <x v="0"/>
    <x v="3"/>
    <n v="76"/>
    <n v="1315.95"/>
    <n v="1315.95"/>
  </r>
  <r>
    <s v="6010"/>
    <x v="160"/>
    <x v="0"/>
    <x v="4"/>
    <n v="83"/>
    <n v="1147.0300000000007"/>
    <n v="1147.0300000000007"/>
  </r>
  <r>
    <s v="6010"/>
    <x v="160"/>
    <x v="0"/>
    <x v="5"/>
    <n v="86.25"/>
    <n v="1214.0299999999988"/>
    <n v="1147.0300000000007"/>
  </r>
  <r>
    <s v="6020"/>
    <x v="156"/>
    <x v="4"/>
    <x v="2"/>
    <n v="165.25"/>
    <n v="2044.67"/>
    <n v="2044.67"/>
  </r>
  <r>
    <s v="6020"/>
    <x v="156"/>
    <x v="4"/>
    <x v="3"/>
    <n v="144"/>
    <n v="2025.33"/>
    <n v="2025.33"/>
  </r>
  <r>
    <s v="6020"/>
    <x v="156"/>
    <x v="4"/>
    <x v="4"/>
    <n v="173.25"/>
    <n v="2358.37"/>
    <n v="2358.37"/>
  </r>
  <r>
    <s v="6020"/>
    <x v="156"/>
    <x v="4"/>
    <x v="5"/>
    <n v="161"/>
    <n v="2197.5099999999993"/>
    <n v="2142.79"/>
  </r>
  <r>
    <s v="6030"/>
    <x v="173"/>
    <x v="12"/>
    <x v="2"/>
    <n v="121.75"/>
    <n v="3408.99"/>
    <n v="3408.99"/>
  </r>
  <r>
    <s v="6030"/>
    <x v="173"/>
    <x v="12"/>
    <x v="3"/>
    <n v="143.75"/>
    <n v="4367.16"/>
    <n v="4367.16"/>
  </r>
  <r>
    <s v="6030"/>
    <x v="173"/>
    <x v="12"/>
    <x v="4"/>
    <n v="151.25"/>
    <n v="4225.1700000000019"/>
    <n v="4225.1700000000019"/>
  </r>
  <r>
    <s v="6030"/>
    <x v="173"/>
    <x v="12"/>
    <x v="5"/>
    <n v="129"/>
    <n v="4327.9799999999977"/>
    <n v="4000.4400000000005"/>
  </r>
  <r>
    <s v="6040"/>
    <x v="155"/>
    <x v="10"/>
    <x v="2"/>
    <n v="122"/>
    <n v="1633.9"/>
    <n v="1633.9"/>
  </r>
  <r>
    <s v="6040"/>
    <x v="155"/>
    <x v="10"/>
    <x v="3"/>
    <n v="141"/>
    <n v="2017.0100000000002"/>
    <n v="2017.0100000000002"/>
  </r>
  <r>
    <s v="6040"/>
    <x v="155"/>
    <x v="10"/>
    <x v="4"/>
    <n v="127"/>
    <n v="1780.8099999999981"/>
    <n v="1780.8099999999981"/>
  </r>
  <r>
    <s v="6040"/>
    <x v="155"/>
    <x v="10"/>
    <x v="5"/>
    <n v="135"/>
    <n v="2040.7200000000012"/>
    <n v="1810.5733333333328"/>
  </r>
  <r>
    <s v="6050"/>
    <x v="174"/>
    <x v="0"/>
    <x v="2"/>
    <n v="99"/>
    <n v="1662.92"/>
    <n v="1662.92"/>
  </r>
  <r>
    <s v="6050"/>
    <x v="174"/>
    <x v="0"/>
    <x v="3"/>
    <n v="151.5"/>
    <n v="2484.4300000000003"/>
    <n v="2484.4300000000003"/>
  </r>
  <r>
    <s v="6050"/>
    <x v="174"/>
    <x v="0"/>
    <x v="4"/>
    <n v="157"/>
    <n v="2444.5200000000004"/>
    <n v="2444.5200000000004"/>
  </r>
  <r>
    <s v="6050"/>
    <x v="174"/>
    <x v="0"/>
    <x v="5"/>
    <n v="142"/>
    <n v="2212.0499999999993"/>
    <n v="2444.5200000000004"/>
  </r>
  <r>
    <s v="6060"/>
    <x v="175"/>
    <x v="0"/>
    <x v="2"/>
    <n v="84"/>
    <n v="1101.54"/>
    <n v="1101.54"/>
  </r>
  <r>
    <s v="6060"/>
    <x v="175"/>
    <x v="0"/>
    <x v="3"/>
    <n v="140.5"/>
    <n v="2388.41"/>
    <n v="2388.41"/>
  </r>
  <r>
    <s v="6060"/>
    <x v="175"/>
    <x v="0"/>
    <x v="4"/>
    <n v="153"/>
    <n v="2390.2200000000003"/>
    <n v="2390.2200000000003"/>
  </r>
  <r>
    <s v="6060"/>
    <x v="175"/>
    <x v="0"/>
    <x v="5"/>
    <n v="152"/>
    <n v="2226.0099999999993"/>
    <n v="2390.2200000000003"/>
  </r>
  <r>
    <s v="6070"/>
    <x v="176"/>
    <x v="0"/>
    <x v="2"/>
    <n v="42"/>
    <n v="386.23"/>
    <n v="386.23"/>
  </r>
  <r>
    <s v="6070"/>
    <x v="176"/>
    <x v="0"/>
    <x v="3"/>
    <n v="75.5"/>
    <n v="1674.0700000000002"/>
    <n v="1674.0700000000002"/>
  </r>
  <r>
    <s v="6070"/>
    <x v="176"/>
    <x v="0"/>
    <x v="4"/>
    <n v="138.5"/>
    <n v="1743.9900000000002"/>
    <n v="1743.9900000000002"/>
  </r>
  <r>
    <s v="6070"/>
    <x v="176"/>
    <x v="0"/>
    <x v="5"/>
    <n v="140.5"/>
    <n v="1636.8700000000003"/>
    <n v="1743.9900000000002"/>
  </r>
  <r>
    <s v="6080"/>
    <x v="177"/>
    <x v="2"/>
    <x v="2"/>
    <n v="31.5"/>
    <n v="256.95000000000005"/>
    <n v="256.95000000000005"/>
  </r>
  <r>
    <s v="6080"/>
    <x v="177"/>
    <x v="2"/>
    <x v="3"/>
    <n v="116.25"/>
    <n v="1625.43"/>
    <n v="1625.43"/>
  </r>
  <r>
    <s v="6080"/>
    <x v="177"/>
    <x v="2"/>
    <x v="4"/>
    <n v="144.5"/>
    <n v="1724.56"/>
    <n v="1724.56"/>
  </r>
  <r>
    <s v="6080"/>
    <x v="177"/>
    <x v="2"/>
    <x v="5"/>
    <n v="129.5"/>
    <n v="1559.23"/>
    <n v="1724.56"/>
  </r>
  <r>
    <s v="6090"/>
    <x v="178"/>
    <x v="0"/>
    <x v="2"/>
    <n v="25.5"/>
    <n v="210.20999999999998"/>
    <n v="210.20999999999998"/>
  </r>
  <r>
    <s v="6090"/>
    <x v="178"/>
    <x v="0"/>
    <x v="3"/>
    <n v="84"/>
    <n v="993.75"/>
    <n v="993.75"/>
  </r>
  <r>
    <s v="6090"/>
    <x v="178"/>
    <x v="0"/>
    <x v="4"/>
    <n v="78"/>
    <n v="907.00999999999976"/>
    <n v="907.00999999999976"/>
  </r>
  <r>
    <s v="6090"/>
    <x v="178"/>
    <x v="0"/>
    <x v="5"/>
    <n v="78"/>
    <n v="908.08000000000038"/>
    <n v="907.00999999999976"/>
  </r>
  <r>
    <s v="6100"/>
    <x v="179"/>
    <x v="0"/>
    <x v="2"/>
    <n v="26"/>
    <n v="214.33"/>
    <n v="214.33"/>
  </r>
  <r>
    <s v="6100"/>
    <x v="179"/>
    <x v="0"/>
    <x v="3"/>
    <n v="125.75"/>
    <n v="1576.48"/>
    <n v="1576.48"/>
  </r>
  <r>
    <s v="6100"/>
    <x v="179"/>
    <x v="0"/>
    <x v="4"/>
    <n v="152"/>
    <n v="1731.67"/>
    <n v="1731.67"/>
  </r>
  <r>
    <s v="6100"/>
    <x v="179"/>
    <x v="0"/>
    <x v="5"/>
    <n v="150.5"/>
    <n v="1723.3300000000004"/>
    <n v="1731.67"/>
  </r>
  <r>
    <s v="6110"/>
    <x v="164"/>
    <x v="2"/>
    <x v="2"/>
    <n v="30"/>
    <n v="244.72"/>
    <n v="244.72"/>
  </r>
  <r>
    <s v="6110"/>
    <x v="164"/>
    <x v="2"/>
    <x v="3"/>
    <n v="86.25"/>
    <n v="1259.94"/>
    <n v="1259.94"/>
  </r>
  <r>
    <s v="6110"/>
    <x v="164"/>
    <x v="2"/>
    <x v="4"/>
    <n v="114"/>
    <n v="1306.8500000000001"/>
    <n v="1306.8500000000001"/>
  </r>
  <r>
    <s v="6110"/>
    <x v="164"/>
    <x v="2"/>
    <x v="5"/>
    <n v="114"/>
    <n v="1352.1800000000003"/>
    <n v="1306.8500000000001"/>
  </r>
  <r>
    <s v="80710"/>
    <x v="180"/>
    <x v="7"/>
    <x v="2"/>
    <n v="0"/>
    <n v="106.82"/>
    <n v="106.82"/>
  </r>
  <r>
    <s v="80710"/>
    <x v="180"/>
    <x v="7"/>
    <x v="3"/>
    <n v="0"/>
    <n v="456.46999999999997"/>
    <n v="456.46999999999997"/>
  </r>
  <r>
    <s v="80710"/>
    <x v="180"/>
    <x v="7"/>
    <x v="4"/>
    <n v="0"/>
    <n v="456.47"/>
    <n v="456.47"/>
  </r>
  <r>
    <s v="80710"/>
    <x v="180"/>
    <x v="7"/>
    <x v="5"/>
    <n v="0"/>
    <n v="456.47"/>
    <n v="500"/>
  </r>
  <r>
    <s v="6120"/>
    <x v="181"/>
    <x v="7"/>
    <x v="3"/>
    <n v="114.5"/>
    <n v="2357.5099999999998"/>
    <n v="2357.5099999999998"/>
  </r>
  <r>
    <s v="6120"/>
    <x v="181"/>
    <x v="7"/>
    <x v="4"/>
    <n v="138"/>
    <n v="4573.630000000001"/>
    <n v="4573.630000000001"/>
  </r>
  <r>
    <s v="6120"/>
    <x v="181"/>
    <x v="7"/>
    <x v="5"/>
    <n v="151.75"/>
    <n v="2809.9399999999987"/>
    <n v="3228.9999999999995"/>
  </r>
  <r>
    <s v="6130"/>
    <x v="157"/>
    <x v="8"/>
    <x v="3"/>
    <n v="69.5"/>
    <n v="1029.93"/>
    <n v="1029.93"/>
  </r>
  <r>
    <s v="6130"/>
    <x v="157"/>
    <x v="8"/>
    <x v="5"/>
    <n v="0"/>
    <n v="0.49000000000000909"/>
    <n v="0"/>
  </r>
  <r>
    <s v="6140"/>
    <x v="158"/>
    <x v="8"/>
    <x v="3"/>
    <n v="131.5"/>
    <n v="1580.22"/>
    <n v="1580.22"/>
  </r>
  <r>
    <s v="6140"/>
    <x v="158"/>
    <x v="8"/>
    <x v="4"/>
    <n v="137"/>
    <n v="1567.7900000000002"/>
    <n v="1567.7900000000002"/>
  </r>
  <r>
    <s v="6140"/>
    <x v="158"/>
    <x v="8"/>
    <x v="5"/>
    <n v="130.25"/>
    <n v="1567.54"/>
    <n v="1567.7900000000002"/>
  </r>
  <r>
    <s v="80700"/>
    <x v="182"/>
    <x v="2"/>
    <x v="3"/>
    <n v="0"/>
    <n v="15.44"/>
    <n v="15.44"/>
  </r>
  <r>
    <s v="80700"/>
    <x v="182"/>
    <x v="2"/>
    <x v="4"/>
    <n v="0"/>
    <n v="16.079999999999998"/>
    <n v="0"/>
  </r>
  <r>
    <s v="80700"/>
    <x v="182"/>
    <x v="2"/>
    <x v="5"/>
    <n v="0"/>
    <n v="16.080000000000005"/>
    <n v="0"/>
  </r>
  <r>
    <s v="80720"/>
    <x v="183"/>
    <x v="8"/>
    <x v="3"/>
    <n v="0"/>
    <n v="1012.87"/>
    <n v="1012.87"/>
  </r>
  <r>
    <s v="80720"/>
    <x v="183"/>
    <x v="8"/>
    <x v="4"/>
    <n v="0"/>
    <n v="516.08000000000004"/>
    <n v="516.08000000000004"/>
  </r>
  <r>
    <s v="80720"/>
    <x v="183"/>
    <x v="8"/>
    <x v="5"/>
    <n v="0"/>
    <n v="516.07999999999993"/>
    <n v="500"/>
  </r>
  <r>
    <s v="80730"/>
    <x v="184"/>
    <x v="8"/>
    <x v="3"/>
    <n v="0"/>
    <n v="124.5"/>
    <n v="124.5"/>
  </r>
  <r>
    <s v="80730"/>
    <x v="184"/>
    <x v="8"/>
    <x v="4"/>
    <n v="0"/>
    <n v="466.08000000000004"/>
    <n v="466.08000000000004"/>
  </r>
  <r>
    <s v="80730"/>
    <x v="184"/>
    <x v="8"/>
    <x v="5"/>
    <n v="0"/>
    <n v="466.08000000000004"/>
    <n v="500"/>
  </r>
  <r>
    <s v="80740"/>
    <x v="185"/>
    <x v="8"/>
    <x v="3"/>
    <n v="0"/>
    <n v="124.5"/>
    <n v="124.5"/>
  </r>
  <r>
    <s v="80740"/>
    <x v="185"/>
    <x v="8"/>
    <x v="4"/>
    <n v="0"/>
    <n v="466.08000000000004"/>
    <n v="466.08000000000004"/>
  </r>
  <r>
    <s v="80740"/>
    <x v="185"/>
    <x v="8"/>
    <x v="5"/>
    <n v="0"/>
    <n v="466.08000000000004"/>
    <n v="500"/>
  </r>
  <r>
    <s v="80750"/>
    <x v="186"/>
    <x v="8"/>
    <x v="3"/>
    <n v="0"/>
    <n v="687.87"/>
    <n v="687.87"/>
  </r>
  <r>
    <s v="80750"/>
    <x v="186"/>
    <x v="8"/>
    <x v="4"/>
    <n v="0"/>
    <n v="466.08000000000004"/>
    <n v="466.08000000000004"/>
  </r>
  <r>
    <s v="80750"/>
    <x v="186"/>
    <x v="8"/>
    <x v="5"/>
    <n v="0"/>
    <n v="466.07999999999993"/>
    <n v="500"/>
  </r>
  <r>
    <s v="80760"/>
    <x v="187"/>
    <x v="8"/>
    <x v="3"/>
    <n v="0"/>
    <n v="373.5"/>
    <n v="373.5"/>
  </r>
  <r>
    <s v="80760"/>
    <x v="187"/>
    <x v="8"/>
    <x v="4"/>
    <n v="0"/>
    <n v="466.08000000000004"/>
    <n v="466.08000000000004"/>
  </r>
  <r>
    <s v="80760"/>
    <x v="187"/>
    <x v="8"/>
    <x v="5"/>
    <n v="0"/>
    <n v="466.08000000000004"/>
    <n v="500"/>
  </r>
  <r>
    <s v="80770"/>
    <x v="188"/>
    <x v="8"/>
    <x v="3"/>
    <n v="0"/>
    <n v="327.22000000000003"/>
    <n v="327.22000000000003"/>
  </r>
  <r>
    <s v="80770"/>
    <x v="188"/>
    <x v="8"/>
    <x v="4"/>
    <n v="0"/>
    <n v="466.07999999999993"/>
    <n v="466.07999999999993"/>
  </r>
  <r>
    <s v="80770"/>
    <x v="188"/>
    <x v="8"/>
    <x v="5"/>
    <n v="0"/>
    <n v="466.08000000000015"/>
    <n v="500"/>
  </r>
  <r>
    <s v="240"/>
    <x v="1"/>
    <x v="12"/>
    <x v="4"/>
    <n v="161.75"/>
    <n v="6880.3"/>
    <n v="628.33000000000084"/>
  </r>
  <r>
    <s v="240"/>
    <x v="1"/>
    <x v="12"/>
    <x v="5"/>
    <n v="0"/>
    <n v="434.8199999999988"/>
    <n v="0"/>
  </r>
  <r>
    <s v="380"/>
    <x v="13"/>
    <x v="7"/>
    <x v="4"/>
    <n v="660.75"/>
    <n v="17426.440000000002"/>
    <n v="3324.3299999999981"/>
  </r>
  <r>
    <s v="380"/>
    <x v="13"/>
    <x v="7"/>
    <x v="5"/>
    <n v="99.75"/>
    <n v="2839.6799999999894"/>
    <n v="3485.2880000000005"/>
  </r>
  <r>
    <s v="1360"/>
    <x v="37"/>
    <x v="2"/>
    <x v="4"/>
    <n v="341.75"/>
    <n v="4962.0200000000004"/>
    <n v="1081"/>
  </r>
  <r>
    <s v="1360"/>
    <x v="37"/>
    <x v="2"/>
    <x v="5"/>
    <n v="80"/>
    <n v="1108.8899999999994"/>
    <n v="1081"/>
  </r>
  <r>
    <s v="3480"/>
    <x v="64"/>
    <x v="0"/>
    <x v="4"/>
    <n v="613.5"/>
    <n v="10651.640000000001"/>
    <n v="2188.1200000000008"/>
  </r>
  <r>
    <s v="3480"/>
    <x v="64"/>
    <x v="0"/>
    <x v="5"/>
    <n v="114"/>
    <n v="2137.1399999999994"/>
    <n v="2188.1200000000008"/>
  </r>
  <r>
    <s v="4370"/>
    <x v="82"/>
    <x v="0"/>
    <x v="4"/>
    <n v="529.75"/>
    <n v="10440.85"/>
    <n v="0"/>
  </r>
  <r>
    <s v="4370"/>
    <x v="82"/>
    <x v="0"/>
    <x v="5"/>
    <n v="129"/>
    <n v="2271.9699999999975"/>
    <n v="0"/>
  </r>
  <r>
    <s v="5110"/>
    <x v="99"/>
    <x v="7"/>
    <x v="4"/>
    <n v="601.25"/>
    <n v="17894.71"/>
    <n v="3885.5399999999991"/>
  </r>
  <r>
    <s v="5110"/>
    <x v="99"/>
    <x v="7"/>
    <x v="5"/>
    <n v="91.5"/>
    <n v="3166.8899999999994"/>
    <n v="3578.942"/>
  </r>
  <r>
    <s v="5251"/>
    <x v="101"/>
    <x v="0"/>
    <x v="4"/>
    <n v="101.75"/>
    <n v="1644.61"/>
    <n v="1644.61"/>
  </r>
  <r>
    <s v="5251"/>
    <x v="101"/>
    <x v="0"/>
    <x v="5"/>
    <n v="-101.75"/>
    <n v="-1644.61"/>
    <n v="1644.61"/>
  </r>
  <r>
    <s v="5290"/>
    <x v="102"/>
    <x v="2"/>
    <x v="4"/>
    <n v="475.25"/>
    <n v="6525.3000000000011"/>
    <n v="1235.9600000000009"/>
  </r>
  <r>
    <s v="5290"/>
    <x v="102"/>
    <x v="2"/>
    <x v="5"/>
    <n v="70.25"/>
    <n v="1187.9400000000005"/>
    <n v="1235.9600000000009"/>
  </r>
  <r>
    <s v="5620"/>
    <x v="125"/>
    <x v="10"/>
    <x v="4"/>
    <n v="693"/>
    <n v="9848.5199999999986"/>
    <n v="1825.5399999999991"/>
  </r>
  <r>
    <s v="5620"/>
    <x v="125"/>
    <x v="10"/>
    <x v="5"/>
    <n v="149.75"/>
    <n v="2111.2500000000018"/>
    <n v="1969.7039999999997"/>
  </r>
  <r>
    <s v="6150"/>
    <x v="104"/>
    <x v="8"/>
    <x v="4"/>
    <n v="91"/>
    <n v="1115.03"/>
    <n v="1115.03"/>
  </r>
  <r>
    <s v="6150"/>
    <x v="104"/>
    <x v="8"/>
    <x v="5"/>
    <n v="152"/>
    <n v="1648.7500000000007"/>
    <n v="1115.03"/>
  </r>
  <r>
    <s v="80780"/>
    <x v="189"/>
    <x v="8"/>
    <x v="4"/>
    <n v="0"/>
    <n v="296.58"/>
    <n v="296.58"/>
  </r>
  <r>
    <s v="80780"/>
    <x v="189"/>
    <x v="8"/>
    <x v="5"/>
    <n v="0"/>
    <n v="466.08"/>
    <n v="500"/>
  </r>
  <r>
    <s v="80790"/>
    <x v="190"/>
    <x v="8"/>
    <x v="5"/>
    <n v="0"/>
    <n v="466.08"/>
    <n v="0"/>
  </r>
  <r>
    <s v="80800"/>
    <x v="191"/>
    <x v="8"/>
    <x v="5"/>
    <n v="0"/>
    <n v="566.08000000000004"/>
    <n v="0"/>
  </r>
  <r>
    <s v="5830"/>
    <x v="143"/>
    <x v="9"/>
    <x v="6"/>
    <n v="0"/>
    <n v="0"/>
    <n v="1837.3920000000003"/>
  </r>
  <r>
    <s v="5830"/>
    <x v="143"/>
    <x v="9"/>
    <x v="7"/>
    <n v="0"/>
    <n v="0"/>
    <n v="1837.3920000000003"/>
  </r>
  <r>
    <s v="5830"/>
    <x v="143"/>
    <x v="9"/>
    <x v="8"/>
    <n v="0"/>
    <n v="0"/>
    <n v="1837.3920000000003"/>
  </r>
  <r>
    <s v="5830"/>
    <x v="143"/>
    <x v="9"/>
    <x v="9"/>
    <n v="0"/>
    <n v="0"/>
    <n v="1837.3920000000003"/>
  </r>
  <r>
    <s v="5830"/>
    <x v="143"/>
    <x v="9"/>
    <x v="10"/>
    <n v="0"/>
    <n v="0"/>
    <n v="1837.3920000000003"/>
  </r>
  <r>
    <s v="5830"/>
    <x v="143"/>
    <x v="9"/>
    <x v="11"/>
    <n v="0"/>
    <n v="0"/>
    <n v="1837.3920000000003"/>
  </r>
  <r>
    <s v="2960"/>
    <x v="58"/>
    <x v="9"/>
    <x v="6"/>
    <n v="0"/>
    <n v="0"/>
    <n v="2320.7959999999998"/>
  </r>
  <r>
    <s v="2960"/>
    <x v="58"/>
    <x v="9"/>
    <x v="7"/>
    <n v="0"/>
    <n v="0"/>
    <n v="2320.7959999999998"/>
  </r>
  <r>
    <s v="2960"/>
    <x v="58"/>
    <x v="9"/>
    <x v="8"/>
    <n v="0"/>
    <n v="0"/>
    <n v="2320.7959999999998"/>
  </r>
  <r>
    <s v="2960"/>
    <x v="58"/>
    <x v="9"/>
    <x v="9"/>
    <n v="0"/>
    <n v="0"/>
    <n v="2320.7959999999998"/>
  </r>
  <r>
    <s v="2960"/>
    <x v="58"/>
    <x v="9"/>
    <x v="10"/>
    <n v="0"/>
    <n v="0"/>
    <n v="2320.7959999999998"/>
  </r>
  <r>
    <s v="2960"/>
    <x v="58"/>
    <x v="9"/>
    <x v="11"/>
    <n v="0"/>
    <n v="0"/>
    <n v="2320.7959999999998"/>
  </r>
  <r>
    <s v="4300"/>
    <x v="79"/>
    <x v="9"/>
    <x v="6"/>
    <n v="0"/>
    <n v="0"/>
    <n v="4569.26"/>
  </r>
  <r>
    <s v="4300"/>
    <x v="79"/>
    <x v="9"/>
    <x v="7"/>
    <n v="0"/>
    <n v="0"/>
    <n v="4569.26"/>
  </r>
  <r>
    <s v="4300"/>
    <x v="79"/>
    <x v="9"/>
    <x v="8"/>
    <n v="0"/>
    <n v="0"/>
    <n v="4569.26"/>
  </r>
  <r>
    <s v="4300"/>
    <x v="79"/>
    <x v="9"/>
    <x v="9"/>
    <n v="0"/>
    <n v="0"/>
    <n v="4569.26"/>
  </r>
  <r>
    <s v="4300"/>
    <x v="79"/>
    <x v="9"/>
    <x v="10"/>
    <n v="0"/>
    <n v="0"/>
    <n v="4569.26"/>
  </r>
  <r>
    <s v="4300"/>
    <x v="79"/>
    <x v="9"/>
    <x v="11"/>
    <n v="0"/>
    <n v="0"/>
    <n v="4569.26"/>
  </r>
  <r>
    <s v="1430"/>
    <x v="40"/>
    <x v="9"/>
    <x v="6"/>
    <n v="0"/>
    <n v="0"/>
    <n v="4216.3379999999997"/>
  </r>
  <r>
    <s v="5900"/>
    <x v="150"/>
    <x v="9"/>
    <x v="6"/>
    <n v="0"/>
    <n v="0"/>
    <n v="1588.394"/>
  </r>
  <r>
    <s v="5900"/>
    <x v="150"/>
    <x v="9"/>
    <x v="7"/>
    <n v="0"/>
    <n v="0"/>
    <n v="1588.394"/>
  </r>
  <r>
    <s v="5900"/>
    <x v="150"/>
    <x v="9"/>
    <x v="8"/>
    <n v="0"/>
    <n v="0"/>
    <n v="1588.394"/>
  </r>
  <r>
    <s v="5900"/>
    <x v="150"/>
    <x v="9"/>
    <x v="9"/>
    <n v="0"/>
    <n v="0"/>
    <n v="1588.394"/>
  </r>
  <r>
    <s v="5900"/>
    <x v="150"/>
    <x v="9"/>
    <x v="10"/>
    <n v="0"/>
    <n v="0"/>
    <n v="1588.394"/>
  </r>
  <r>
    <s v="5900"/>
    <x v="150"/>
    <x v="9"/>
    <x v="11"/>
    <n v="0"/>
    <n v="0"/>
    <n v="1588.394"/>
  </r>
  <r>
    <s v="80610"/>
    <x v="150"/>
    <x v="9"/>
    <x v="1"/>
    <n v="0"/>
    <n v="0"/>
    <n v="0"/>
  </r>
  <r>
    <s v="80610"/>
    <x v="150"/>
    <x v="9"/>
    <x v="2"/>
    <n v="0"/>
    <n v="0"/>
    <n v="0"/>
  </r>
  <r>
    <s v="80610"/>
    <x v="150"/>
    <x v="9"/>
    <x v="3"/>
    <n v="0"/>
    <n v="0"/>
    <n v="0"/>
  </r>
  <r>
    <s v="80610"/>
    <x v="150"/>
    <x v="9"/>
    <x v="4"/>
    <n v="0"/>
    <n v="0"/>
    <n v="0"/>
  </r>
  <r>
    <s v="4880"/>
    <x v="93"/>
    <x v="9"/>
    <x v="0"/>
    <n v="0"/>
    <n v="0"/>
    <n v="2064.2799999999997"/>
  </r>
  <r>
    <s v="4880"/>
    <x v="93"/>
    <x v="9"/>
    <x v="1"/>
    <n v="0"/>
    <n v="0"/>
    <n v="2103.3100000000004"/>
  </r>
  <r>
    <s v="4880"/>
    <x v="93"/>
    <x v="9"/>
    <x v="2"/>
    <n v="0"/>
    <n v="0"/>
    <n v="1911.3999999999996"/>
  </r>
  <r>
    <s v="4880"/>
    <x v="93"/>
    <x v="9"/>
    <x v="3"/>
    <n v="0"/>
    <n v="0"/>
    <n v="2207.5300000000007"/>
  </r>
  <r>
    <s v="4880"/>
    <x v="93"/>
    <x v="9"/>
    <x v="4"/>
    <n v="0"/>
    <n v="0"/>
    <n v="2166.5200000000004"/>
  </r>
  <r>
    <s v="4880"/>
    <x v="93"/>
    <x v="9"/>
    <x v="5"/>
    <n v="0"/>
    <n v="0"/>
    <n v="2090.6080000000002"/>
  </r>
  <r>
    <s v="4880"/>
    <x v="93"/>
    <x v="9"/>
    <x v="6"/>
    <n v="0"/>
    <n v="0"/>
    <n v="2090.6080000000002"/>
  </r>
  <r>
    <s v="4880"/>
    <x v="93"/>
    <x v="9"/>
    <x v="7"/>
    <n v="0"/>
    <n v="0"/>
    <n v="2090.6080000000002"/>
  </r>
  <r>
    <s v="4880"/>
    <x v="93"/>
    <x v="9"/>
    <x v="8"/>
    <n v="0"/>
    <n v="0"/>
    <n v="2090.6080000000002"/>
  </r>
  <r>
    <s v="4880"/>
    <x v="93"/>
    <x v="9"/>
    <x v="9"/>
    <n v="0"/>
    <n v="0"/>
    <n v="2090.6080000000002"/>
  </r>
  <r>
    <s v="4880"/>
    <x v="93"/>
    <x v="9"/>
    <x v="10"/>
    <n v="0"/>
    <n v="0"/>
    <n v="2090.6080000000002"/>
  </r>
  <r>
    <s v="4880"/>
    <x v="93"/>
    <x v="9"/>
    <x v="11"/>
    <n v="0"/>
    <n v="0"/>
    <n v="2090.6080000000002"/>
  </r>
  <r>
    <s v="1300"/>
    <x v="35"/>
    <x v="9"/>
    <x v="0"/>
    <n v="0"/>
    <n v="0"/>
    <n v="1756.9300000000003"/>
  </r>
  <r>
    <s v="1300"/>
    <x v="35"/>
    <x v="9"/>
    <x v="1"/>
    <n v="0"/>
    <n v="0"/>
    <n v="1361.1"/>
  </r>
  <r>
    <s v="1300"/>
    <x v="35"/>
    <x v="9"/>
    <x v="2"/>
    <n v="0"/>
    <n v="0"/>
    <n v="1566.5099999999989"/>
  </r>
  <r>
    <s v="1300"/>
    <x v="35"/>
    <x v="9"/>
    <x v="3"/>
    <n v="0"/>
    <n v="0"/>
    <n v="1689.7300000000014"/>
  </r>
  <r>
    <s v="1300"/>
    <x v="35"/>
    <x v="9"/>
    <x v="4"/>
    <n v="0"/>
    <n v="0"/>
    <n v="1863.7000000000007"/>
  </r>
  <r>
    <s v="1300"/>
    <x v="35"/>
    <x v="9"/>
    <x v="5"/>
    <n v="0"/>
    <n v="0"/>
    <n v="1647.5940000000003"/>
  </r>
  <r>
    <s v="1300"/>
    <x v="35"/>
    <x v="9"/>
    <x v="6"/>
    <n v="0"/>
    <n v="0"/>
    <n v="1647.5940000000003"/>
  </r>
  <r>
    <s v="1300"/>
    <x v="35"/>
    <x v="9"/>
    <x v="7"/>
    <n v="0"/>
    <n v="0"/>
    <n v="1647.5940000000003"/>
  </r>
  <r>
    <s v="1300"/>
    <x v="35"/>
    <x v="9"/>
    <x v="8"/>
    <n v="0"/>
    <n v="0"/>
    <n v="1647.5940000000003"/>
  </r>
  <r>
    <s v="1300"/>
    <x v="35"/>
    <x v="9"/>
    <x v="9"/>
    <n v="0"/>
    <n v="0"/>
    <n v="1647.5940000000003"/>
  </r>
  <r>
    <s v="1300"/>
    <x v="35"/>
    <x v="9"/>
    <x v="10"/>
    <n v="0"/>
    <n v="0"/>
    <n v="1647.5940000000003"/>
  </r>
  <r>
    <s v="1300"/>
    <x v="35"/>
    <x v="9"/>
    <x v="11"/>
    <n v="0"/>
    <n v="0"/>
    <n v="1647.5940000000003"/>
  </r>
  <r>
    <s v="2660"/>
    <x v="55"/>
    <x v="9"/>
    <x v="0"/>
    <n v="0"/>
    <n v="0"/>
    <n v="3176.65"/>
  </r>
  <r>
    <s v="2660"/>
    <x v="55"/>
    <x v="9"/>
    <x v="1"/>
    <n v="0"/>
    <n v="0"/>
    <n v="3050.43"/>
  </r>
  <r>
    <s v="2660"/>
    <x v="55"/>
    <x v="9"/>
    <x v="2"/>
    <n v="0"/>
    <n v="0"/>
    <n v="3368.5500000000011"/>
  </r>
  <r>
    <s v="2660"/>
    <x v="55"/>
    <x v="9"/>
    <x v="3"/>
    <n v="0"/>
    <n v="0"/>
    <n v="3394.8299999999981"/>
  </r>
  <r>
    <s v="2660"/>
    <x v="55"/>
    <x v="9"/>
    <x v="4"/>
    <n v="0"/>
    <n v="0"/>
    <n v="2940.6299999999992"/>
  </r>
  <r>
    <s v="2660"/>
    <x v="55"/>
    <x v="9"/>
    <x v="5"/>
    <n v="0"/>
    <n v="0"/>
    <n v="3186.2179999999998"/>
  </r>
  <r>
    <s v="2660"/>
    <x v="55"/>
    <x v="9"/>
    <x v="6"/>
    <n v="0"/>
    <n v="0"/>
    <n v="3186.2179999999998"/>
  </r>
  <r>
    <s v="2660"/>
    <x v="55"/>
    <x v="9"/>
    <x v="7"/>
    <n v="0"/>
    <n v="0"/>
    <n v="3186.2179999999998"/>
  </r>
  <r>
    <s v="2660"/>
    <x v="55"/>
    <x v="9"/>
    <x v="8"/>
    <n v="0"/>
    <n v="0"/>
    <n v="3186.2179999999998"/>
  </r>
  <r>
    <s v="2660"/>
    <x v="55"/>
    <x v="9"/>
    <x v="9"/>
    <n v="0"/>
    <n v="0"/>
    <n v="3186.2179999999998"/>
  </r>
  <r>
    <s v="2660"/>
    <x v="55"/>
    <x v="9"/>
    <x v="10"/>
    <n v="0"/>
    <n v="0"/>
    <n v="3186.2179999999998"/>
  </r>
  <r>
    <s v="2660"/>
    <x v="55"/>
    <x v="9"/>
    <x v="11"/>
    <n v="0"/>
    <n v="0"/>
    <n v="3186.2179999999998"/>
  </r>
  <r>
    <s v="3450"/>
    <x v="63"/>
    <x v="12"/>
    <x v="6"/>
    <n v="0"/>
    <n v="0"/>
    <n v="1680.914"/>
  </r>
  <r>
    <s v="3450"/>
    <x v="63"/>
    <x v="12"/>
    <x v="7"/>
    <n v="0"/>
    <n v="0"/>
    <n v="1680.914"/>
  </r>
  <r>
    <s v="3450"/>
    <x v="63"/>
    <x v="12"/>
    <x v="8"/>
    <n v="0"/>
    <n v="0"/>
    <n v="1680.914"/>
  </r>
  <r>
    <s v="3450"/>
    <x v="63"/>
    <x v="12"/>
    <x v="9"/>
    <n v="0"/>
    <n v="0"/>
    <n v="1680.914"/>
  </r>
  <r>
    <s v="3450"/>
    <x v="63"/>
    <x v="12"/>
    <x v="10"/>
    <n v="0"/>
    <n v="0"/>
    <n v="1680.914"/>
  </r>
  <r>
    <s v="3450"/>
    <x v="63"/>
    <x v="12"/>
    <x v="11"/>
    <n v="0"/>
    <n v="0"/>
    <n v="1680.914"/>
  </r>
  <r>
    <s v="5520"/>
    <x v="118"/>
    <x v="12"/>
    <x v="6"/>
    <n v="0"/>
    <n v="0"/>
    <n v="5917.9379999999992"/>
  </r>
  <r>
    <s v="5520"/>
    <x v="118"/>
    <x v="12"/>
    <x v="7"/>
    <n v="0"/>
    <n v="0"/>
    <n v="5917.9379999999992"/>
  </r>
  <r>
    <s v="5520"/>
    <x v="118"/>
    <x v="12"/>
    <x v="8"/>
    <n v="0"/>
    <n v="0"/>
    <n v="5917.9379999999992"/>
  </r>
  <r>
    <s v="5520"/>
    <x v="118"/>
    <x v="12"/>
    <x v="9"/>
    <n v="0"/>
    <n v="0"/>
    <n v="5917.9379999999992"/>
  </r>
  <r>
    <s v="5520"/>
    <x v="118"/>
    <x v="12"/>
    <x v="10"/>
    <n v="0"/>
    <n v="0"/>
    <n v="5917.9379999999992"/>
  </r>
  <r>
    <s v="5520"/>
    <x v="118"/>
    <x v="12"/>
    <x v="11"/>
    <n v="0"/>
    <n v="0"/>
    <n v="5917.9379999999992"/>
  </r>
  <r>
    <s v="5630"/>
    <x v="126"/>
    <x v="12"/>
    <x v="6"/>
    <n v="0"/>
    <n v="0"/>
    <n v="3441.1400000000003"/>
  </r>
  <r>
    <s v="5630"/>
    <x v="126"/>
    <x v="12"/>
    <x v="7"/>
    <n v="0"/>
    <n v="0"/>
    <n v="3441.1400000000003"/>
  </r>
  <r>
    <s v="5630"/>
    <x v="126"/>
    <x v="12"/>
    <x v="8"/>
    <n v="0"/>
    <n v="0"/>
    <n v="3441.1400000000003"/>
  </r>
  <r>
    <s v="5630"/>
    <x v="126"/>
    <x v="12"/>
    <x v="9"/>
    <n v="0"/>
    <n v="0"/>
    <n v="3441.1400000000003"/>
  </r>
  <r>
    <s v="5630"/>
    <x v="126"/>
    <x v="12"/>
    <x v="10"/>
    <n v="0"/>
    <n v="0"/>
    <n v="3441.1400000000003"/>
  </r>
  <r>
    <s v="5630"/>
    <x v="126"/>
    <x v="12"/>
    <x v="11"/>
    <n v="0"/>
    <n v="0"/>
    <n v="3441.1400000000003"/>
  </r>
  <r>
    <s v="240"/>
    <x v="1"/>
    <x v="12"/>
    <x v="0"/>
    <n v="0"/>
    <n v="0"/>
    <n v="2127.1999999999998"/>
  </r>
  <r>
    <s v="240"/>
    <x v="1"/>
    <x v="12"/>
    <x v="1"/>
    <n v="0"/>
    <n v="0"/>
    <n v="2426.7799999999997"/>
  </r>
  <r>
    <s v="240"/>
    <x v="1"/>
    <x v="12"/>
    <x v="2"/>
    <n v="0"/>
    <n v="0"/>
    <n v="1083.1400000000003"/>
  </r>
  <r>
    <s v="240"/>
    <x v="1"/>
    <x v="12"/>
    <x v="3"/>
    <n v="0"/>
    <n v="0"/>
    <n v="614.84999999999945"/>
  </r>
  <r>
    <s v="240"/>
    <x v="1"/>
    <x v="12"/>
    <x v="6"/>
    <n v="0"/>
    <n v="0"/>
    <n v="0"/>
  </r>
  <r>
    <s v="240"/>
    <x v="1"/>
    <x v="12"/>
    <x v="7"/>
    <n v="0"/>
    <n v="0"/>
    <n v="0"/>
  </r>
  <r>
    <s v="240"/>
    <x v="1"/>
    <x v="12"/>
    <x v="8"/>
    <n v="0"/>
    <n v="0"/>
    <n v="0"/>
  </r>
  <r>
    <s v="240"/>
    <x v="1"/>
    <x v="12"/>
    <x v="9"/>
    <n v="0"/>
    <n v="0"/>
    <n v="0"/>
  </r>
  <r>
    <s v="240"/>
    <x v="1"/>
    <x v="12"/>
    <x v="10"/>
    <n v="0"/>
    <n v="0"/>
    <n v="0"/>
  </r>
  <r>
    <s v="240"/>
    <x v="1"/>
    <x v="12"/>
    <x v="11"/>
    <n v="0"/>
    <n v="0"/>
    <n v="0"/>
  </r>
  <r>
    <s v="6030"/>
    <x v="173"/>
    <x v="12"/>
    <x v="0"/>
    <n v="0"/>
    <n v="0"/>
    <n v="0"/>
  </r>
  <r>
    <s v="6030"/>
    <x v="173"/>
    <x v="12"/>
    <x v="1"/>
    <n v="0"/>
    <n v="0"/>
    <n v="0"/>
  </r>
  <r>
    <s v="6030"/>
    <x v="173"/>
    <x v="12"/>
    <x v="6"/>
    <n v="0"/>
    <n v="0"/>
    <n v="4000.4400000000005"/>
  </r>
  <r>
    <s v="6030"/>
    <x v="173"/>
    <x v="12"/>
    <x v="7"/>
    <n v="0"/>
    <n v="0"/>
    <n v="4000.4400000000005"/>
  </r>
  <r>
    <s v="6030"/>
    <x v="173"/>
    <x v="12"/>
    <x v="8"/>
    <n v="0"/>
    <n v="0"/>
    <n v="4000.4400000000005"/>
  </r>
  <r>
    <s v="6030"/>
    <x v="173"/>
    <x v="12"/>
    <x v="9"/>
    <n v="0"/>
    <n v="0"/>
    <n v="4000.4400000000005"/>
  </r>
  <r>
    <s v="6030"/>
    <x v="173"/>
    <x v="12"/>
    <x v="10"/>
    <n v="0"/>
    <n v="0"/>
    <n v="4000.4400000000005"/>
  </r>
  <r>
    <s v="6030"/>
    <x v="173"/>
    <x v="12"/>
    <x v="11"/>
    <n v="0"/>
    <n v="0"/>
    <n v="4000.4400000000005"/>
  </r>
  <r>
    <s v="3660"/>
    <x v="67"/>
    <x v="10"/>
    <x v="6"/>
    <n v="0"/>
    <n v="0"/>
    <n v="3116.12"/>
  </r>
  <r>
    <s v="3660"/>
    <x v="67"/>
    <x v="10"/>
    <x v="7"/>
    <n v="0"/>
    <n v="0"/>
    <n v="3116.12"/>
  </r>
  <r>
    <s v="3660"/>
    <x v="67"/>
    <x v="10"/>
    <x v="8"/>
    <n v="0"/>
    <n v="0"/>
    <n v="3116.12"/>
  </r>
  <r>
    <s v="3660"/>
    <x v="67"/>
    <x v="10"/>
    <x v="9"/>
    <n v="0"/>
    <n v="0"/>
    <n v="3116.12"/>
  </r>
  <r>
    <s v="3660"/>
    <x v="67"/>
    <x v="10"/>
    <x v="10"/>
    <n v="0"/>
    <n v="0"/>
    <n v="3116.12"/>
  </r>
  <r>
    <s v="3660"/>
    <x v="67"/>
    <x v="10"/>
    <x v="11"/>
    <n v="0"/>
    <n v="0"/>
    <n v="3116.12"/>
  </r>
  <r>
    <s v="80550"/>
    <x v="155"/>
    <x v="10"/>
    <x v="3"/>
    <n v="0"/>
    <n v="0"/>
    <n v="0"/>
  </r>
  <r>
    <s v="80550"/>
    <x v="155"/>
    <x v="10"/>
    <x v="4"/>
    <n v="0"/>
    <n v="0"/>
    <n v="0"/>
  </r>
  <r>
    <s v="6040"/>
    <x v="155"/>
    <x v="10"/>
    <x v="0"/>
    <n v="0"/>
    <n v="0"/>
    <n v="0"/>
  </r>
  <r>
    <s v="6040"/>
    <x v="155"/>
    <x v="10"/>
    <x v="1"/>
    <n v="0"/>
    <n v="0"/>
    <n v="0"/>
  </r>
  <r>
    <s v="6040"/>
    <x v="155"/>
    <x v="10"/>
    <x v="6"/>
    <n v="0"/>
    <n v="0"/>
    <n v="1810.5733333333328"/>
  </r>
  <r>
    <s v="6040"/>
    <x v="155"/>
    <x v="10"/>
    <x v="7"/>
    <n v="0"/>
    <n v="0"/>
    <n v="1810.5733333333328"/>
  </r>
  <r>
    <s v="6040"/>
    <x v="155"/>
    <x v="10"/>
    <x v="8"/>
    <n v="0"/>
    <n v="0"/>
    <n v="1810.5733333333328"/>
  </r>
  <r>
    <s v="6040"/>
    <x v="155"/>
    <x v="10"/>
    <x v="9"/>
    <n v="0"/>
    <n v="0"/>
    <n v="1810.5733333333328"/>
  </r>
  <r>
    <s v="6040"/>
    <x v="155"/>
    <x v="10"/>
    <x v="10"/>
    <n v="0"/>
    <n v="0"/>
    <n v="1810.5733333333328"/>
  </r>
  <r>
    <s v="6040"/>
    <x v="155"/>
    <x v="10"/>
    <x v="11"/>
    <n v="0"/>
    <n v="0"/>
    <n v="1810.5733333333328"/>
  </r>
  <r>
    <s v="4870"/>
    <x v="92"/>
    <x v="10"/>
    <x v="6"/>
    <n v="0"/>
    <n v="0"/>
    <n v="2930.5039999999999"/>
  </r>
  <r>
    <s v="4870"/>
    <x v="92"/>
    <x v="10"/>
    <x v="7"/>
    <n v="0"/>
    <n v="0"/>
    <n v="2930.5039999999999"/>
  </r>
  <r>
    <s v="4870"/>
    <x v="92"/>
    <x v="10"/>
    <x v="8"/>
    <n v="0"/>
    <n v="0"/>
    <n v="2930.5039999999999"/>
  </r>
  <r>
    <s v="4870"/>
    <x v="92"/>
    <x v="10"/>
    <x v="9"/>
    <n v="0"/>
    <n v="0"/>
    <n v="2930.5039999999999"/>
  </r>
  <r>
    <s v="4870"/>
    <x v="92"/>
    <x v="10"/>
    <x v="10"/>
    <n v="0"/>
    <n v="0"/>
    <n v="2930.5039999999999"/>
  </r>
  <r>
    <s v="4870"/>
    <x v="92"/>
    <x v="10"/>
    <x v="11"/>
    <n v="0"/>
    <n v="0"/>
    <n v="2930.5039999999999"/>
  </r>
  <r>
    <s v="4400"/>
    <x v="83"/>
    <x v="10"/>
    <x v="6"/>
    <n v="0"/>
    <n v="0"/>
    <n v="4298.1379999999999"/>
  </r>
  <r>
    <s v="4400"/>
    <x v="83"/>
    <x v="10"/>
    <x v="7"/>
    <n v="0"/>
    <n v="0"/>
    <n v="4298.1379999999999"/>
  </r>
  <r>
    <s v="4400"/>
    <x v="83"/>
    <x v="10"/>
    <x v="8"/>
    <n v="0"/>
    <n v="0"/>
    <n v="4298.1379999999999"/>
  </r>
  <r>
    <s v="4400"/>
    <x v="83"/>
    <x v="10"/>
    <x v="9"/>
    <n v="0"/>
    <n v="0"/>
    <n v="4298.1379999999999"/>
  </r>
  <r>
    <s v="4400"/>
    <x v="83"/>
    <x v="10"/>
    <x v="10"/>
    <n v="0"/>
    <n v="0"/>
    <n v="4298.1379999999999"/>
  </r>
  <r>
    <s v="4400"/>
    <x v="83"/>
    <x v="10"/>
    <x v="11"/>
    <n v="0"/>
    <n v="0"/>
    <n v="4298.1379999999999"/>
  </r>
  <r>
    <s v="5620"/>
    <x v="125"/>
    <x v="10"/>
    <x v="0"/>
    <n v="0"/>
    <n v="0"/>
    <n v="2257.94"/>
  </r>
  <r>
    <s v="5620"/>
    <x v="125"/>
    <x v="10"/>
    <x v="1"/>
    <n v="0"/>
    <n v="0"/>
    <n v="1941.6399999999999"/>
  </r>
  <r>
    <s v="5620"/>
    <x v="125"/>
    <x v="10"/>
    <x v="2"/>
    <n v="0"/>
    <n v="0"/>
    <n v="1931.0699999999997"/>
  </r>
  <r>
    <s v="5620"/>
    <x v="125"/>
    <x v="10"/>
    <x v="3"/>
    <n v="0"/>
    <n v="0"/>
    <n v="1892.33"/>
  </r>
  <r>
    <s v="5620"/>
    <x v="125"/>
    <x v="10"/>
    <x v="6"/>
    <n v="0"/>
    <n v="0"/>
    <n v="1969.7039999999997"/>
  </r>
  <r>
    <s v="5620"/>
    <x v="125"/>
    <x v="10"/>
    <x v="7"/>
    <n v="0"/>
    <n v="0"/>
    <n v="1969.7039999999997"/>
  </r>
  <r>
    <s v="5620"/>
    <x v="125"/>
    <x v="10"/>
    <x v="8"/>
    <n v="0"/>
    <n v="0"/>
    <n v="1969.7039999999997"/>
  </r>
  <r>
    <s v="5620"/>
    <x v="125"/>
    <x v="10"/>
    <x v="9"/>
    <n v="0"/>
    <n v="0"/>
    <n v="1969.7039999999997"/>
  </r>
  <r>
    <s v="5620"/>
    <x v="125"/>
    <x v="10"/>
    <x v="10"/>
    <n v="0"/>
    <n v="0"/>
    <n v="1969.7039999999997"/>
  </r>
  <r>
    <s v="5620"/>
    <x v="125"/>
    <x v="10"/>
    <x v="11"/>
    <n v="0"/>
    <n v="0"/>
    <n v="1969.7039999999997"/>
  </r>
  <r>
    <s v="3120"/>
    <x v="59"/>
    <x v="10"/>
    <x v="6"/>
    <n v="0"/>
    <n v="0"/>
    <n v="3048.0119999999997"/>
  </r>
  <r>
    <s v="3120"/>
    <x v="59"/>
    <x v="10"/>
    <x v="7"/>
    <n v="0"/>
    <n v="0"/>
    <n v="3048.0119999999997"/>
  </r>
  <r>
    <s v="3120"/>
    <x v="59"/>
    <x v="10"/>
    <x v="8"/>
    <n v="0"/>
    <n v="0"/>
    <n v="3048.0119999999997"/>
  </r>
  <r>
    <s v="3120"/>
    <x v="59"/>
    <x v="10"/>
    <x v="9"/>
    <n v="0"/>
    <n v="0"/>
    <n v="3048.0119999999997"/>
  </r>
  <r>
    <s v="3120"/>
    <x v="59"/>
    <x v="10"/>
    <x v="10"/>
    <n v="0"/>
    <n v="0"/>
    <n v="3048.0119999999997"/>
  </r>
  <r>
    <s v="3120"/>
    <x v="59"/>
    <x v="10"/>
    <x v="11"/>
    <n v="0"/>
    <n v="0"/>
    <n v="3048.0119999999997"/>
  </r>
  <r>
    <m/>
    <x v="192"/>
    <x v="10"/>
    <x v="9"/>
    <n v="0"/>
    <n v="0"/>
    <n v="2000"/>
  </r>
  <r>
    <m/>
    <x v="192"/>
    <x v="10"/>
    <x v="10"/>
    <n v="0"/>
    <n v="0"/>
    <n v="2000"/>
  </r>
  <r>
    <m/>
    <x v="192"/>
    <x v="10"/>
    <x v="11"/>
    <n v="0"/>
    <n v="0"/>
    <n v="2000"/>
  </r>
  <r>
    <s v="4800"/>
    <x v="91"/>
    <x v="13"/>
    <x v="6"/>
    <n v="0"/>
    <n v="0"/>
    <n v="4340.5860000000002"/>
  </r>
  <r>
    <s v="4800"/>
    <x v="91"/>
    <x v="13"/>
    <x v="7"/>
    <n v="0"/>
    <n v="0"/>
    <n v="4340.5860000000002"/>
  </r>
  <r>
    <s v="4800"/>
    <x v="91"/>
    <x v="13"/>
    <x v="8"/>
    <n v="0"/>
    <n v="0"/>
    <n v="4340.5860000000002"/>
  </r>
  <r>
    <s v="4800"/>
    <x v="91"/>
    <x v="13"/>
    <x v="9"/>
    <n v="0"/>
    <n v="0"/>
    <n v="4340.5860000000002"/>
  </r>
  <r>
    <s v="4800"/>
    <x v="91"/>
    <x v="13"/>
    <x v="10"/>
    <n v="0"/>
    <n v="0"/>
    <n v="4340.5860000000002"/>
  </r>
  <r>
    <s v="4800"/>
    <x v="91"/>
    <x v="13"/>
    <x v="11"/>
    <n v="0"/>
    <n v="0"/>
    <n v="4340.5860000000002"/>
  </r>
  <r>
    <s v="4290"/>
    <x v="78"/>
    <x v="11"/>
    <x v="6"/>
    <n v="0"/>
    <n v="0"/>
    <n v="2900.1400000000003"/>
  </r>
  <r>
    <s v="4290"/>
    <x v="78"/>
    <x v="11"/>
    <x v="7"/>
    <n v="0"/>
    <n v="0"/>
    <n v="2900.1400000000003"/>
  </r>
  <r>
    <s v="4290"/>
    <x v="78"/>
    <x v="11"/>
    <x v="8"/>
    <n v="0"/>
    <n v="0"/>
    <n v="2900.1400000000003"/>
  </r>
  <r>
    <s v="4290"/>
    <x v="78"/>
    <x v="11"/>
    <x v="9"/>
    <n v="0"/>
    <n v="0"/>
    <n v="2900.1400000000003"/>
  </r>
  <r>
    <s v="4290"/>
    <x v="78"/>
    <x v="11"/>
    <x v="10"/>
    <n v="0"/>
    <n v="0"/>
    <n v="2900.1400000000003"/>
  </r>
  <r>
    <s v="4290"/>
    <x v="78"/>
    <x v="11"/>
    <x v="11"/>
    <n v="0"/>
    <n v="0"/>
    <n v="2900.1400000000003"/>
  </r>
  <r>
    <s v="5800"/>
    <x v="140"/>
    <x v="11"/>
    <x v="6"/>
    <n v="0"/>
    <n v="0"/>
    <n v="3296.2920000000004"/>
  </r>
  <r>
    <s v="5800"/>
    <x v="140"/>
    <x v="11"/>
    <x v="7"/>
    <n v="0"/>
    <n v="0"/>
    <n v="3296.2920000000004"/>
  </r>
  <r>
    <s v="5800"/>
    <x v="140"/>
    <x v="11"/>
    <x v="8"/>
    <n v="0"/>
    <n v="0"/>
    <n v="3296.2920000000004"/>
  </r>
  <r>
    <s v="5800"/>
    <x v="140"/>
    <x v="11"/>
    <x v="9"/>
    <n v="0"/>
    <n v="0"/>
    <n v="3296.2920000000004"/>
  </r>
  <r>
    <s v="5800"/>
    <x v="140"/>
    <x v="11"/>
    <x v="10"/>
    <n v="0"/>
    <n v="0"/>
    <n v="3296.2920000000004"/>
  </r>
  <r>
    <s v="5800"/>
    <x v="140"/>
    <x v="11"/>
    <x v="11"/>
    <n v="0"/>
    <n v="0"/>
    <n v="3296.2920000000004"/>
  </r>
  <r>
    <s v="5530"/>
    <x v="119"/>
    <x v="11"/>
    <x v="6"/>
    <n v="0"/>
    <n v="0"/>
    <n v="2442.16"/>
  </r>
  <r>
    <s v="5530"/>
    <x v="119"/>
    <x v="11"/>
    <x v="7"/>
    <n v="0"/>
    <n v="0"/>
    <n v="2442.16"/>
  </r>
  <r>
    <s v="5530"/>
    <x v="119"/>
    <x v="11"/>
    <x v="8"/>
    <n v="0"/>
    <n v="0"/>
    <n v="2442.16"/>
  </r>
  <r>
    <s v="5530"/>
    <x v="119"/>
    <x v="11"/>
    <x v="9"/>
    <n v="0"/>
    <n v="0"/>
    <n v="2442.16"/>
  </r>
  <r>
    <s v="5530"/>
    <x v="119"/>
    <x v="11"/>
    <x v="10"/>
    <n v="0"/>
    <n v="0"/>
    <n v="2442.16"/>
  </r>
  <r>
    <s v="5530"/>
    <x v="119"/>
    <x v="11"/>
    <x v="11"/>
    <n v="0"/>
    <n v="0"/>
    <n v="2442.16"/>
  </r>
  <r>
    <s v="5750"/>
    <x v="135"/>
    <x v="11"/>
    <x v="6"/>
    <n v="0"/>
    <n v="0"/>
    <n v="1909.8640000000003"/>
  </r>
  <r>
    <s v="5750"/>
    <x v="135"/>
    <x v="11"/>
    <x v="7"/>
    <n v="0"/>
    <n v="0"/>
    <n v="1909.8640000000003"/>
  </r>
  <r>
    <s v="5750"/>
    <x v="135"/>
    <x v="11"/>
    <x v="8"/>
    <n v="0"/>
    <n v="0"/>
    <n v="1909.8640000000003"/>
  </r>
  <r>
    <s v="5750"/>
    <x v="135"/>
    <x v="11"/>
    <x v="9"/>
    <n v="0"/>
    <n v="0"/>
    <n v="1909.8640000000003"/>
  </r>
  <r>
    <s v="5750"/>
    <x v="135"/>
    <x v="11"/>
    <x v="10"/>
    <n v="0"/>
    <n v="0"/>
    <n v="1909.8640000000003"/>
  </r>
  <r>
    <s v="5750"/>
    <x v="135"/>
    <x v="11"/>
    <x v="11"/>
    <n v="0"/>
    <n v="0"/>
    <n v="1909.8640000000003"/>
  </r>
  <r>
    <s v="5740"/>
    <x v="134"/>
    <x v="0"/>
    <x v="6"/>
    <n v="0"/>
    <n v="0"/>
    <n v="2124.8000000000011"/>
  </r>
  <r>
    <s v="5740"/>
    <x v="134"/>
    <x v="0"/>
    <x v="7"/>
    <n v="0"/>
    <n v="0"/>
    <n v="2124.8000000000011"/>
  </r>
  <r>
    <s v="5740"/>
    <x v="134"/>
    <x v="0"/>
    <x v="8"/>
    <n v="0"/>
    <n v="0"/>
    <n v="2124.8000000000011"/>
  </r>
  <r>
    <s v="5740"/>
    <x v="134"/>
    <x v="0"/>
    <x v="9"/>
    <n v="0"/>
    <n v="0"/>
    <n v="2124.8000000000011"/>
  </r>
  <r>
    <s v="5740"/>
    <x v="134"/>
    <x v="0"/>
    <x v="10"/>
    <n v="0"/>
    <n v="0"/>
    <n v="2124.8000000000011"/>
  </r>
  <r>
    <s v="5740"/>
    <x v="134"/>
    <x v="0"/>
    <x v="11"/>
    <n v="0"/>
    <n v="0"/>
    <n v="2124.8000000000011"/>
  </r>
  <r>
    <s v="6100"/>
    <x v="179"/>
    <x v="0"/>
    <x v="0"/>
    <n v="0"/>
    <n v="0"/>
    <n v="0"/>
  </r>
  <r>
    <s v="6100"/>
    <x v="179"/>
    <x v="0"/>
    <x v="1"/>
    <n v="0"/>
    <n v="0"/>
    <n v="0"/>
  </r>
  <r>
    <s v="6100"/>
    <x v="179"/>
    <x v="0"/>
    <x v="6"/>
    <n v="0"/>
    <n v="0"/>
    <n v="1731.67"/>
  </r>
  <r>
    <s v="6100"/>
    <x v="179"/>
    <x v="0"/>
    <x v="7"/>
    <n v="0"/>
    <n v="0"/>
    <n v="1731.67"/>
  </r>
  <r>
    <s v="6100"/>
    <x v="179"/>
    <x v="0"/>
    <x v="8"/>
    <n v="0"/>
    <n v="0"/>
    <n v="1731.67"/>
  </r>
  <r>
    <s v="6100"/>
    <x v="179"/>
    <x v="0"/>
    <x v="9"/>
    <n v="0"/>
    <n v="0"/>
    <n v="1731.67"/>
  </r>
  <r>
    <s v="6100"/>
    <x v="179"/>
    <x v="0"/>
    <x v="10"/>
    <n v="0"/>
    <n v="0"/>
    <n v="1731.67"/>
  </r>
  <r>
    <s v="6100"/>
    <x v="179"/>
    <x v="0"/>
    <x v="11"/>
    <n v="0"/>
    <n v="0"/>
    <n v="1731.67"/>
  </r>
  <r>
    <s v="5010"/>
    <x v="96"/>
    <x v="0"/>
    <x v="6"/>
    <n v="0"/>
    <n v="0"/>
    <n v="2110.1999999999989"/>
  </r>
  <r>
    <s v="5010"/>
    <x v="96"/>
    <x v="0"/>
    <x v="7"/>
    <n v="0"/>
    <n v="0"/>
    <n v="2110.1999999999989"/>
  </r>
  <r>
    <s v="5010"/>
    <x v="96"/>
    <x v="0"/>
    <x v="8"/>
    <n v="0"/>
    <n v="0"/>
    <n v="2110.1999999999989"/>
  </r>
  <r>
    <s v="5010"/>
    <x v="96"/>
    <x v="0"/>
    <x v="9"/>
    <n v="0"/>
    <n v="0"/>
    <n v="2110.1999999999989"/>
  </r>
  <r>
    <s v="5010"/>
    <x v="96"/>
    <x v="0"/>
    <x v="10"/>
    <n v="0"/>
    <n v="0"/>
    <n v="2110.1999999999989"/>
  </r>
  <r>
    <s v="5010"/>
    <x v="96"/>
    <x v="0"/>
    <x v="11"/>
    <n v="0"/>
    <n v="0"/>
    <n v="2110.1999999999989"/>
  </r>
  <r>
    <s v="5550"/>
    <x v="120"/>
    <x v="0"/>
    <x v="6"/>
    <n v="0"/>
    <n v="0"/>
    <n v="2250.4100000000017"/>
  </r>
  <r>
    <s v="5550"/>
    <x v="120"/>
    <x v="0"/>
    <x v="7"/>
    <n v="0"/>
    <n v="0"/>
    <n v="2250.4100000000017"/>
  </r>
  <r>
    <s v="5550"/>
    <x v="120"/>
    <x v="0"/>
    <x v="8"/>
    <n v="0"/>
    <n v="0"/>
    <n v="2250.4100000000017"/>
  </r>
  <r>
    <s v="5550"/>
    <x v="120"/>
    <x v="0"/>
    <x v="9"/>
    <n v="0"/>
    <n v="0"/>
    <n v="2250.4100000000017"/>
  </r>
  <r>
    <s v="5550"/>
    <x v="120"/>
    <x v="0"/>
    <x v="10"/>
    <n v="0"/>
    <n v="0"/>
    <n v="2250.4100000000017"/>
  </r>
  <r>
    <s v="5550"/>
    <x v="120"/>
    <x v="0"/>
    <x v="11"/>
    <n v="0"/>
    <n v="0"/>
    <n v="2250.4100000000017"/>
  </r>
  <r>
    <s v="620"/>
    <x v="5"/>
    <x v="0"/>
    <x v="6"/>
    <n v="0"/>
    <n v="0"/>
    <n v="2616.6699999999983"/>
  </r>
  <r>
    <s v="620"/>
    <x v="5"/>
    <x v="0"/>
    <x v="7"/>
    <n v="0"/>
    <n v="0"/>
    <n v="2616.6699999999983"/>
  </r>
  <r>
    <s v="620"/>
    <x v="5"/>
    <x v="0"/>
    <x v="8"/>
    <n v="0"/>
    <n v="0"/>
    <n v="2616.6699999999983"/>
  </r>
  <r>
    <s v="620"/>
    <x v="5"/>
    <x v="0"/>
    <x v="9"/>
    <n v="0"/>
    <n v="0"/>
    <n v="2616.6699999999983"/>
  </r>
  <r>
    <s v="620"/>
    <x v="5"/>
    <x v="0"/>
    <x v="10"/>
    <n v="0"/>
    <n v="0"/>
    <n v="2616.6699999999983"/>
  </r>
  <r>
    <s v="620"/>
    <x v="5"/>
    <x v="0"/>
    <x v="11"/>
    <n v="0"/>
    <n v="0"/>
    <n v="2616.6699999999983"/>
  </r>
  <r>
    <s v="3480"/>
    <x v="64"/>
    <x v="0"/>
    <x v="0"/>
    <n v="0"/>
    <n v="0"/>
    <n v="2172.2600000000002"/>
  </r>
  <r>
    <s v="3480"/>
    <x v="64"/>
    <x v="0"/>
    <x v="1"/>
    <n v="0"/>
    <n v="0"/>
    <n v="2117.88"/>
  </r>
  <r>
    <s v="3480"/>
    <x v="64"/>
    <x v="0"/>
    <x v="2"/>
    <n v="0"/>
    <n v="0"/>
    <n v="2157.75"/>
  </r>
  <r>
    <s v="3480"/>
    <x v="64"/>
    <x v="0"/>
    <x v="3"/>
    <n v="0"/>
    <n v="0"/>
    <n v="2015.63"/>
  </r>
  <r>
    <s v="3480"/>
    <x v="64"/>
    <x v="0"/>
    <x v="6"/>
    <n v="0"/>
    <n v="0"/>
    <n v="2188.1200000000008"/>
  </r>
  <r>
    <s v="3480"/>
    <x v="64"/>
    <x v="0"/>
    <x v="7"/>
    <n v="0"/>
    <n v="0"/>
    <n v="2188.1200000000008"/>
  </r>
  <r>
    <s v="3480"/>
    <x v="64"/>
    <x v="0"/>
    <x v="8"/>
    <n v="0"/>
    <n v="0"/>
    <n v="2188.1200000000008"/>
  </r>
  <r>
    <s v="3480"/>
    <x v="64"/>
    <x v="0"/>
    <x v="9"/>
    <n v="0"/>
    <n v="0"/>
    <n v="2188.1200000000008"/>
  </r>
  <r>
    <s v="3480"/>
    <x v="64"/>
    <x v="0"/>
    <x v="10"/>
    <n v="0"/>
    <n v="0"/>
    <n v="2188.1200000000008"/>
  </r>
  <r>
    <s v="3480"/>
    <x v="64"/>
    <x v="0"/>
    <x v="11"/>
    <n v="0"/>
    <n v="0"/>
    <n v="2188.1200000000008"/>
  </r>
  <r>
    <s v="5420"/>
    <x v="111"/>
    <x v="0"/>
    <x v="6"/>
    <n v="0"/>
    <n v="0"/>
    <n v="722.70999999999958"/>
  </r>
  <r>
    <s v="5420"/>
    <x v="111"/>
    <x v="0"/>
    <x v="7"/>
    <n v="0"/>
    <n v="0"/>
    <n v="722.70999999999958"/>
  </r>
  <r>
    <s v="5420"/>
    <x v="111"/>
    <x v="0"/>
    <x v="8"/>
    <n v="0"/>
    <n v="0"/>
    <n v="722.70999999999958"/>
  </r>
  <r>
    <s v="5420"/>
    <x v="111"/>
    <x v="0"/>
    <x v="9"/>
    <n v="0"/>
    <n v="0"/>
    <n v="722.70999999999958"/>
  </r>
  <r>
    <s v="5420"/>
    <x v="111"/>
    <x v="0"/>
    <x v="10"/>
    <n v="0"/>
    <n v="0"/>
    <n v="722.70999999999958"/>
  </r>
  <r>
    <s v="5420"/>
    <x v="111"/>
    <x v="0"/>
    <x v="11"/>
    <n v="0"/>
    <n v="0"/>
    <n v="722.70999999999958"/>
  </r>
  <r>
    <s v="5170"/>
    <x v="100"/>
    <x v="0"/>
    <x v="6"/>
    <n v="0"/>
    <n v="0"/>
    <n v="829.02000000000135"/>
  </r>
  <r>
    <s v="5170"/>
    <x v="100"/>
    <x v="0"/>
    <x v="7"/>
    <n v="0"/>
    <n v="0"/>
    <n v="829.02000000000135"/>
  </r>
  <r>
    <s v="5170"/>
    <x v="100"/>
    <x v="0"/>
    <x v="8"/>
    <n v="0"/>
    <n v="0"/>
    <n v="829.02000000000135"/>
  </r>
  <r>
    <s v="5170"/>
    <x v="100"/>
    <x v="0"/>
    <x v="9"/>
    <n v="0"/>
    <n v="0"/>
    <n v="829.02000000000135"/>
  </r>
  <r>
    <s v="5170"/>
    <x v="100"/>
    <x v="0"/>
    <x v="10"/>
    <n v="0"/>
    <n v="0"/>
    <n v="829.02000000000135"/>
  </r>
  <r>
    <s v="5170"/>
    <x v="100"/>
    <x v="0"/>
    <x v="11"/>
    <n v="0"/>
    <n v="0"/>
    <n v="829.02000000000135"/>
  </r>
  <r>
    <s v="2730"/>
    <x v="57"/>
    <x v="0"/>
    <x v="6"/>
    <n v="0"/>
    <n v="0"/>
    <n v="1106.5900000000001"/>
  </r>
  <r>
    <s v="2730"/>
    <x v="57"/>
    <x v="0"/>
    <x v="7"/>
    <n v="0"/>
    <n v="0"/>
    <n v="1106.5900000000001"/>
  </r>
  <r>
    <s v="2730"/>
    <x v="57"/>
    <x v="0"/>
    <x v="8"/>
    <n v="0"/>
    <n v="0"/>
    <n v="1106.5900000000001"/>
  </r>
  <r>
    <s v="2730"/>
    <x v="57"/>
    <x v="0"/>
    <x v="9"/>
    <n v="0"/>
    <n v="0"/>
    <n v="1106.5900000000001"/>
  </r>
  <r>
    <s v="2730"/>
    <x v="57"/>
    <x v="0"/>
    <x v="10"/>
    <n v="0"/>
    <n v="0"/>
    <n v="1106.5900000000001"/>
  </r>
  <r>
    <s v="2730"/>
    <x v="57"/>
    <x v="0"/>
    <x v="11"/>
    <n v="0"/>
    <n v="0"/>
    <n v="1106.5900000000001"/>
  </r>
  <r>
    <s v="4140"/>
    <x v="74"/>
    <x v="0"/>
    <x v="6"/>
    <n v="0"/>
    <n v="0"/>
    <n v="156.02999999999975"/>
  </r>
  <r>
    <s v="4140"/>
    <x v="74"/>
    <x v="0"/>
    <x v="7"/>
    <n v="0"/>
    <n v="0"/>
    <n v="156.02999999999975"/>
  </r>
  <r>
    <s v="4140"/>
    <x v="74"/>
    <x v="0"/>
    <x v="8"/>
    <n v="0"/>
    <n v="0"/>
    <n v="156.02999999999975"/>
  </r>
  <r>
    <s v="4140"/>
    <x v="74"/>
    <x v="0"/>
    <x v="9"/>
    <n v="0"/>
    <n v="0"/>
    <n v="156.02999999999975"/>
  </r>
  <r>
    <s v="4140"/>
    <x v="74"/>
    <x v="0"/>
    <x v="10"/>
    <n v="0"/>
    <n v="0"/>
    <n v="156.02999999999975"/>
  </r>
  <r>
    <s v="4140"/>
    <x v="74"/>
    <x v="0"/>
    <x v="11"/>
    <n v="0"/>
    <n v="0"/>
    <n v="156.02999999999975"/>
  </r>
  <r>
    <s v="1270"/>
    <x v="32"/>
    <x v="0"/>
    <x v="6"/>
    <n v="0"/>
    <n v="0"/>
    <n v="1308.1299999999983"/>
  </r>
  <r>
    <s v="1270"/>
    <x v="32"/>
    <x v="0"/>
    <x v="7"/>
    <n v="0"/>
    <n v="0"/>
    <n v="1308.1299999999983"/>
  </r>
  <r>
    <s v="1270"/>
    <x v="32"/>
    <x v="0"/>
    <x v="8"/>
    <n v="0"/>
    <n v="0"/>
    <n v="1308.1299999999983"/>
  </r>
  <r>
    <s v="1270"/>
    <x v="32"/>
    <x v="0"/>
    <x v="9"/>
    <n v="0"/>
    <n v="0"/>
    <n v="1308.1299999999983"/>
  </r>
  <r>
    <s v="1270"/>
    <x v="32"/>
    <x v="0"/>
    <x v="10"/>
    <n v="0"/>
    <n v="0"/>
    <n v="1308.1299999999983"/>
  </r>
  <r>
    <s v="1270"/>
    <x v="32"/>
    <x v="0"/>
    <x v="11"/>
    <n v="0"/>
    <n v="0"/>
    <n v="1308.1299999999983"/>
  </r>
  <r>
    <s v="3980"/>
    <x v="70"/>
    <x v="0"/>
    <x v="6"/>
    <n v="0"/>
    <n v="0"/>
    <n v="1980.2400000000007"/>
  </r>
  <r>
    <s v="3980"/>
    <x v="70"/>
    <x v="0"/>
    <x v="7"/>
    <n v="0"/>
    <n v="0"/>
    <n v="1980.2400000000007"/>
  </r>
  <r>
    <s v="3980"/>
    <x v="70"/>
    <x v="0"/>
    <x v="8"/>
    <n v="0"/>
    <n v="0"/>
    <n v="1980.2400000000007"/>
  </r>
  <r>
    <s v="3980"/>
    <x v="70"/>
    <x v="0"/>
    <x v="9"/>
    <n v="0"/>
    <n v="0"/>
    <n v="1980.2400000000007"/>
  </r>
  <r>
    <s v="3980"/>
    <x v="70"/>
    <x v="0"/>
    <x v="10"/>
    <n v="0"/>
    <n v="0"/>
    <n v="1980.2400000000007"/>
  </r>
  <r>
    <s v="3980"/>
    <x v="70"/>
    <x v="0"/>
    <x v="11"/>
    <n v="0"/>
    <n v="0"/>
    <n v="1980.2400000000007"/>
  </r>
  <r>
    <s v="2080"/>
    <x v="52"/>
    <x v="0"/>
    <x v="6"/>
    <n v="0"/>
    <n v="0"/>
    <n v="2382.1000000000004"/>
  </r>
  <r>
    <s v="2080"/>
    <x v="52"/>
    <x v="0"/>
    <x v="7"/>
    <n v="0"/>
    <n v="0"/>
    <n v="2382.1000000000004"/>
  </r>
  <r>
    <s v="2080"/>
    <x v="52"/>
    <x v="0"/>
    <x v="8"/>
    <n v="0"/>
    <n v="0"/>
    <n v="2382.1000000000004"/>
  </r>
  <r>
    <s v="2080"/>
    <x v="52"/>
    <x v="0"/>
    <x v="9"/>
    <n v="0"/>
    <n v="0"/>
    <n v="2382.1000000000004"/>
  </r>
  <r>
    <s v="2080"/>
    <x v="52"/>
    <x v="0"/>
    <x v="10"/>
    <n v="0"/>
    <n v="0"/>
    <n v="2382.1000000000004"/>
  </r>
  <r>
    <s v="2080"/>
    <x v="52"/>
    <x v="0"/>
    <x v="11"/>
    <n v="0"/>
    <n v="0"/>
    <n v="2382.1000000000004"/>
  </r>
  <r>
    <s v="50"/>
    <x v="0"/>
    <x v="0"/>
    <x v="6"/>
    <n v="0"/>
    <n v="0"/>
    <n v="2066.46"/>
  </r>
  <r>
    <s v="50"/>
    <x v="0"/>
    <x v="0"/>
    <x v="7"/>
    <n v="0"/>
    <n v="0"/>
    <n v="2066.46"/>
  </r>
  <r>
    <s v="50"/>
    <x v="0"/>
    <x v="0"/>
    <x v="8"/>
    <n v="0"/>
    <n v="0"/>
    <n v="2066.46"/>
  </r>
  <r>
    <s v="50"/>
    <x v="0"/>
    <x v="0"/>
    <x v="9"/>
    <n v="0"/>
    <n v="0"/>
    <n v="2066.46"/>
  </r>
  <r>
    <s v="50"/>
    <x v="0"/>
    <x v="0"/>
    <x v="10"/>
    <n v="0"/>
    <n v="0"/>
    <n v="2066.46"/>
  </r>
  <r>
    <s v="50"/>
    <x v="0"/>
    <x v="0"/>
    <x v="11"/>
    <n v="0"/>
    <n v="0"/>
    <n v="2066.46"/>
  </r>
  <r>
    <s v="5940"/>
    <x v="153"/>
    <x v="0"/>
    <x v="6"/>
    <n v="0"/>
    <n v="0"/>
    <n v="1682.2400000000007"/>
  </r>
  <r>
    <s v="5940"/>
    <x v="153"/>
    <x v="0"/>
    <x v="7"/>
    <n v="0"/>
    <n v="0"/>
    <n v="1682.2400000000007"/>
  </r>
  <r>
    <s v="5940"/>
    <x v="153"/>
    <x v="0"/>
    <x v="8"/>
    <n v="0"/>
    <n v="0"/>
    <n v="1682.2400000000007"/>
  </r>
  <r>
    <s v="5940"/>
    <x v="153"/>
    <x v="0"/>
    <x v="9"/>
    <n v="0"/>
    <n v="0"/>
    <n v="1682.2400000000007"/>
  </r>
  <r>
    <s v="5940"/>
    <x v="153"/>
    <x v="0"/>
    <x v="10"/>
    <n v="0"/>
    <n v="0"/>
    <n v="1682.2400000000007"/>
  </r>
  <r>
    <s v="5940"/>
    <x v="153"/>
    <x v="0"/>
    <x v="11"/>
    <n v="0"/>
    <n v="0"/>
    <n v="1682.2400000000007"/>
  </r>
  <r>
    <s v="80570"/>
    <x v="153"/>
    <x v="0"/>
    <x v="1"/>
    <n v="0"/>
    <n v="0"/>
    <n v="0"/>
  </r>
  <r>
    <s v="80570"/>
    <x v="153"/>
    <x v="0"/>
    <x v="2"/>
    <n v="0"/>
    <n v="0"/>
    <n v="0"/>
  </r>
  <r>
    <s v="80570"/>
    <x v="153"/>
    <x v="0"/>
    <x v="3"/>
    <n v="0"/>
    <n v="0"/>
    <n v="0"/>
  </r>
  <r>
    <s v="80570"/>
    <x v="153"/>
    <x v="0"/>
    <x v="5"/>
    <n v="0"/>
    <n v="0"/>
    <n v="0"/>
  </r>
  <r>
    <s v="80570"/>
    <x v="153"/>
    <x v="0"/>
    <x v="6"/>
    <n v="0"/>
    <n v="0"/>
    <n v="0"/>
  </r>
  <r>
    <s v="80570"/>
    <x v="153"/>
    <x v="0"/>
    <x v="7"/>
    <n v="0"/>
    <n v="0"/>
    <n v="0"/>
  </r>
  <r>
    <s v="80570"/>
    <x v="153"/>
    <x v="0"/>
    <x v="8"/>
    <n v="0"/>
    <n v="0"/>
    <n v="0"/>
  </r>
  <r>
    <s v="80570"/>
    <x v="153"/>
    <x v="0"/>
    <x v="9"/>
    <n v="0"/>
    <n v="0"/>
    <n v="0"/>
  </r>
  <r>
    <s v="80570"/>
    <x v="153"/>
    <x v="0"/>
    <x v="10"/>
    <n v="0"/>
    <n v="0"/>
    <n v="0"/>
  </r>
  <r>
    <s v="80570"/>
    <x v="153"/>
    <x v="0"/>
    <x v="11"/>
    <n v="0"/>
    <n v="0"/>
    <n v="0"/>
  </r>
  <r>
    <s v="1860"/>
    <x v="51"/>
    <x v="0"/>
    <x v="6"/>
    <n v="0"/>
    <n v="0"/>
    <n v="494.41000000000167"/>
  </r>
  <r>
    <s v="1860"/>
    <x v="51"/>
    <x v="0"/>
    <x v="7"/>
    <n v="0"/>
    <n v="0"/>
    <n v="494.41000000000167"/>
  </r>
  <r>
    <s v="1860"/>
    <x v="51"/>
    <x v="0"/>
    <x v="8"/>
    <n v="0"/>
    <n v="0"/>
    <n v="494.41000000000167"/>
  </r>
  <r>
    <s v="1860"/>
    <x v="51"/>
    <x v="0"/>
    <x v="9"/>
    <n v="0"/>
    <n v="0"/>
    <n v="494.41000000000167"/>
  </r>
  <r>
    <s v="1860"/>
    <x v="51"/>
    <x v="0"/>
    <x v="10"/>
    <n v="0"/>
    <n v="0"/>
    <n v="494.41000000000167"/>
  </r>
  <r>
    <s v="1860"/>
    <x v="51"/>
    <x v="0"/>
    <x v="11"/>
    <n v="0"/>
    <n v="0"/>
    <n v="494.41000000000167"/>
  </r>
  <r>
    <s v="4210"/>
    <x v="76"/>
    <x v="0"/>
    <x v="6"/>
    <n v="0"/>
    <n v="0"/>
    <n v="1297.5300000000007"/>
  </r>
  <r>
    <s v="4210"/>
    <x v="76"/>
    <x v="0"/>
    <x v="7"/>
    <n v="0"/>
    <n v="0"/>
    <n v="1297.5300000000007"/>
  </r>
  <r>
    <s v="4210"/>
    <x v="76"/>
    <x v="0"/>
    <x v="8"/>
    <n v="0"/>
    <n v="0"/>
    <n v="1297.5300000000007"/>
  </r>
  <r>
    <s v="4210"/>
    <x v="76"/>
    <x v="0"/>
    <x v="9"/>
    <n v="0"/>
    <n v="0"/>
    <n v="1297.5300000000007"/>
  </r>
  <r>
    <s v="4210"/>
    <x v="76"/>
    <x v="0"/>
    <x v="10"/>
    <n v="0"/>
    <n v="0"/>
    <n v="1297.5300000000007"/>
  </r>
  <r>
    <s v="4210"/>
    <x v="76"/>
    <x v="0"/>
    <x v="11"/>
    <n v="0"/>
    <n v="0"/>
    <n v="1297.5300000000007"/>
  </r>
  <r>
    <s v="5250"/>
    <x v="101"/>
    <x v="0"/>
    <x v="6"/>
    <n v="0"/>
    <n v="0"/>
    <n v="911.65000000000146"/>
  </r>
  <r>
    <s v="5250"/>
    <x v="101"/>
    <x v="0"/>
    <x v="7"/>
    <n v="0"/>
    <n v="0"/>
    <n v="911.65000000000146"/>
  </r>
  <r>
    <s v="5250"/>
    <x v="101"/>
    <x v="0"/>
    <x v="8"/>
    <n v="0"/>
    <n v="0"/>
    <n v="911.65000000000146"/>
  </r>
  <r>
    <s v="5250"/>
    <x v="101"/>
    <x v="0"/>
    <x v="9"/>
    <n v="0"/>
    <n v="0"/>
    <n v="911.65000000000146"/>
  </r>
  <r>
    <s v="5250"/>
    <x v="101"/>
    <x v="0"/>
    <x v="10"/>
    <n v="0"/>
    <n v="0"/>
    <n v="911.65000000000146"/>
  </r>
  <r>
    <s v="5250"/>
    <x v="101"/>
    <x v="0"/>
    <x v="11"/>
    <n v="0"/>
    <n v="0"/>
    <n v="911.65000000000146"/>
  </r>
  <r>
    <s v="5251"/>
    <x v="101"/>
    <x v="0"/>
    <x v="0"/>
    <n v="0"/>
    <n v="0"/>
    <n v="0"/>
  </r>
  <r>
    <s v="5251"/>
    <x v="101"/>
    <x v="0"/>
    <x v="1"/>
    <n v="0"/>
    <n v="0"/>
    <n v="0"/>
  </r>
  <r>
    <s v="5251"/>
    <x v="101"/>
    <x v="0"/>
    <x v="2"/>
    <n v="0"/>
    <n v="0"/>
    <n v="0"/>
  </r>
  <r>
    <s v="5251"/>
    <x v="101"/>
    <x v="0"/>
    <x v="3"/>
    <n v="0"/>
    <n v="0"/>
    <n v="0"/>
  </r>
  <r>
    <s v="5251"/>
    <x v="101"/>
    <x v="0"/>
    <x v="6"/>
    <n v="0"/>
    <n v="0"/>
    <n v="1644.61"/>
  </r>
  <r>
    <s v="5251"/>
    <x v="101"/>
    <x v="0"/>
    <x v="7"/>
    <n v="0"/>
    <n v="0"/>
    <n v="1644.61"/>
  </r>
  <r>
    <s v="5251"/>
    <x v="101"/>
    <x v="0"/>
    <x v="8"/>
    <n v="0"/>
    <n v="0"/>
    <n v="1644.61"/>
  </r>
  <r>
    <s v="5251"/>
    <x v="101"/>
    <x v="0"/>
    <x v="9"/>
    <n v="0"/>
    <n v="0"/>
    <n v="1644.61"/>
  </r>
  <r>
    <s v="5251"/>
    <x v="101"/>
    <x v="0"/>
    <x v="10"/>
    <n v="0"/>
    <n v="0"/>
    <n v="1644.61"/>
  </r>
  <r>
    <s v="5251"/>
    <x v="101"/>
    <x v="0"/>
    <x v="11"/>
    <n v="0"/>
    <n v="0"/>
    <n v="1644.61"/>
  </r>
  <r>
    <s v="920"/>
    <x v="23"/>
    <x v="0"/>
    <x v="6"/>
    <n v="0"/>
    <n v="0"/>
    <n v="1035.0700000000015"/>
  </r>
  <r>
    <s v="920"/>
    <x v="23"/>
    <x v="0"/>
    <x v="7"/>
    <n v="0"/>
    <n v="0"/>
    <n v="1035.0700000000015"/>
  </r>
  <r>
    <s v="920"/>
    <x v="23"/>
    <x v="0"/>
    <x v="8"/>
    <n v="0"/>
    <n v="0"/>
    <n v="1035.0700000000015"/>
  </r>
  <r>
    <s v="920"/>
    <x v="23"/>
    <x v="0"/>
    <x v="9"/>
    <n v="0"/>
    <n v="0"/>
    <n v="1035.0700000000015"/>
  </r>
  <r>
    <s v="920"/>
    <x v="23"/>
    <x v="0"/>
    <x v="10"/>
    <n v="0"/>
    <n v="0"/>
    <n v="1035.0700000000015"/>
  </r>
  <r>
    <s v="920"/>
    <x v="23"/>
    <x v="0"/>
    <x v="11"/>
    <n v="0"/>
    <n v="0"/>
    <n v="1035.0700000000015"/>
  </r>
  <r>
    <s v="4320"/>
    <x v="80"/>
    <x v="0"/>
    <x v="6"/>
    <n v="0"/>
    <n v="0"/>
    <n v="2417.4299999999985"/>
  </r>
  <r>
    <s v="4320"/>
    <x v="80"/>
    <x v="0"/>
    <x v="7"/>
    <n v="0"/>
    <n v="0"/>
    <n v="2417.4299999999985"/>
  </r>
  <r>
    <s v="4320"/>
    <x v="80"/>
    <x v="0"/>
    <x v="8"/>
    <n v="0"/>
    <n v="0"/>
    <n v="2417.4299999999985"/>
  </r>
  <r>
    <s v="4320"/>
    <x v="80"/>
    <x v="0"/>
    <x v="9"/>
    <n v="0"/>
    <n v="0"/>
    <n v="2417.4299999999985"/>
  </r>
  <r>
    <s v="4320"/>
    <x v="80"/>
    <x v="0"/>
    <x v="10"/>
    <n v="0"/>
    <n v="0"/>
    <n v="2417.4299999999985"/>
  </r>
  <r>
    <s v="4320"/>
    <x v="80"/>
    <x v="0"/>
    <x v="11"/>
    <n v="0"/>
    <n v="0"/>
    <n v="2417.4299999999985"/>
  </r>
  <r>
    <s v="1000"/>
    <x v="26"/>
    <x v="0"/>
    <x v="6"/>
    <n v="0"/>
    <n v="0"/>
    <n v="3491.7799999999952"/>
  </r>
  <r>
    <s v="1000"/>
    <x v="26"/>
    <x v="0"/>
    <x v="7"/>
    <n v="0"/>
    <n v="0"/>
    <n v="3491.7799999999952"/>
  </r>
  <r>
    <s v="1000"/>
    <x v="26"/>
    <x v="0"/>
    <x v="8"/>
    <n v="0"/>
    <n v="0"/>
    <n v="3491.7799999999952"/>
  </r>
  <r>
    <s v="1000"/>
    <x v="26"/>
    <x v="0"/>
    <x v="9"/>
    <n v="0"/>
    <n v="0"/>
    <n v="3491.7799999999952"/>
  </r>
  <r>
    <s v="1000"/>
    <x v="26"/>
    <x v="0"/>
    <x v="10"/>
    <n v="0"/>
    <n v="0"/>
    <n v="3491.7799999999952"/>
  </r>
  <r>
    <s v="1000"/>
    <x v="26"/>
    <x v="0"/>
    <x v="11"/>
    <n v="0"/>
    <n v="0"/>
    <n v="3491.7799999999952"/>
  </r>
  <r>
    <s v="1380"/>
    <x v="39"/>
    <x v="0"/>
    <x v="6"/>
    <n v="0"/>
    <n v="0"/>
    <n v="1574.0699999999997"/>
  </r>
  <r>
    <s v="1380"/>
    <x v="39"/>
    <x v="0"/>
    <x v="7"/>
    <n v="0"/>
    <n v="0"/>
    <n v="1574.0699999999997"/>
  </r>
  <r>
    <s v="1380"/>
    <x v="39"/>
    <x v="0"/>
    <x v="8"/>
    <n v="0"/>
    <n v="0"/>
    <n v="1574.0699999999997"/>
  </r>
  <r>
    <s v="1380"/>
    <x v="39"/>
    <x v="0"/>
    <x v="9"/>
    <n v="0"/>
    <n v="0"/>
    <n v="1574.0699999999997"/>
  </r>
  <r>
    <s v="1380"/>
    <x v="39"/>
    <x v="0"/>
    <x v="10"/>
    <n v="0"/>
    <n v="0"/>
    <n v="1574.0699999999997"/>
  </r>
  <r>
    <s v="1380"/>
    <x v="39"/>
    <x v="0"/>
    <x v="11"/>
    <n v="0"/>
    <n v="0"/>
    <n v="1574.0699999999997"/>
  </r>
  <r>
    <s v="4260"/>
    <x v="77"/>
    <x v="0"/>
    <x v="6"/>
    <n v="0"/>
    <n v="0"/>
    <n v="1734.1599999999999"/>
  </r>
  <r>
    <s v="4260"/>
    <x v="77"/>
    <x v="0"/>
    <x v="7"/>
    <n v="0"/>
    <n v="0"/>
    <n v="1734.1599999999999"/>
  </r>
  <r>
    <s v="4260"/>
    <x v="77"/>
    <x v="0"/>
    <x v="8"/>
    <n v="0"/>
    <n v="0"/>
    <n v="1734.1599999999999"/>
  </r>
  <r>
    <s v="4260"/>
    <x v="77"/>
    <x v="0"/>
    <x v="9"/>
    <n v="0"/>
    <n v="0"/>
    <n v="1734.1599999999999"/>
  </r>
  <r>
    <s v="4260"/>
    <x v="77"/>
    <x v="0"/>
    <x v="10"/>
    <n v="0"/>
    <n v="0"/>
    <n v="1734.1599999999999"/>
  </r>
  <r>
    <s v="4260"/>
    <x v="77"/>
    <x v="0"/>
    <x v="11"/>
    <n v="0"/>
    <n v="0"/>
    <n v="1734.1599999999999"/>
  </r>
  <r>
    <s v="1360"/>
    <x v="37"/>
    <x v="0"/>
    <x v="5"/>
    <n v="0"/>
    <n v="0"/>
    <n v="0"/>
  </r>
  <r>
    <s v="1360"/>
    <x v="37"/>
    <x v="0"/>
    <x v="6"/>
    <n v="0"/>
    <n v="0"/>
    <n v="0"/>
  </r>
  <r>
    <s v="1360"/>
    <x v="37"/>
    <x v="0"/>
    <x v="7"/>
    <n v="0"/>
    <n v="0"/>
    <n v="0"/>
  </r>
  <r>
    <s v="1360"/>
    <x v="37"/>
    <x v="0"/>
    <x v="8"/>
    <n v="0"/>
    <n v="0"/>
    <n v="0"/>
  </r>
  <r>
    <s v="1360"/>
    <x v="37"/>
    <x v="0"/>
    <x v="9"/>
    <n v="0"/>
    <n v="0"/>
    <n v="0"/>
  </r>
  <r>
    <s v="1360"/>
    <x v="37"/>
    <x v="0"/>
    <x v="10"/>
    <n v="0"/>
    <n v="0"/>
    <n v="0"/>
  </r>
  <r>
    <s v="1360"/>
    <x v="37"/>
    <x v="0"/>
    <x v="11"/>
    <n v="0"/>
    <n v="0"/>
    <n v="0"/>
  </r>
  <r>
    <s v="5510"/>
    <x v="117"/>
    <x v="0"/>
    <x v="6"/>
    <n v="0"/>
    <n v="0"/>
    <n v="1310.6099999999997"/>
  </r>
  <r>
    <s v="5510"/>
    <x v="117"/>
    <x v="0"/>
    <x v="7"/>
    <n v="0"/>
    <n v="0"/>
    <n v="1310.6099999999997"/>
  </r>
  <r>
    <s v="5510"/>
    <x v="117"/>
    <x v="0"/>
    <x v="8"/>
    <n v="0"/>
    <n v="0"/>
    <n v="1310.6099999999997"/>
  </r>
  <r>
    <s v="5510"/>
    <x v="117"/>
    <x v="0"/>
    <x v="9"/>
    <n v="0"/>
    <n v="0"/>
    <n v="1310.6099999999997"/>
  </r>
  <r>
    <s v="5510"/>
    <x v="117"/>
    <x v="0"/>
    <x v="10"/>
    <n v="0"/>
    <n v="0"/>
    <n v="1310.6099999999997"/>
  </r>
  <r>
    <s v="5510"/>
    <x v="117"/>
    <x v="0"/>
    <x v="11"/>
    <n v="0"/>
    <n v="0"/>
    <n v="1310.6099999999997"/>
  </r>
  <r>
    <s v="5850"/>
    <x v="145"/>
    <x v="0"/>
    <x v="6"/>
    <n v="0"/>
    <n v="0"/>
    <n v="2211.0000000000018"/>
  </r>
  <r>
    <s v="5850"/>
    <x v="145"/>
    <x v="0"/>
    <x v="7"/>
    <n v="0"/>
    <n v="0"/>
    <n v="2211.0000000000018"/>
  </r>
  <r>
    <s v="5850"/>
    <x v="145"/>
    <x v="0"/>
    <x v="8"/>
    <n v="0"/>
    <n v="0"/>
    <n v="2211.0000000000018"/>
  </r>
  <r>
    <s v="5850"/>
    <x v="145"/>
    <x v="0"/>
    <x v="9"/>
    <n v="0"/>
    <n v="0"/>
    <n v="2211.0000000000018"/>
  </r>
  <r>
    <s v="5850"/>
    <x v="145"/>
    <x v="0"/>
    <x v="10"/>
    <n v="0"/>
    <n v="0"/>
    <n v="2211.0000000000018"/>
  </r>
  <r>
    <s v="5850"/>
    <x v="145"/>
    <x v="0"/>
    <x v="11"/>
    <n v="0"/>
    <n v="0"/>
    <n v="2211.0000000000018"/>
  </r>
  <r>
    <s v="6050"/>
    <x v="174"/>
    <x v="0"/>
    <x v="0"/>
    <n v="0"/>
    <n v="0"/>
    <n v="0"/>
  </r>
  <r>
    <s v="6050"/>
    <x v="174"/>
    <x v="0"/>
    <x v="1"/>
    <n v="0"/>
    <n v="0"/>
    <n v="0"/>
  </r>
  <r>
    <s v="6050"/>
    <x v="174"/>
    <x v="0"/>
    <x v="6"/>
    <n v="0"/>
    <n v="0"/>
    <n v="2444.5200000000004"/>
  </r>
  <r>
    <s v="6050"/>
    <x v="174"/>
    <x v="0"/>
    <x v="7"/>
    <n v="0"/>
    <n v="0"/>
    <n v="2444.5200000000004"/>
  </r>
  <r>
    <s v="6050"/>
    <x v="174"/>
    <x v="0"/>
    <x v="8"/>
    <n v="0"/>
    <n v="0"/>
    <n v="2444.5200000000004"/>
  </r>
  <r>
    <s v="6050"/>
    <x v="174"/>
    <x v="0"/>
    <x v="9"/>
    <n v="0"/>
    <n v="0"/>
    <n v="2444.5200000000004"/>
  </r>
  <r>
    <s v="6050"/>
    <x v="174"/>
    <x v="0"/>
    <x v="10"/>
    <n v="0"/>
    <n v="0"/>
    <n v="2444.5200000000004"/>
  </r>
  <r>
    <s v="6050"/>
    <x v="174"/>
    <x v="0"/>
    <x v="11"/>
    <n v="0"/>
    <n v="0"/>
    <n v="2444.5200000000004"/>
  </r>
  <r>
    <s v="5400"/>
    <x v="109"/>
    <x v="0"/>
    <x v="6"/>
    <n v="0"/>
    <n v="0"/>
    <n v="1654.6799999999985"/>
  </r>
  <r>
    <s v="5400"/>
    <x v="109"/>
    <x v="0"/>
    <x v="7"/>
    <n v="0"/>
    <n v="0"/>
    <n v="1654.6799999999985"/>
  </r>
  <r>
    <s v="5400"/>
    <x v="109"/>
    <x v="0"/>
    <x v="8"/>
    <n v="0"/>
    <n v="0"/>
    <n v="1654.6799999999985"/>
  </r>
  <r>
    <s v="5400"/>
    <x v="109"/>
    <x v="0"/>
    <x v="9"/>
    <n v="0"/>
    <n v="0"/>
    <n v="1654.6799999999985"/>
  </r>
  <r>
    <s v="5400"/>
    <x v="109"/>
    <x v="0"/>
    <x v="10"/>
    <n v="0"/>
    <n v="0"/>
    <n v="1654.6799999999985"/>
  </r>
  <r>
    <s v="5400"/>
    <x v="109"/>
    <x v="0"/>
    <x v="11"/>
    <n v="0"/>
    <n v="0"/>
    <n v="1654.6799999999985"/>
  </r>
  <r>
    <s v="6060"/>
    <x v="175"/>
    <x v="0"/>
    <x v="0"/>
    <n v="0"/>
    <n v="0"/>
    <n v="0"/>
  </r>
  <r>
    <s v="6060"/>
    <x v="175"/>
    <x v="0"/>
    <x v="1"/>
    <n v="0"/>
    <n v="0"/>
    <n v="0"/>
  </r>
  <r>
    <s v="6060"/>
    <x v="175"/>
    <x v="0"/>
    <x v="6"/>
    <n v="0"/>
    <n v="0"/>
    <n v="2390.2200000000003"/>
  </r>
  <r>
    <s v="6060"/>
    <x v="175"/>
    <x v="0"/>
    <x v="7"/>
    <n v="0"/>
    <n v="0"/>
    <n v="2390.2200000000003"/>
  </r>
  <r>
    <s v="6060"/>
    <x v="175"/>
    <x v="0"/>
    <x v="8"/>
    <n v="0"/>
    <n v="0"/>
    <n v="2390.2200000000003"/>
  </r>
  <r>
    <s v="6060"/>
    <x v="175"/>
    <x v="0"/>
    <x v="9"/>
    <n v="0"/>
    <n v="0"/>
    <n v="2390.2200000000003"/>
  </r>
  <r>
    <s v="6060"/>
    <x v="175"/>
    <x v="0"/>
    <x v="10"/>
    <n v="0"/>
    <n v="0"/>
    <n v="2390.2200000000003"/>
  </r>
  <r>
    <s v="6060"/>
    <x v="175"/>
    <x v="0"/>
    <x v="11"/>
    <n v="0"/>
    <n v="0"/>
    <n v="2390.2200000000003"/>
  </r>
  <r>
    <s v="690"/>
    <x v="17"/>
    <x v="0"/>
    <x v="6"/>
    <n v="0"/>
    <n v="0"/>
    <n v="2098.1399999999994"/>
  </r>
  <r>
    <s v="690"/>
    <x v="17"/>
    <x v="0"/>
    <x v="7"/>
    <n v="0"/>
    <n v="0"/>
    <n v="2098.1399999999994"/>
  </r>
  <r>
    <s v="690"/>
    <x v="17"/>
    <x v="0"/>
    <x v="8"/>
    <n v="0"/>
    <n v="0"/>
    <n v="2098.1399999999994"/>
  </r>
  <r>
    <s v="690"/>
    <x v="17"/>
    <x v="0"/>
    <x v="9"/>
    <n v="0"/>
    <n v="0"/>
    <n v="2098.1399999999994"/>
  </r>
  <r>
    <s v="690"/>
    <x v="17"/>
    <x v="0"/>
    <x v="10"/>
    <n v="0"/>
    <n v="0"/>
    <n v="2098.1399999999994"/>
  </r>
  <r>
    <s v="690"/>
    <x v="17"/>
    <x v="0"/>
    <x v="11"/>
    <n v="0"/>
    <n v="0"/>
    <n v="2098.1399999999994"/>
  </r>
  <r>
    <s v="830"/>
    <x v="21"/>
    <x v="0"/>
    <x v="6"/>
    <n v="0"/>
    <n v="0"/>
    <n v="2219.98"/>
  </r>
  <r>
    <s v="830"/>
    <x v="21"/>
    <x v="0"/>
    <x v="7"/>
    <n v="0"/>
    <n v="0"/>
    <n v="2219.98"/>
  </r>
  <r>
    <s v="830"/>
    <x v="21"/>
    <x v="0"/>
    <x v="8"/>
    <n v="0"/>
    <n v="0"/>
    <n v="2219.98"/>
  </r>
  <r>
    <s v="830"/>
    <x v="21"/>
    <x v="0"/>
    <x v="9"/>
    <n v="0"/>
    <n v="0"/>
    <n v="2219.98"/>
  </r>
  <r>
    <s v="830"/>
    <x v="21"/>
    <x v="0"/>
    <x v="10"/>
    <n v="0"/>
    <n v="0"/>
    <n v="2219.98"/>
  </r>
  <r>
    <s v="830"/>
    <x v="21"/>
    <x v="0"/>
    <x v="11"/>
    <n v="0"/>
    <n v="0"/>
    <n v="2219.98"/>
  </r>
  <r>
    <s v="5700"/>
    <x v="132"/>
    <x v="0"/>
    <x v="6"/>
    <n v="0"/>
    <n v="0"/>
    <n v="2028.1200000000008"/>
  </r>
  <r>
    <s v="5700"/>
    <x v="132"/>
    <x v="0"/>
    <x v="7"/>
    <n v="0"/>
    <n v="0"/>
    <n v="2028.1200000000008"/>
  </r>
  <r>
    <s v="5700"/>
    <x v="132"/>
    <x v="0"/>
    <x v="8"/>
    <n v="0"/>
    <n v="0"/>
    <n v="2028.1200000000008"/>
  </r>
  <r>
    <s v="5700"/>
    <x v="132"/>
    <x v="0"/>
    <x v="9"/>
    <n v="0"/>
    <n v="0"/>
    <n v="2028.1200000000008"/>
  </r>
  <r>
    <s v="5700"/>
    <x v="132"/>
    <x v="0"/>
    <x v="10"/>
    <n v="0"/>
    <n v="0"/>
    <n v="2028.1200000000008"/>
  </r>
  <r>
    <s v="5700"/>
    <x v="132"/>
    <x v="0"/>
    <x v="11"/>
    <n v="0"/>
    <n v="0"/>
    <n v="2028.1200000000008"/>
  </r>
  <r>
    <s v="600"/>
    <x v="4"/>
    <x v="0"/>
    <x v="6"/>
    <n v="0"/>
    <n v="0"/>
    <n v="2315.8300000000036"/>
  </r>
  <r>
    <s v="600"/>
    <x v="4"/>
    <x v="0"/>
    <x v="7"/>
    <n v="0"/>
    <n v="0"/>
    <n v="2315.8300000000036"/>
  </r>
  <r>
    <s v="600"/>
    <x v="4"/>
    <x v="0"/>
    <x v="8"/>
    <n v="0"/>
    <n v="0"/>
    <n v="2315.8300000000036"/>
  </r>
  <r>
    <s v="600"/>
    <x v="4"/>
    <x v="0"/>
    <x v="9"/>
    <n v="0"/>
    <n v="0"/>
    <n v="2315.8300000000036"/>
  </r>
  <r>
    <s v="600"/>
    <x v="4"/>
    <x v="0"/>
    <x v="10"/>
    <n v="0"/>
    <n v="0"/>
    <n v="2315.8300000000036"/>
  </r>
  <r>
    <s v="600"/>
    <x v="4"/>
    <x v="0"/>
    <x v="11"/>
    <n v="0"/>
    <n v="0"/>
    <n v="2315.8300000000036"/>
  </r>
  <r>
    <s v="4340"/>
    <x v="81"/>
    <x v="0"/>
    <x v="6"/>
    <n v="0"/>
    <n v="0"/>
    <n v="2604.3000000000029"/>
  </r>
  <r>
    <s v="4340"/>
    <x v="81"/>
    <x v="0"/>
    <x v="7"/>
    <n v="0"/>
    <n v="0"/>
    <n v="2604.3000000000029"/>
  </r>
  <r>
    <s v="4340"/>
    <x v="81"/>
    <x v="0"/>
    <x v="8"/>
    <n v="0"/>
    <n v="0"/>
    <n v="2604.3000000000029"/>
  </r>
  <r>
    <s v="4340"/>
    <x v="81"/>
    <x v="0"/>
    <x v="9"/>
    <n v="0"/>
    <n v="0"/>
    <n v="2604.3000000000029"/>
  </r>
  <r>
    <s v="4340"/>
    <x v="81"/>
    <x v="0"/>
    <x v="10"/>
    <n v="0"/>
    <n v="0"/>
    <n v="2604.3000000000029"/>
  </r>
  <r>
    <s v="4340"/>
    <x v="81"/>
    <x v="0"/>
    <x v="11"/>
    <n v="0"/>
    <n v="0"/>
    <n v="2604.3000000000029"/>
  </r>
  <r>
    <s v="6000"/>
    <x v="172"/>
    <x v="0"/>
    <x v="0"/>
    <n v="0"/>
    <n v="0"/>
    <n v="0"/>
  </r>
  <r>
    <s v="6000"/>
    <x v="172"/>
    <x v="0"/>
    <x v="6"/>
    <n v="0"/>
    <n v="0"/>
    <n v="1197.6000000000004"/>
  </r>
  <r>
    <s v="6000"/>
    <x v="172"/>
    <x v="0"/>
    <x v="7"/>
    <n v="0"/>
    <n v="0"/>
    <n v="1197.6000000000004"/>
  </r>
  <r>
    <s v="6000"/>
    <x v="172"/>
    <x v="0"/>
    <x v="8"/>
    <n v="0"/>
    <n v="0"/>
    <n v="1197.6000000000004"/>
  </r>
  <r>
    <s v="6000"/>
    <x v="172"/>
    <x v="0"/>
    <x v="9"/>
    <n v="0"/>
    <n v="0"/>
    <n v="1197.6000000000004"/>
  </r>
  <r>
    <s v="6000"/>
    <x v="172"/>
    <x v="0"/>
    <x v="10"/>
    <n v="0"/>
    <n v="0"/>
    <n v="1197.6000000000004"/>
  </r>
  <r>
    <s v="6000"/>
    <x v="172"/>
    <x v="0"/>
    <x v="11"/>
    <n v="0"/>
    <n v="0"/>
    <n v="1197.6000000000004"/>
  </r>
  <r>
    <s v="1600"/>
    <x v="44"/>
    <x v="0"/>
    <x v="6"/>
    <n v="0"/>
    <n v="0"/>
    <n v="1872.3399999999974"/>
  </r>
  <r>
    <s v="1600"/>
    <x v="44"/>
    <x v="0"/>
    <x v="7"/>
    <n v="0"/>
    <n v="0"/>
    <n v="1872.3399999999974"/>
  </r>
  <r>
    <s v="1600"/>
    <x v="44"/>
    <x v="0"/>
    <x v="8"/>
    <n v="0"/>
    <n v="0"/>
    <n v="1872.3399999999974"/>
  </r>
  <r>
    <s v="1600"/>
    <x v="44"/>
    <x v="0"/>
    <x v="9"/>
    <n v="0"/>
    <n v="0"/>
    <n v="1872.3399999999974"/>
  </r>
  <r>
    <s v="1600"/>
    <x v="44"/>
    <x v="0"/>
    <x v="10"/>
    <n v="0"/>
    <n v="0"/>
    <n v="1872.3399999999974"/>
  </r>
  <r>
    <s v="1600"/>
    <x v="44"/>
    <x v="0"/>
    <x v="11"/>
    <n v="0"/>
    <n v="0"/>
    <n v="1872.3399999999974"/>
  </r>
  <r>
    <s v="1790"/>
    <x v="48"/>
    <x v="0"/>
    <x v="6"/>
    <n v="0"/>
    <n v="0"/>
    <n v="2884.83"/>
  </r>
  <r>
    <s v="1790"/>
    <x v="48"/>
    <x v="0"/>
    <x v="7"/>
    <n v="0"/>
    <n v="0"/>
    <n v="2884.83"/>
  </r>
  <r>
    <s v="1790"/>
    <x v="48"/>
    <x v="0"/>
    <x v="8"/>
    <n v="0"/>
    <n v="0"/>
    <n v="2884.83"/>
  </r>
  <r>
    <s v="1790"/>
    <x v="48"/>
    <x v="0"/>
    <x v="9"/>
    <n v="0"/>
    <n v="0"/>
    <n v="2884.83"/>
  </r>
  <r>
    <s v="1790"/>
    <x v="48"/>
    <x v="0"/>
    <x v="10"/>
    <n v="0"/>
    <n v="0"/>
    <n v="2884.83"/>
  </r>
  <r>
    <s v="1790"/>
    <x v="48"/>
    <x v="0"/>
    <x v="11"/>
    <n v="0"/>
    <n v="0"/>
    <n v="2884.83"/>
  </r>
  <r>
    <s v="990"/>
    <x v="25"/>
    <x v="0"/>
    <x v="6"/>
    <n v="0"/>
    <n v="0"/>
    <n v="1837.6600000000017"/>
  </r>
  <r>
    <s v="990"/>
    <x v="25"/>
    <x v="0"/>
    <x v="7"/>
    <n v="0"/>
    <n v="0"/>
    <n v="1837.6600000000017"/>
  </r>
  <r>
    <s v="990"/>
    <x v="25"/>
    <x v="0"/>
    <x v="8"/>
    <n v="0"/>
    <n v="0"/>
    <n v="1837.6600000000017"/>
  </r>
  <r>
    <s v="990"/>
    <x v="25"/>
    <x v="0"/>
    <x v="9"/>
    <n v="0"/>
    <n v="0"/>
    <n v="1837.6600000000017"/>
  </r>
  <r>
    <s v="990"/>
    <x v="25"/>
    <x v="0"/>
    <x v="10"/>
    <n v="0"/>
    <n v="0"/>
    <n v="1837.6600000000017"/>
  </r>
  <r>
    <s v="990"/>
    <x v="25"/>
    <x v="0"/>
    <x v="11"/>
    <n v="0"/>
    <n v="0"/>
    <n v="1837.6600000000017"/>
  </r>
  <r>
    <s v="4180"/>
    <x v="75"/>
    <x v="0"/>
    <x v="6"/>
    <n v="0"/>
    <n v="0"/>
    <n v="2373.4699999999975"/>
  </r>
  <r>
    <s v="4180"/>
    <x v="75"/>
    <x v="0"/>
    <x v="7"/>
    <n v="0"/>
    <n v="0"/>
    <n v="2373.4699999999975"/>
  </r>
  <r>
    <s v="4180"/>
    <x v="75"/>
    <x v="0"/>
    <x v="8"/>
    <n v="0"/>
    <n v="0"/>
    <n v="2373.4699999999975"/>
  </r>
  <r>
    <s v="4180"/>
    <x v="75"/>
    <x v="0"/>
    <x v="9"/>
    <n v="0"/>
    <n v="0"/>
    <n v="2373.4699999999975"/>
  </r>
  <r>
    <s v="4180"/>
    <x v="75"/>
    <x v="0"/>
    <x v="10"/>
    <n v="0"/>
    <n v="0"/>
    <n v="2373.4699999999975"/>
  </r>
  <r>
    <s v="4180"/>
    <x v="75"/>
    <x v="0"/>
    <x v="11"/>
    <n v="0"/>
    <n v="0"/>
    <n v="2373.4699999999975"/>
  </r>
  <r>
    <s v="4930"/>
    <x v="94"/>
    <x v="0"/>
    <x v="6"/>
    <n v="0"/>
    <n v="0"/>
    <n v="1981.2000000000007"/>
  </r>
  <r>
    <s v="4930"/>
    <x v="94"/>
    <x v="0"/>
    <x v="7"/>
    <n v="0"/>
    <n v="0"/>
    <n v="1981.2000000000007"/>
  </r>
  <r>
    <s v="4930"/>
    <x v="94"/>
    <x v="0"/>
    <x v="8"/>
    <n v="0"/>
    <n v="0"/>
    <n v="1981.2000000000007"/>
  </r>
  <r>
    <s v="4930"/>
    <x v="94"/>
    <x v="0"/>
    <x v="9"/>
    <n v="0"/>
    <n v="0"/>
    <n v="1981.2000000000007"/>
  </r>
  <r>
    <s v="4930"/>
    <x v="94"/>
    <x v="0"/>
    <x v="10"/>
    <n v="0"/>
    <n v="0"/>
    <n v="1981.2000000000007"/>
  </r>
  <r>
    <s v="4930"/>
    <x v="94"/>
    <x v="0"/>
    <x v="11"/>
    <n v="0"/>
    <n v="0"/>
    <n v="1981.2000000000007"/>
  </r>
  <r>
    <s v="1370"/>
    <x v="38"/>
    <x v="0"/>
    <x v="6"/>
    <n v="0"/>
    <n v="0"/>
    <n v="1740.5499999999993"/>
  </r>
  <r>
    <s v="1370"/>
    <x v="38"/>
    <x v="0"/>
    <x v="7"/>
    <n v="0"/>
    <n v="0"/>
    <n v="1740.5499999999993"/>
  </r>
  <r>
    <s v="1370"/>
    <x v="38"/>
    <x v="0"/>
    <x v="8"/>
    <n v="0"/>
    <n v="0"/>
    <n v="1740.5499999999993"/>
  </r>
  <r>
    <s v="1370"/>
    <x v="38"/>
    <x v="0"/>
    <x v="9"/>
    <n v="0"/>
    <n v="0"/>
    <n v="1740.5499999999993"/>
  </r>
  <r>
    <s v="1370"/>
    <x v="38"/>
    <x v="0"/>
    <x v="10"/>
    <n v="0"/>
    <n v="0"/>
    <n v="1740.5499999999993"/>
  </r>
  <r>
    <s v="1370"/>
    <x v="38"/>
    <x v="0"/>
    <x v="11"/>
    <n v="0"/>
    <n v="0"/>
    <n v="1740.5499999999993"/>
  </r>
  <r>
    <s v="5410"/>
    <x v="110"/>
    <x v="0"/>
    <x v="6"/>
    <n v="0"/>
    <n v="0"/>
    <n v="2282.9500000000007"/>
  </r>
  <r>
    <s v="5410"/>
    <x v="110"/>
    <x v="0"/>
    <x v="7"/>
    <n v="0"/>
    <n v="0"/>
    <n v="2282.9500000000007"/>
  </r>
  <r>
    <s v="5410"/>
    <x v="110"/>
    <x v="0"/>
    <x v="8"/>
    <n v="0"/>
    <n v="0"/>
    <n v="2282.9500000000007"/>
  </r>
  <r>
    <s v="5410"/>
    <x v="110"/>
    <x v="0"/>
    <x v="9"/>
    <n v="0"/>
    <n v="0"/>
    <n v="2282.9500000000007"/>
  </r>
  <r>
    <s v="5410"/>
    <x v="110"/>
    <x v="0"/>
    <x v="10"/>
    <n v="0"/>
    <n v="0"/>
    <n v="2282.9500000000007"/>
  </r>
  <r>
    <s v="5410"/>
    <x v="110"/>
    <x v="0"/>
    <x v="11"/>
    <n v="0"/>
    <n v="0"/>
    <n v="2282.9500000000007"/>
  </r>
  <r>
    <s v="1560"/>
    <x v="43"/>
    <x v="0"/>
    <x v="6"/>
    <n v="0"/>
    <n v="0"/>
    <n v="1698.7400000000007"/>
  </r>
  <r>
    <s v="1560"/>
    <x v="43"/>
    <x v="0"/>
    <x v="7"/>
    <n v="0"/>
    <n v="0"/>
    <n v="1698.7400000000007"/>
  </r>
  <r>
    <s v="1560"/>
    <x v="43"/>
    <x v="0"/>
    <x v="8"/>
    <n v="0"/>
    <n v="0"/>
    <n v="1698.7400000000007"/>
  </r>
  <r>
    <s v="1560"/>
    <x v="43"/>
    <x v="0"/>
    <x v="9"/>
    <n v="0"/>
    <n v="0"/>
    <n v="1698.7400000000007"/>
  </r>
  <r>
    <s v="1560"/>
    <x v="43"/>
    <x v="0"/>
    <x v="10"/>
    <n v="0"/>
    <n v="0"/>
    <n v="1698.7400000000007"/>
  </r>
  <r>
    <s v="1560"/>
    <x v="43"/>
    <x v="0"/>
    <x v="11"/>
    <n v="0"/>
    <n v="0"/>
    <n v="1698.7400000000007"/>
  </r>
  <r>
    <s v="590"/>
    <x v="3"/>
    <x v="0"/>
    <x v="6"/>
    <n v="0"/>
    <n v="0"/>
    <n v="2933.1700000000019"/>
  </r>
  <r>
    <s v="590"/>
    <x v="3"/>
    <x v="0"/>
    <x v="7"/>
    <n v="0"/>
    <n v="0"/>
    <n v="2933.1700000000019"/>
  </r>
  <r>
    <s v="590"/>
    <x v="3"/>
    <x v="0"/>
    <x v="8"/>
    <n v="0"/>
    <n v="0"/>
    <n v="2933.1700000000019"/>
  </r>
  <r>
    <s v="590"/>
    <x v="3"/>
    <x v="0"/>
    <x v="9"/>
    <n v="0"/>
    <n v="0"/>
    <n v="2933.1700000000019"/>
  </r>
  <r>
    <s v="590"/>
    <x v="3"/>
    <x v="0"/>
    <x v="10"/>
    <n v="0"/>
    <n v="0"/>
    <n v="2933.1700000000019"/>
  </r>
  <r>
    <s v="590"/>
    <x v="3"/>
    <x v="0"/>
    <x v="11"/>
    <n v="0"/>
    <n v="0"/>
    <n v="2933.1700000000019"/>
  </r>
  <r>
    <s v="6070"/>
    <x v="176"/>
    <x v="0"/>
    <x v="0"/>
    <n v="0"/>
    <n v="0"/>
    <n v="0"/>
  </r>
  <r>
    <s v="6070"/>
    <x v="176"/>
    <x v="0"/>
    <x v="1"/>
    <n v="0"/>
    <n v="0"/>
    <n v="0"/>
  </r>
  <r>
    <s v="6070"/>
    <x v="176"/>
    <x v="0"/>
    <x v="6"/>
    <n v="0"/>
    <n v="0"/>
    <n v="1743.9900000000002"/>
  </r>
  <r>
    <s v="6070"/>
    <x v="176"/>
    <x v="0"/>
    <x v="7"/>
    <n v="0"/>
    <n v="0"/>
    <n v="1743.9900000000002"/>
  </r>
  <r>
    <s v="6070"/>
    <x v="176"/>
    <x v="0"/>
    <x v="8"/>
    <n v="0"/>
    <n v="0"/>
    <n v="1743.9900000000002"/>
  </r>
  <r>
    <s v="6070"/>
    <x v="176"/>
    <x v="0"/>
    <x v="9"/>
    <n v="0"/>
    <n v="0"/>
    <n v="1743.9900000000002"/>
  </r>
  <r>
    <s v="6070"/>
    <x v="176"/>
    <x v="0"/>
    <x v="10"/>
    <n v="0"/>
    <n v="0"/>
    <n v="1743.9900000000002"/>
  </r>
  <r>
    <s v="6070"/>
    <x v="176"/>
    <x v="0"/>
    <x v="11"/>
    <n v="0"/>
    <n v="0"/>
    <n v="1743.9900000000002"/>
  </r>
  <r>
    <s v="800"/>
    <x v="20"/>
    <x v="0"/>
    <x v="6"/>
    <n v="0"/>
    <n v="0"/>
    <n v="2629.99"/>
  </r>
  <r>
    <s v="800"/>
    <x v="20"/>
    <x v="0"/>
    <x v="7"/>
    <n v="0"/>
    <n v="0"/>
    <n v="2629.99"/>
  </r>
  <r>
    <s v="800"/>
    <x v="20"/>
    <x v="0"/>
    <x v="8"/>
    <n v="0"/>
    <n v="0"/>
    <n v="2629.99"/>
  </r>
  <r>
    <s v="800"/>
    <x v="20"/>
    <x v="0"/>
    <x v="9"/>
    <n v="0"/>
    <n v="0"/>
    <n v="2629.99"/>
  </r>
  <r>
    <s v="800"/>
    <x v="20"/>
    <x v="0"/>
    <x v="10"/>
    <n v="0"/>
    <n v="0"/>
    <n v="2629.99"/>
  </r>
  <r>
    <s v="800"/>
    <x v="20"/>
    <x v="0"/>
    <x v="11"/>
    <n v="0"/>
    <n v="0"/>
    <n v="2629.99"/>
  </r>
  <r>
    <s v="1080"/>
    <x v="28"/>
    <x v="0"/>
    <x v="6"/>
    <n v="0"/>
    <n v="0"/>
    <n v="2540.83"/>
  </r>
  <r>
    <s v="1080"/>
    <x v="28"/>
    <x v="0"/>
    <x v="7"/>
    <n v="0"/>
    <n v="0"/>
    <n v="2540.83"/>
  </r>
  <r>
    <s v="1080"/>
    <x v="28"/>
    <x v="0"/>
    <x v="8"/>
    <n v="0"/>
    <n v="0"/>
    <n v="2540.83"/>
  </r>
  <r>
    <s v="1080"/>
    <x v="28"/>
    <x v="0"/>
    <x v="9"/>
    <n v="0"/>
    <n v="0"/>
    <n v="2540.83"/>
  </r>
  <r>
    <s v="1080"/>
    <x v="28"/>
    <x v="0"/>
    <x v="10"/>
    <n v="0"/>
    <n v="0"/>
    <n v="2540.83"/>
  </r>
  <r>
    <s v="1080"/>
    <x v="28"/>
    <x v="0"/>
    <x v="11"/>
    <n v="0"/>
    <n v="0"/>
    <n v="2540.83"/>
  </r>
  <r>
    <s v="80630"/>
    <x v="160"/>
    <x v="0"/>
    <x v="2"/>
    <n v="0"/>
    <n v="0"/>
    <n v="0"/>
  </r>
  <r>
    <s v="80630"/>
    <x v="160"/>
    <x v="0"/>
    <x v="3"/>
    <n v="0"/>
    <n v="0"/>
    <n v="0"/>
  </r>
  <r>
    <s v="80630"/>
    <x v="160"/>
    <x v="0"/>
    <x v="5"/>
    <n v="0"/>
    <n v="0"/>
    <n v="0"/>
  </r>
  <r>
    <s v="80630"/>
    <x v="160"/>
    <x v="0"/>
    <x v="6"/>
    <n v="0"/>
    <n v="0"/>
    <n v="0"/>
  </r>
  <r>
    <s v="80630"/>
    <x v="160"/>
    <x v="0"/>
    <x v="7"/>
    <n v="0"/>
    <n v="0"/>
    <n v="0"/>
  </r>
  <r>
    <s v="80630"/>
    <x v="160"/>
    <x v="0"/>
    <x v="8"/>
    <n v="0"/>
    <n v="0"/>
    <n v="0"/>
  </r>
  <r>
    <s v="80630"/>
    <x v="160"/>
    <x v="0"/>
    <x v="9"/>
    <n v="0"/>
    <n v="0"/>
    <n v="0"/>
  </r>
  <r>
    <s v="80630"/>
    <x v="160"/>
    <x v="0"/>
    <x v="10"/>
    <n v="0"/>
    <n v="0"/>
    <n v="0"/>
  </r>
  <r>
    <s v="80630"/>
    <x v="160"/>
    <x v="0"/>
    <x v="11"/>
    <n v="0"/>
    <n v="0"/>
    <n v="0"/>
  </r>
  <r>
    <s v="6010"/>
    <x v="160"/>
    <x v="0"/>
    <x v="0"/>
    <n v="0"/>
    <n v="0"/>
    <n v="0"/>
  </r>
  <r>
    <s v="6010"/>
    <x v="160"/>
    <x v="0"/>
    <x v="6"/>
    <n v="0"/>
    <n v="0"/>
    <n v="1147.0300000000007"/>
  </r>
  <r>
    <s v="6010"/>
    <x v="160"/>
    <x v="0"/>
    <x v="7"/>
    <n v="0"/>
    <n v="0"/>
    <n v="1147.0300000000007"/>
  </r>
  <r>
    <s v="6010"/>
    <x v="160"/>
    <x v="0"/>
    <x v="8"/>
    <n v="0"/>
    <n v="0"/>
    <n v="1147.0300000000007"/>
  </r>
  <r>
    <s v="6010"/>
    <x v="160"/>
    <x v="0"/>
    <x v="9"/>
    <n v="0"/>
    <n v="0"/>
    <n v="1147.0300000000007"/>
  </r>
  <r>
    <s v="6010"/>
    <x v="160"/>
    <x v="0"/>
    <x v="10"/>
    <n v="0"/>
    <n v="0"/>
    <n v="1147.0300000000007"/>
  </r>
  <r>
    <s v="6010"/>
    <x v="160"/>
    <x v="0"/>
    <x v="11"/>
    <n v="0"/>
    <n v="0"/>
    <n v="1147.0300000000007"/>
  </r>
  <r>
    <s v="780"/>
    <x v="19"/>
    <x v="0"/>
    <x v="3"/>
    <n v="0"/>
    <n v="0"/>
    <n v="0"/>
  </r>
  <r>
    <s v="780"/>
    <x v="19"/>
    <x v="0"/>
    <x v="5"/>
    <n v="0"/>
    <n v="0"/>
    <n v="0"/>
  </r>
  <r>
    <s v="780"/>
    <x v="19"/>
    <x v="0"/>
    <x v="6"/>
    <n v="0"/>
    <n v="0"/>
    <n v="0"/>
  </r>
  <r>
    <s v="780"/>
    <x v="19"/>
    <x v="0"/>
    <x v="7"/>
    <n v="0"/>
    <n v="0"/>
    <n v="0"/>
  </r>
  <r>
    <s v="780"/>
    <x v="19"/>
    <x v="0"/>
    <x v="8"/>
    <n v="0"/>
    <n v="0"/>
    <n v="0"/>
  </r>
  <r>
    <s v="780"/>
    <x v="19"/>
    <x v="0"/>
    <x v="9"/>
    <n v="0"/>
    <n v="0"/>
    <n v="0"/>
  </r>
  <r>
    <s v="780"/>
    <x v="19"/>
    <x v="0"/>
    <x v="10"/>
    <n v="0"/>
    <n v="0"/>
    <n v="0"/>
  </r>
  <r>
    <s v="780"/>
    <x v="19"/>
    <x v="0"/>
    <x v="11"/>
    <n v="0"/>
    <n v="0"/>
    <n v="0"/>
  </r>
  <r>
    <s v="5470"/>
    <x v="115"/>
    <x v="0"/>
    <x v="6"/>
    <n v="0"/>
    <n v="0"/>
    <n v="1924.37"/>
  </r>
  <r>
    <s v="5470"/>
    <x v="115"/>
    <x v="0"/>
    <x v="7"/>
    <n v="0"/>
    <n v="0"/>
    <n v="1924.37"/>
  </r>
  <r>
    <s v="5470"/>
    <x v="115"/>
    <x v="0"/>
    <x v="8"/>
    <n v="0"/>
    <n v="0"/>
    <n v="1924.37"/>
  </r>
  <r>
    <s v="5470"/>
    <x v="115"/>
    <x v="0"/>
    <x v="9"/>
    <n v="0"/>
    <n v="0"/>
    <n v="1924.37"/>
  </r>
  <r>
    <s v="5470"/>
    <x v="115"/>
    <x v="0"/>
    <x v="10"/>
    <n v="0"/>
    <n v="0"/>
    <n v="1924.37"/>
  </r>
  <r>
    <s v="5470"/>
    <x v="115"/>
    <x v="0"/>
    <x v="11"/>
    <n v="0"/>
    <n v="0"/>
    <n v="1924.37"/>
  </r>
  <r>
    <s v="1650"/>
    <x v="45"/>
    <x v="0"/>
    <x v="6"/>
    <n v="0"/>
    <n v="0"/>
    <n v="2134.5200000000041"/>
  </r>
  <r>
    <s v="1650"/>
    <x v="45"/>
    <x v="0"/>
    <x v="7"/>
    <n v="0"/>
    <n v="0"/>
    <n v="2134.5200000000041"/>
  </r>
  <r>
    <s v="1650"/>
    <x v="45"/>
    <x v="0"/>
    <x v="8"/>
    <n v="0"/>
    <n v="0"/>
    <n v="2134.5200000000041"/>
  </r>
  <r>
    <s v="1650"/>
    <x v="45"/>
    <x v="0"/>
    <x v="9"/>
    <n v="0"/>
    <n v="0"/>
    <n v="2134.5200000000041"/>
  </r>
  <r>
    <s v="1650"/>
    <x v="45"/>
    <x v="0"/>
    <x v="10"/>
    <n v="0"/>
    <n v="0"/>
    <n v="2134.5200000000041"/>
  </r>
  <r>
    <s v="1650"/>
    <x v="45"/>
    <x v="0"/>
    <x v="11"/>
    <n v="0"/>
    <n v="0"/>
    <n v="2134.5200000000041"/>
  </r>
  <r>
    <s v="5290"/>
    <x v="102"/>
    <x v="0"/>
    <x v="5"/>
    <n v="0"/>
    <n v="0"/>
    <n v="0"/>
  </r>
  <r>
    <s v="5290"/>
    <x v="102"/>
    <x v="0"/>
    <x v="6"/>
    <n v="0"/>
    <n v="0"/>
    <n v="0"/>
  </r>
  <r>
    <s v="5290"/>
    <x v="102"/>
    <x v="0"/>
    <x v="7"/>
    <n v="0"/>
    <n v="0"/>
    <n v="0"/>
  </r>
  <r>
    <s v="5290"/>
    <x v="102"/>
    <x v="0"/>
    <x v="8"/>
    <n v="0"/>
    <n v="0"/>
    <n v="0"/>
  </r>
  <r>
    <s v="5290"/>
    <x v="102"/>
    <x v="0"/>
    <x v="9"/>
    <n v="0"/>
    <n v="0"/>
    <n v="0"/>
  </r>
  <r>
    <s v="5290"/>
    <x v="102"/>
    <x v="0"/>
    <x v="10"/>
    <n v="0"/>
    <n v="0"/>
    <n v="0"/>
  </r>
  <r>
    <s v="5290"/>
    <x v="102"/>
    <x v="0"/>
    <x v="11"/>
    <n v="0"/>
    <n v="0"/>
    <n v="0"/>
  </r>
  <r>
    <s v="1820"/>
    <x v="49"/>
    <x v="0"/>
    <x v="6"/>
    <n v="0"/>
    <n v="0"/>
    <n v="2464.16"/>
  </r>
  <r>
    <s v="1820"/>
    <x v="49"/>
    <x v="0"/>
    <x v="7"/>
    <n v="0"/>
    <n v="0"/>
    <n v="2464.16"/>
  </r>
  <r>
    <s v="1820"/>
    <x v="49"/>
    <x v="0"/>
    <x v="8"/>
    <n v="0"/>
    <n v="0"/>
    <n v="2464.16"/>
  </r>
  <r>
    <s v="1820"/>
    <x v="49"/>
    <x v="0"/>
    <x v="9"/>
    <n v="0"/>
    <n v="0"/>
    <n v="2464.16"/>
  </r>
  <r>
    <s v="1820"/>
    <x v="49"/>
    <x v="0"/>
    <x v="10"/>
    <n v="0"/>
    <n v="0"/>
    <n v="2464.16"/>
  </r>
  <r>
    <s v="1820"/>
    <x v="49"/>
    <x v="0"/>
    <x v="11"/>
    <n v="0"/>
    <n v="0"/>
    <n v="2464.16"/>
  </r>
  <r>
    <s v="6090"/>
    <x v="178"/>
    <x v="0"/>
    <x v="0"/>
    <n v="0"/>
    <n v="0"/>
    <n v="0"/>
  </r>
  <r>
    <s v="6090"/>
    <x v="178"/>
    <x v="0"/>
    <x v="1"/>
    <n v="0"/>
    <n v="0"/>
    <n v="0"/>
  </r>
  <r>
    <s v="6090"/>
    <x v="178"/>
    <x v="0"/>
    <x v="6"/>
    <n v="0"/>
    <n v="0"/>
    <n v="907.00999999999976"/>
  </r>
  <r>
    <s v="6090"/>
    <x v="178"/>
    <x v="0"/>
    <x v="7"/>
    <n v="0"/>
    <n v="0"/>
    <n v="907.00999999999976"/>
  </r>
  <r>
    <s v="6090"/>
    <x v="178"/>
    <x v="0"/>
    <x v="8"/>
    <n v="0"/>
    <n v="0"/>
    <n v="907.00999999999976"/>
  </r>
  <r>
    <s v="6090"/>
    <x v="178"/>
    <x v="0"/>
    <x v="9"/>
    <n v="0"/>
    <n v="0"/>
    <n v="907.00999999999976"/>
  </r>
  <r>
    <s v="6090"/>
    <x v="178"/>
    <x v="0"/>
    <x v="10"/>
    <n v="0"/>
    <n v="0"/>
    <n v="907.00999999999976"/>
  </r>
  <r>
    <s v="6090"/>
    <x v="178"/>
    <x v="0"/>
    <x v="11"/>
    <n v="0"/>
    <n v="0"/>
    <n v="907.00999999999976"/>
  </r>
  <r>
    <s v="5860"/>
    <x v="146"/>
    <x v="0"/>
    <x v="6"/>
    <n v="0"/>
    <n v="0"/>
    <n v="2625.09"/>
  </r>
  <r>
    <s v="5860"/>
    <x v="146"/>
    <x v="0"/>
    <x v="7"/>
    <n v="0"/>
    <n v="0"/>
    <n v="2625.09"/>
  </r>
  <r>
    <s v="5860"/>
    <x v="146"/>
    <x v="0"/>
    <x v="8"/>
    <n v="0"/>
    <n v="0"/>
    <n v="2625.09"/>
  </r>
  <r>
    <s v="5860"/>
    <x v="146"/>
    <x v="0"/>
    <x v="9"/>
    <n v="0"/>
    <n v="0"/>
    <n v="2625.09"/>
  </r>
  <r>
    <s v="5860"/>
    <x v="146"/>
    <x v="0"/>
    <x v="10"/>
    <n v="0"/>
    <n v="0"/>
    <n v="2625.09"/>
  </r>
  <r>
    <s v="5860"/>
    <x v="146"/>
    <x v="0"/>
    <x v="11"/>
    <n v="0"/>
    <n v="0"/>
    <n v="2625.09"/>
  </r>
  <r>
    <s v="2440"/>
    <x v="54"/>
    <x v="0"/>
    <x v="6"/>
    <n v="0"/>
    <n v="0"/>
    <n v="2213.9400000000005"/>
  </r>
  <r>
    <s v="2440"/>
    <x v="54"/>
    <x v="0"/>
    <x v="7"/>
    <n v="0"/>
    <n v="0"/>
    <n v="2213.9400000000005"/>
  </r>
  <r>
    <s v="2440"/>
    <x v="54"/>
    <x v="0"/>
    <x v="8"/>
    <n v="0"/>
    <n v="0"/>
    <n v="2213.9400000000005"/>
  </r>
  <r>
    <s v="2440"/>
    <x v="54"/>
    <x v="0"/>
    <x v="9"/>
    <n v="0"/>
    <n v="0"/>
    <n v="2213.9400000000005"/>
  </r>
  <r>
    <s v="2440"/>
    <x v="54"/>
    <x v="0"/>
    <x v="10"/>
    <n v="0"/>
    <n v="0"/>
    <n v="2213.9400000000005"/>
  </r>
  <r>
    <s v="2440"/>
    <x v="54"/>
    <x v="0"/>
    <x v="11"/>
    <n v="0"/>
    <n v="0"/>
    <n v="2213.9400000000005"/>
  </r>
  <r>
    <s v="240"/>
    <x v="1"/>
    <x v="0"/>
    <x v="5"/>
    <n v="0"/>
    <n v="0"/>
    <n v="0"/>
  </r>
  <r>
    <s v="240"/>
    <x v="1"/>
    <x v="0"/>
    <x v="6"/>
    <n v="0"/>
    <n v="0"/>
    <n v="0"/>
  </r>
  <r>
    <s v="240"/>
    <x v="1"/>
    <x v="0"/>
    <x v="7"/>
    <n v="0"/>
    <n v="0"/>
    <n v="0"/>
  </r>
  <r>
    <s v="240"/>
    <x v="1"/>
    <x v="0"/>
    <x v="8"/>
    <n v="0"/>
    <n v="0"/>
    <n v="0"/>
  </r>
  <r>
    <s v="240"/>
    <x v="1"/>
    <x v="0"/>
    <x v="9"/>
    <n v="0"/>
    <n v="0"/>
    <n v="0"/>
  </r>
  <r>
    <s v="240"/>
    <x v="1"/>
    <x v="0"/>
    <x v="10"/>
    <n v="0"/>
    <n v="0"/>
    <n v="0"/>
  </r>
  <r>
    <s v="240"/>
    <x v="1"/>
    <x v="0"/>
    <x v="11"/>
    <n v="0"/>
    <n v="0"/>
    <n v="0"/>
  </r>
  <r>
    <s v="5570"/>
    <x v="121"/>
    <x v="0"/>
    <x v="6"/>
    <n v="0"/>
    <n v="0"/>
    <n v="1333.6000000000004"/>
  </r>
  <r>
    <s v="5570"/>
    <x v="121"/>
    <x v="0"/>
    <x v="7"/>
    <n v="0"/>
    <n v="0"/>
    <n v="1333.6000000000004"/>
  </r>
  <r>
    <s v="5570"/>
    <x v="121"/>
    <x v="0"/>
    <x v="8"/>
    <n v="0"/>
    <n v="0"/>
    <n v="1333.6000000000004"/>
  </r>
  <r>
    <s v="5570"/>
    <x v="121"/>
    <x v="0"/>
    <x v="9"/>
    <n v="0"/>
    <n v="0"/>
    <n v="1333.6000000000004"/>
  </r>
  <r>
    <s v="5570"/>
    <x v="121"/>
    <x v="0"/>
    <x v="10"/>
    <n v="0"/>
    <n v="0"/>
    <n v="1333.6000000000004"/>
  </r>
  <r>
    <s v="5570"/>
    <x v="121"/>
    <x v="0"/>
    <x v="11"/>
    <n v="0"/>
    <n v="0"/>
    <n v="1333.6000000000004"/>
  </r>
  <r>
    <s v="3320"/>
    <x v="62"/>
    <x v="0"/>
    <x v="6"/>
    <n v="0"/>
    <n v="0"/>
    <n v="1975.7600000000002"/>
  </r>
  <r>
    <s v="3320"/>
    <x v="62"/>
    <x v="0"/>
    <x v="7"/>
    <n v="0"/>
    <n v="0"/>
    <n v="1975.7600000000002"/>
  </r>
  <r>
    <s v="3320"/>
    <x v="62"/>
    <x v="0"/>
    <x v="8"/>
    <n v="0"/>
    <n v="0"/>
    <n v="1975.7600000000002"/>
  </r>
  <r>
    <s v="3320"/>
    <x v="62"/>
    <x v="0"/>
    <x v="9"/>
    <n v="0"/>
    <n v="0"/>
    <n v="1975.7600000000002"/>
  </r>
  <r>
    <s v="3320"/>
    <x v="62"/>
    <x v="0"/>
    <x v="10"/>
    <n v="0"/>
    <n v="0"/>
    <n v="1975.7600000000002"/>
  </r>
  <r>
    <s v="3320"/>
    <x v="62"/>
    <x v="0"/>
    <x v="11"/>
    <n v="0"/>
    <n v="0"/>
    <n v="1975.7600000000002"/>
  </r>
  <r>
    <s v="700"/>
    <x v="18"/>
    <x v="0"/>
    <x v="6"/>
    <n v="0"/>
    <n v="0"/>
    <n v="1724.1100000000015"/>
  </r>
  <r>
    <s v="700"/>
    <x v="18"/>
    <x v="0"/>
    <x v="7"/>
    <n v="0"/>
    <n v="0"/>
    <n v="1724.1100000000015"/>
  </r>
  <r>
    <s v="700"/>
    <x v="18"/>
    <x v="0"/>
    <x v="8"/>
    <n v="0"/>
    <n v="0"/>
    <n v="1724.1100000000015"/>
  </r>
  <r>
    <s v="700"/>
    <x v="18"/>
    <x v="0"/>
    <x v="9"/>
    <n v="0"/>
    <n v="0"/>
    <n v="1724.1100000000015"/>
  </r>
  <r>
    <s v="700"/>
    <x v="18"/>
    <x v="0"/>
    <x v="10"/>
    <n v="0"/>
    <n v="0"/>
    <n v="1724.1100000000015"/>
  </r>
  <r>
    <s v="700"/>
    <x v="18"/>
    <x v="0"/>
    <x v="11"/>
    <n v="0"/>
    <n v="0"/>
    <n v="1724.1100000000015"/>
  </r>
  <r>
    <s v="550"/>
    <x v="2"/>
    <x v="0"/>
    <x v="6"/>
    <n v="0"/>
    <n v="0"/>
    <n v="1031.29"/>
  </r>
  <r>
    <s v="550"/>
    <x v="2"/>
    <x v="0"/>
    <x v="7"/>
    <n v="0"/>
    <n v="0"/>
    <n v="1031.29"/>
  </r>
  <r>
    <s v="550"/>
    <x v="2"/>
    <x v="0"/>
    <x v="8"/>
    <n v="0"/>
    <n v="0"/>
    <n v="1031.29"/>
  </r>
  <r>
    <s v="550"/>
    <x v="2"/>
    <x v="0"/>
    <x v="9"/>
    <n v="0"/>
    <n v="0"/>
    <n v="1031.29"/>
  </r>
  <r>
    <s v="550"/>
    <x v="2"/>
    <x v="0"/>
    <x v="10"/>
    <n v="0"/>
    <n v="0"/>
    <n v="1031.29"/>
  </r>
  <r>
    <s v="550"/>
    <x v="2"/>
    <x v="0"/>
    <x v="11"/>
    <n v="0"/>
    <n v="0"/>
    <n v="1031.29"/>
  </r>
  <r>
    <s v="4760"/>
    <x v="90"/>
    <x v="0"/>
    <x v="6"/>
    <n v="0"/>
    <n v="0"/>
    <n v="1803.8400000000011"/>
  </r>
  <r>
    <s v="4760"/>
    <x v="90"/>
    <x v="0"/>
    <x v="7"/>
    <n v="0"/>
    <n v="0"/>
    <n v="1803.8400000000011"/>
  </r>
  <r>
    <s v="4760"/>
    <x v="90"/>
    <x v="0"/>
    <x v="8"/>
    <n v="0"/>
    <n v="0"/>
    <n v="1803.8400000000011"/>
  </r>
  <r>
    <s v="4760"/>
    <x v="90"/>
    <x v="0"/>
    <x v="9"/>
    <n v="0"/>
    <n v="0"/>
    <n v="1803.8400000000011"/>
  </r>
  <r>
    <s v="4760"/>
    <x v="90"/>
    <x v="0"/>
    <x v="10"/>
    <n v="0"/>
    <n v="0"/>
    <n v="1803.8400000000011"/>
  </r>
  <r>
    <s v="4760"/>
    <x v="90"/>
    <x v="0"/>
    <x v="11"/>
    <n v="0"/>
    <n v="0"/>
    <n v="1803.8400000000011"/>
  </r>
  <r>
    <s v="870"/>
    <x v="22"/>
    <x v="0"/>
    <x v="6"/>
    <n v="0"/>
    <n v="0"/>
    <n v="2559.1800000000021"/>
  </r>
  <r>
    <s v="870"/>
    <x v="22"/>
    <x v="0"/>
    <x v="7"/>
    <n v="0"/>
    <n v="0"/>
    <n v="2559.1800000000021"/>
  </r>
  <r>
    <s v="870"/>
    <x v="22"/>
    <x v="0"/>
    <x v="8"/>
    <n v="0"/>
    <n v="0"/>
    <n v="2559.1800000000021"/>
  </r>
  <r>
    <s v="870"/>
    <x v="22"/>
    <x v="0"/>
    <x v="9"/>
    <n v="0"/>
    <n v="0"/>
    <n v="2559.1800000000021"/>
  </r>
  <r>
    <s v="870"/>
    <x v="22"/>
    <x v="0"/>
    <x v="10"/>
    <n v="0"/>
    <n v="0"/>
    <n v="2559.1800000000021"/>
  </r>
  <r>
    <s v="870"/>
    <x v="22"/>
    <x v="0"/>
    <x v="11"/>
    <n v="0"/>
    <n v="0"/>
    <n v="2559.1800000000021"/>
  </r>
  <r>
    <s v="4730"/>
    <x v="88"/>
    <x v="0"/>
    <x v="6"/>
    <n v="0"/>
    <n v="0"/>
    <n v="2283.4899999999998"/>
  </r>
  <r>
    <s v="4730"/>
    <x v="88"/>
    <x v="0"/>
    <x v="7"/>
    <n v="0"/>
    <n v="0"/>
    <n v="2283.4899999999998"/>
  </r>
  <r>
    <s v="4730"/>
    <x v="88"/>
    <x v="0"/>
    <x v="8"/>
    <n v="0"/>
    <n v="0"/>
    <n v="2283.4899999999998"/>
  </r>
  <r>
    <s v="4730"/>
    <x v="88"/>
    <x v="0"/>
    <x v="9"/>
    <n v="0"/>
    <n v="0"/>
    <n v="2283.4899999999998"/>
  </r>
  <r>
    <s v="4730"/>
    <x v="88"/>
    <x v="0"/>
    <x v="10"/>
    <n v="0"/>
    <n v="0"/>
    <n v="2283.4899999999998"/>
  </r>
  <r>
    <s v="4730"/>
    <x v="88"/>
    <x v="0"/>
    <x v="11"/>
    <n v="0"/>
    <n v="0"/>
    <n v="2283.4899999999998"/>
  </r>
  <r>
    <s v="1290"/>
    <x v="34"/>
    <x v="0"/>
    <x v="6"/>
    <n v="0"/>
    <n v="0"/>
    <n v="1806.7699999999986"/>
  </r>
  <r>
    <s v="1290"/>
    <x v="34"/>
    <x v="0"/>
    <x v="7"/>
    <n v="0"/>
    <n v="0"/>
    <n v="1806.7699999999986"/>
  </r>
  <r>
    <s v="1290"/>
    <x v="34"/>
    <x v="0"/>
    <x v="8"/>
    <n v="0"/>
    <n v="0"/>
    <n v="1806.7699999999986"/>
  </r>
  <r>
    <s v="1290"/>
    <x v="34"/>
    <x v="0"/>
    <x v="9"/>
    <n v="0"/>
    <n v="0"/>
    <n v="1806.7699999999986"/>
  </r>
  <r>
    <s v="1290"/>
    <x v="34"/>
    <x v="0"/>
    <x v="10"/>
    <n v="0"/>
    <n v="0"/>
    <n v="1806.7699999999986"/>
  </r>
  <r>
    <s v="1290"/>
    <x v="34"/>
    <x v="0"/>
    <x v="11"/>
    <n v="0"/>
    <n v="0"/>
    <n v="1806.7699999999986"/>
  </r>
  <r>
    <s v="4370"/>
    <x v="82"/>
    <x v="2"/>
    <x v="0"/>
    <n v="0"/>
    <n v="0"/>
    <n v="2186.0100000000002"/>
  </r>
  <r>
    <s v="4370"/>
    <x v="82"/>
    <x v="2"/>
    <x v="1"/>
    <n v="0"/>
    <n v="0"/>
    <n v="2005.9699999999993"/>
  </r>
  <r>
    <s v="4370"/>
    <x v="82"/>
    <x v="2"/>
    <x v="2"/>
    <n v="0"/>
    <n v="0"/>
    <n v="1968.67"/>
  </r>
  <r>
    <s v="4370"/>
    <x v="82"/>
    <x v="2"/>
    <x v="3"/>
    <n v="0"/>
    <n v="0"/>
    <n v="2253.4500000000007"/>
  </r>
  <r>
    <s v="4370"/>
    <x v="82"/>
    <x v="2"/>
    <x v="4"/>
    <n v="0"/>
    <n v="0"/>
    <n v="2026.75"/>
  </r>
  <r>
    <s v="4370"/>
    <x v="82"/>
    <x v="2"/>
    <x v="5"/>
    <n v="0"/>
    <n v="0"/>
    <n v="2026.75"/>
  </r>
  <r>
    <s v="4370"/>
    <x v="82"/>
    <x v="2"/>
    <x v="6"/>
    <n v="0"/>
    <n v="0"/>
    <n v="2026.75"/>
  </r>
  <r>
    <s v="4370"/>
    <x v="82"/>
    <x v="2"/>
    <x v="7"/>
    <n v="0"/>
    <n v="0"/>
    <n v="2026.75"/>
  </r>
  <r>
    <s v="4370"/>
    <x v="82"/>
    <x v="2"/>
    <x v="8"/>
    <n v="0"/>
    <n v="0"/>
    <n v="2026.75"/>
  </r>
  <r>
    <s v="4370"/>
    <x v="82"/>
    <x v="2"/>
    <x v="9"/>
    <n v="0"/>
    <n v="0"/>
    <n v="2026.75"/>
  </r>
  <r>
    <s v="4370"/>
    <x v="82"/>
    <x v="2"/>
    <x v="10"/>
    <n v="0"/>
    <n v="0"/>
    <n v="2026.75"/>
  </r>
  <r>
    <s v="4370"/>
    <x v="82"/>
    <x v="2"/>
    <x v="11"/>
    <n v="0"/>
    <n v="0"/>
    <n v="2026.75"/>
  </r>
  <r>
    <s v="5370"/>
    <x v="108"/>
    <x v="2"/>
    <x v="6"/>
    <n v="0"/>
    <n v="0"/>
    <n v="748.58000000000038"/>
  </r>
  <r>
    <s v="5370"/>
    <x v="108"/>
    <x v="2"/>
    <x v="7"/>
    <n v="0"/>
    <n v="0"/>
    <n v="748.58000000000038"/>
  </r>
  <r>
    <s v="5370"/>
    <x v="108"/>
    <x v="2"/>
    <x v="8"/>
    <n v="0"/>
    <n v="0"/>
    <n v="748.58000000000038"/>
  </r>
  <r>
    <s v="5370"/>
    <x v="108"/>
    <x v="2"/>
    <x v="9"/>
    <n v="0"/>
    <n v="0"/>
    <n v="748.58000000000038"/>
  </r>
  <r>
    <s v="5370"/>
    <x v="108"/>
    <x v="2"/>
    <x v="10"/>
    <n v="0"/>
    <n v="0"/>
    <n v="748.58000000000038"/>
  </r>
  <r>
    <s v="5370"/>
    <x v="108"/>
    <x v="2"/>
    <x v="11"/>
    <n v="0"/>
    <n v="0"/>
    <n v="748.58000000000038"/>
  </r>
  <r>
    <s v="2280"/>
    <x v="53"/>
    <x v="2"/>
    <x v="6"/>
    <n v="0"/>
    <n v="0"/>
    <n v="447.40999999999985"/>
  </r>
  <r>
    <s v="2280"/>
    <x v="53"/>
    <x v="2"/>
    <x v="7"/>
    <n v="0"/>
    <n v="0"/>
    <n v="447.40999999999985"/>
  </r>
  <r>
    <s v="2280"/>
    <x v="53"/>
    <x v="2"/>
    <x v="8"/>
    <n v="0"/>
    <n v="0"/>
    <n v="447.40999999999985"/>
  </r>
  <r>
    <s v="2280"/>
    <x v="53"/>
    <x v="2"/>
    <x v="9"/>
    <n v="0"/>
    <n v="0"/>
    <n v="447.40999999999985"/>
  </r>
  <r>
    <s v="2280"/>
    <x v="53"/>
    <x v="2"/>
    <x v="10"/>
    <n v="0"/>
    <n v="0"/>
    <n v="447.40999999999985"/>
  </r>
  <r>
    <s v="2280"/>
    <x v="53"/>
    <x v="2"/>
    <x v="11"/>
    <n v="0"/>
    <n v="0"/>
    <n v="447.40999999999985"/>
  </r>
  <r>
    <s v="5600"/>
    <x v="124"/>
    <x v="2"/>
    <x v="6"/>
    <n v="0"/>
    <n v="0"/>
    <n v="1688.340000000002"/>
  </r>
  <r>
    <s v="5600"/>
    <x v="124"/>
    <x v="2"/>
    <x v="7"/>
    <n v="0"/>
    <n v="0"/>
    <n v="1688.340000000002"/>
  </r>
  <r>
    <s v="5600"/>
    <x v="124"/>
    <x v="2"/>
    <x v="8"/>
    <n v="0"/>
    <n v="0"/>
    <n v="1688.340000000002"/>
  </r>
  <r>
    <s v="5600"/>
    <x v="124"/>
    <x v="2"/>
    <x v="9"/>
    <n v="0"/>
    <n v="0"/>
    <n v="1688.340000000002"/>
  </r>
  <r>
    <s v="5600"/>
    <x v="124"/>
    <x v="2"/>
    <x v="10"/>
    <n v="0"/>
    <n v="0"/>
    <n v="1688.340000000002"/>
  </r>
  <r>
    <s v="5600"/>
    <x v="124"/>
    <x v="2"/>
    <x v="11"/>
    <n v="0"/>
    <n v="0"/>
    <n v="1688.340000000002"/>
  </r>
  <r>
    <s v="4710"/>
    <x v="87"/>
    <x v="2"/>
    <x v="6"/>
    <n v="0"/>
    <n v="0"/>
    <n v="2617.8199999999997"/>
  </r>
  <r>
    <s v="4710"/>
    <x v="87"/>
    <x v="2"/>
    <x v="7"/>
    <n v="0"/>
    <n v="0"/>
    <n v="2617.8199999999997"/>
  </r>
  <r>
    <s v="4710"/>
    <x v="87"/>
    <x v="2"/>
    <x v="8"/>
    <n v="0"/>
    <n v="0"/>
    <n v="2617.8199999999997"/>
  </r>
  <r>
    <s v="4710"/>
    <x v="87"/>
    <x v="2"/>
    <x v="9"/>
    <n v="0"/>
    <n v="0"/>
    <n v="2617.8199999999997"/>
  </r>
  <r>
    <s v="4710"/>
    <x v="87"/>
    <x v="2"/>
    <x v="10"/>
    <n v="0"/>
    <n v="0"/>
    <n v="2617.8199999999997"/>
  </r>
  <r>
    <s v="4710"/>
    <x v="87"/>
    <x v="2"/>
    <x v="11"/>
    <n v="0"/>
    <n v="0"/>
    <n v="2617.8199999999997"/>
  </r>
  <r>
    <s v="260"/>
    <x v="7"/>
    <x v="2"/>
    <x v="6"/>
    <n v="0"/>
    <n v="0"/>
    <n v="3024.2599999999984"/>
  </r>
  <r>
    <s v="260"/>
    <x v="7"/>
    <x v="2"/>
    <x v="7"/>
    <n v="0"/>
    <n v="0"/>
    <n v="3024.2599999999984"/>
  </r>
  <r>
    <s v="260"/>
    <x v="7"/>
    <x v="2"/>
    <x v="8"/>
    <n v="0"/>
    <n v="0"/>
    <n v="3024.2599999999984"/>
  </r>
  <r>
    <s v="260"/>
    <x v="7"/>
    <x v="2"/>
    <x v="9"/>
    <n v="0"/>
    <n v="0"/>
    <n v="3024.2599999999984"/>
  </r>
  <r>
    <s v="260"/>
    <x v="7"/>
    <x v="2"/>
    <x v="10"/>
    <n v="0"/>
    <n v="0"/>
    <n v="3024.2599999999984"/>
  </r>
  <r>
    <s v="260"/>
    <x v="7"/>
    <x v="2"/>
    <x v="11"/>
    <n v="0"/>
    <n v="0"/>
    <n v="3024.2599999999984"/>
  </r>
  <r>
    <s v="5910"/>
    <x v="151"/>
    <x v="2"/>
    <x v="6"/>
    <n v="0"/>
    <n v="0"/>
    <n v="828.61999999999989"/>
  </r>
  <r>
    <s v="5910"/>
    <x v="151"/>
    <x v="2"/>
    <x v="7"/>
    <n v="0"/>
    <n v="0"/>
    <n v="828.61999999999989"/>
  </r>
  <r>
    <s v="5910"/>
    <x v="151"/>
    <x v="2"/>
    <x v="8"/>
    <n v="0"/>
    <n v="0"/>
    <n v="828.61999999999989"/>
  </r>
  <r>
    <s v="5910"/>
    <x v="151"/>
    <x v="2"/>
    <x v="9"/>
    <n v="0"/>
    <n v="0"/>
    <n v="828.61999999999989"/>
  </r>
  <r>
    <s v="5910"/>
    <x v="151"/>
    <x v="2"/>
    <x v="10"/>
    <n v="0"/>
    <n v="0"/>
    <n v="828.61999999999989"/>
  </r>
  <r>
    <s v="5910"/>
    <x v="151"/>
    <x v="2"/>
    <x v="11"/>
    <n v="0"/>
    <n v="0"/>
    <n v="828.61999999999989"/>
  </r>
  <r>
    <s v="6080"/>
    <x v="177"/>
    <x v="2"/>
    <x v="0"/>
    <n v="0"/>
    <n v="0"/>
    <n v="0"/>
  </r>
  <r>
    <s v="6080"/>
    <x v="177"/>
    <x v="2"/>
    <x v="1"/>
    <n v="0"/>
    <n v="0"/>
    <n v="0"/>
  </r>
  <r>
    <s v="6080"/>
    <x v="177"/>
    <x v="2"/>
    <x v="6"/>
    <n v="0"/>
    <n v="0"/>
    <n v="1724.56"/>
  </r>
  <r>
    <s v="6080"/>
    <x v="177"/>
    <x v="2"/>
    <x v="7"/>
    <n v="0"/>
    <n v="0"/>
    <n v="1724.56"/>
  </r>
  <r>
    <s v="6080"/>
    <x v="177"/>
    <x v="2"/>
    <x v="8"/>
    <n v="0"/>
    <n v="0"/>
    <n v="1724.56"/>
  </r>
  <r>
    <s v="6080"/>
    <x v="177"/>
    <x v="2"/>
    <x v="9"/>
    <n v="0"/>
    <n v="0"/>
    <n v="1724.56"/>
  </r>
  <r>
    <s v="6080"/>
    <x v="177"/>
    <x v="2"/>
    <x v="10"/>
    <n v="0"/>
    <n v="0"/>
    <n v="1724.56"/>
  </r>
  <r>
    <s v="6080"/>
    <x v="177"/>
    <x v="2"/>
    <x v="11"/>
    <n v="0"/>
    <n v="0"/>
    <n v="1724.56"/>
  </r>
  <r>
    <s v="3480"/>
    <x v="64"/>
    <x v="2"/>
    <x v="5"/>
    <n v="0"/>
    <n v="0"/>
    <n v="0"/>
  </r>
  <r>
    <s v="3480"/>
    <x v="64"/>
    <x v="2"/>
    <x v="6"/>
    <n v="0"/>
    <n v="0"/>
    <n v="0"/>
  </r>
  <r>
    <s v="3480"/>
    <x v="64"/>
    <x v="2"/>
    <x v="7"/>
    <n v="0"/>
    <n v="0"/>
    <n v="0"/>
  </r>
  <r>
    <s v="3480"/>
    <x v="64"/>
    <x v="2"/>
    <x v="8"/>
    <n v="0"/>
    <n v="0"/>
    <n v="0"/>
  </r>
  <r>
    <s v="3480"/>
    <x v="64"/>
    <x v="2"/>
    <x v="9"/>
    <n v="0"/>
    <n v="0"/>
    <n v="0"/>
  </r>
  <r>
    <s v="3480"/>
    <x v="64"/>
    <x v="2"/>
    <x v="10"/>
    <n v="0"/>
    <n v="0"/>
    <n v="0"/>
  </r>
  <r>
    <s v="3480"/>
    <x v="64"/>
    <x v="2"/>
    <x v="11"/>
    <n v="0"/>
    <n v="0"/>
    <n v="0"/>
  </r>
  <r>
    <s v="1280"/>
    <x v="33"/>
    <x v="2"/>
    <x v="6"/>
    <n v="0"/>
    <n v="0"/>
    <n v="2149.33"/>
  </r>
  <r>
    <s v="1280"/>
    <x v="33"/>
    <x v="2"/>
    <x v="7"/>
    <n v="0"/>
    <n v="0"/>
    <n v="2149.33"/>
  </r>
  <r>
    <s v="1280"/>
    <x v="33"/>
    <x v="2"/>
    <x v="8"/>
    <n v="0"/>
    <n v="0"/>
    <n v="2149.33"/>
  </r>
  <r>
    <s v="1280"/>
    <x v="33"/>
    <x v="2"/>
    <x v="9"/>
    <n v="0"/>
    <n v="0"/>
    <n v="2149.33"/>
  </r>
  <r>
    <s v="1280"/>
    <x v="33"/>
    <x v="2"/>
    <x v="10"/>
    <n v="0"/>
    <n v="0"/>
    <n v="2149.33"/>
  </r>
  <r>
    <s v="1280"/>
    <x v="33"/>
    <x v="2"/>
    <x v="11"/>
    <n v="0"/>
    <n v="0"/>
    <n v="2149.33"/>
  </r>
  <r>
    <s v="4060"/>
    <x v="72"/>
    <x v="2"/>
    <x v="6"/>
    <n v="0"/>
    <n v="0"/>
    <n v="1166.9800000000014"/>
  </r>
  <r>
    <s v="4060"/>
    <x v="72"/>
    <x v="2"/>
    <x v="7"/>
    <n v="0"/>
    <n v="0"/>
    <n v="1166.9800000000014"/>
  </r>
  <r>
    <s v="4060"/>
    <x v="72"/>
    <x v="2"/>
    <x v="8"/>
    <n v="0"/>
    <n v="0"/>
    <n v="1166.9800000000014"/>
  </r>
  <r>
    <s v="4060"/>
    <x v="72"/>
    <x v="2"/>
    <x v="9"/>
    <n v="0"/>
    <n v="0"/>
    <n v="1166.9800000000014"/>
  </r>
  <r>
    <s v="4060"/>
    <x v="72"/>
    <x v="2"/>
    <x v="10"/>
    <n v="0"/>
    <n v="0"/>
    <n v="1166.9800000000014"/>
  </r>
  <r>
    <s v="4060"/>
    <x v="72"/>
    <x v="2"/>
    <x v="11"/>
    <n v="0"/>
    <n v="0"/>
    <n v="1166.9800000000014"/>
  </r>
  <r>
    <s v="3260"/>
    <x v="61"/>
    <x v="2"/>
    <x v="6"/>
    <n v="0"/>
    <n v="0"/>
    <n v="1196.0800000000008"/>
  </r>
  <r>
    <s v="3260"/>
    <x v="61"/>
    <x v="2"/>
    <x v="7"/>
    <n v="0"/>
    <n v="0"/>
    <n v="1196.0800000000008"/>
  </r>
  <r>
    <s v="3260"/>
    <x v="61"/>
    <x v="2"/>
    <x v="8"/>
    <n v="0"/>
    <n v="0"/>
    <n v="1196.0800000000008"/>
  </r>
  <r>
    <s v="3260"/>
    <x v="61"/>
    <x v="2"/>
    <x v="9"/>
    <n v="0"/>
    <n v="0"/>
    <n v="1196.0800000000008"/>
  </r>
  <r>
    <s v="3260"/>
    <x v="61"/>
    <x v="2"/>
    <x v="10"/>
    <n v="0"/>
    <n v="0"/>
    <n v="1196.0800000000008"/>
  </r>
  <r>
    <s v="3260"/>
    <x v="61"/>
    <x v="2"/>
    <x v="11"/>
    <n v="0"/>
    <n v="0"/>
    <n v="1196.0800000000008"/>
  </r>
  <r>
    <s v="5300"/>
    <x v="103"/>
    <x v="2"/>
    <x v="6"/>
    <n v="0"/>
    <n v="0"/>
    <n v="2203.0700000000015"/>
  </r>
  <r>
    <s v="5300"/>
    <x v="103"/>
    <x v="2"/>
    <x v="7"/>
    <n v="0"/>
    <n v="0"/>
    <n v="2203.0700000000015"/>
  </r>
  <r>
    <s v="5300"/>
    <x v="103"/>
    <x v="2"/>
    <x v="8"/>
    <n v="0"/>
    <n v="0"/>
    <n v="2203.0700000000015"/>
  </r>
  <r>
    <s v="5300"/>
    <x v="103"/>
    <x v="2"/>
    <x v="9"/>
    <n v="0"/>
    <n v="0"/>
    <n v="2203.0700000000015"/>
  </r>
  <r>
    <s v="5300"/>
    <x v="103"/>
    <x v="2"/>
    <x v="10"/>
    <n v="0"/>
    <n v="0"/>
    <n v="2203.0700000000015"/>
  </r>
  <r>
    <s v="5300"/>
    <x v="103"/>
    <x v="2"/>
    <x v="11"/>
    <n v="0"/>
    <n v="0"/>
    <n v="2203.0700000000015"/>
  </r>
  <r>
    <s v="4050"/>
    <x v="71"/>
    <x v="2"/>
    <x v="6"/>
    <n v="0"/>
    <n v="0"/>
    <n v="1492.88"/>
  </r>
  <r>
    <s v="4050"/>
    <x v="71"/>
    <x v="2"/>
    <x v="7"/>
    <n v="0"/>
    <n v="0"/>
    <n v="1492.88"/>
  </r>
  <r>
    <s v="4050"/>
    <x v="71"/>
    <x v="2"/>
    <x v="8"/>
    <n v="0"/>
    <n v="0"/>
    <n v="1492.88"/>
  </r>
  <r>
    <s v="4050"/>
    <x v="71"/>
    <x v="2"/>
    <x v="9"/>
    <n v="0"/>
    <n v="0"/>
    <n v="1492.88"/>
  </r>
  <r>
    <s v="4050"/>
    <x v="71"/>
    <x v="2"/>
    <x v="10"/>
    <n v="0"/>
    <n v="0"/>
    <n v="1492.88"/>
  </r>
  <r>
    <s v="4050"/>
    <x v="71"/>
    <x v="2"/>
    <x v="11"/>
    <n v="0"/>
    <n v="0"/>
    <n v="1492.88"/>
  </r>
  <r>
    <s v="3960"/>
    <x v="68"/>
    <x v="2"/>
    <x v="6"/>
    <n v="0"/>
    <n v="0"/>
    <n v="1845.8900000000003"/>
  </r>
  <r>
    <s v="3960"/>
    <x v="68"/>
    <x v="2"/>
    <x v="7"/>
    <n v="0"/>
    <n v="0"/>
    <n v="1845.8900000000003"/>
  </r>
  <r>
    <s v="3960"/>
    <x v="68"/>
    <x v="2"/>
    <x v="8"/>
    <n v="0"/>
    <n v="0"/>
    <n v="1845.8900000000003"/>
  </r>
  <r>
    <s v="3960"/>
    <x v="68"/>
    <x v="2"/>
    <x v="9"/>
    <n v="0"/>
    <n v="0"/>
    <n v="1845.8900000000003"/>
  </r>
  <r>
    <s v="3960"/>
    <x v="68"/>
    <x v="2"/>
    <x v="10"/>
    <n v="0"/>
    <n v="0"/>
    <n v="1845.8900000000003"/>
  </r>
  <r>
    <s v="3960"/>
    <x v="68"/>
    <x v="2"/>
    <x v="11"/>
    <n v="0"/>
    <n v="0"/>
    <n v="1845.8900000000003"/>
  </r>
  <r>
    <s v="80700"/>
    <x v="182"/>
    <x v="2"/>
    <x v="0"/>
    <n v="0"/>
    <n v="0"/>
    <n v="0"/>
  </r>
  <r>
    <s v="80700"/>
    <x v="182"/>
    <x v="2"/>
    <x v="1"/>
    <n v="0"/>
    <n v="0"/>
    <n v="0"/>
  </r>
  <r>
    <s v="80700"/>
    <x v="182"/>
    <x v="2"/>
    <x v="2"/>
    <n v="0"/>
    <n v="0"/>
    <n v="0"/>
  </r>
  <r>
    <s v="80700"/>
    <x v="182"/>
    <x v="2"/>
    <x v="6"/>
    <n v="0"/>
    <n v="0"/>
    <n v="0"/>
  </r>
  <r>
    <s v="80700"/>
    <x v="182"/>
    <x v="2"/>
    <x v="7"/>
    <n v="0"/>
    <n v="0"/>
    <n v="0"/>
  </r>
  <r>
    <s v="80700"/>
    <x v="182"/>
    <x v="2"/>
    <x v="8"/>
    <n v="0"/>
    <n v="0"/>
    <n v="0"/>
  </r>
  <r>
    <s v="80700"/>
    <x v="182"/>
    <x v="2"/>
    <x v="9"/>
    <n v="0"/>
    <n v="0"/>
    <n v="0"/>
  </r>
  <r>
    <s v="80700"/>
    <x v="182"/>
    <x v="2"/>
    <x v="10"/>
    <n v="0"/>
    <n v="0"/>
    <n v="0"/>
  </r>
  <r>
    <s v="80700"/>
    <x v="182"/>
    <x v="2"/>
    <x v="11"/>
    <n v="0"/>
    <n v="0"/>
    <n v="0"/>
  </r>
  <r>
    <s v="5090"/>
    <x v="98"/>
    <x v="2"/>
    <x v="6"/>
    <n v="0"/>
    <n v="0"/>
    <n v="1436.670000000001"/>
  </r>
  <r>
    <s v="5090"/>
    <x v="98"/>
    <x v="2"/>
    <x v="7"/>
    <n v="0"/>
    <n v="0"/>
    <n v="1436.670000000001"/>
  </r>
  <r>
    <s v="5090"/>
    <x v="98"/>
    <x v="2"/>
    <x v="8"/>
    <n v="0"/>
    <n v="0"/>
    <n v="1436.670000000001"/>
  </r>
  <r>
    <s v="5090"/>
    <x v="98"/>
    <x v="2"/>
    <x v="9"/>
    <n v="0"/>
    <n v="0"/>
    <n v="1436.670000000001"/>
  </r>
  <r>
    <s v="5090"/>
    <x v="98"/>
    <x v="2"/>
    <x v="10"/>
    <n v="0"/>
    <n v="0"/>
    <n v="1436.670000000001"/>
  </r>
  <r>
    <s v="5090"/>
    <x v="98"/>
    <x v="2"/>
    <x v="11"/>
    <n v="0"/>
    <n v="0"/>
    <n v="1436.670000000001"/>
  </r>
  <r>
    <s v="5840"/>
    <x v="144"/>
    <x v="2"/>
    <x v="2"/>
    <n v="0"/>
    <n v="0"/>
    <n v="0"/>
  </r>
  <r>
    <s v="5840"/>
    <x v="144"/>
    <x v="2"/>
    <x v="3"/>
    <n v="0"/>
    <n v="0"/>
    <n v="0"/>
  </r>
  <r>
    <s v="5840"/>
    <x v="144"/>
    <x v="2"/>
    <x v="5"/>
    <n v="0"/>
    <n v="0"/>
    <n v="0"/>
  </r>
  <r>
    <s v="5840"/>
    <x v="144"/>
    <x v="2"/>
    <x v="6"/>
    <n v="0"/>
    <n v="0"/>
    <n v="0"/>
  </r>
  <r>
    <s v="5840"/>
    <x v="144"/>
    <x v="2"/>
    <x v="7"/>
    <n v="0"/>
    <n v="0"/>
    <n v="0"/>
  </r>
  <r>
    <s v="5840"/>
    <x v="144"/>
    <x v="2"/>
    <x v="8"/>
    <n v="0"/>
    <n v="0"/>
    <n v="0"/>
  </r>
  <r>
    <s v="5840"/>
    <x v="144"/>
    <x v="2"/>
    <x v="9"/>
    <n v="0"/>
    <n v="0"/>
    <n v="0"/>
  </r>
  <r>
    <s v="5840"/>
    <x v="144"/>
    <x v="2"/>
    <x v="10"/>
    <n v="0"/>
    <n v="0"/>
    <n v="0"/>
  </r>
  <r>
    <s v="5840"/>
    <x v="144"/>
    <x v="2"/>
    <x v="11"/>
    <n v="0"/>
    <n v="0"/>
    <n v="0"/>
  </r>
  <r>
    <s v="5640"/>
    <x v="127"/>
    <x v="2"/>
    <x v="6"/>
    <n v="0"/>
    <n v="0"/>
    <n v="1141.2400000000007"/>
  </r>
  <r>
    <s v="5640"/>
    <x v="127"/>
    <x v="2"/>
    <x v="7"/>
    <n v="0"/>
    <n v="0"/>
    <n v="1141.2400000000007"/>
  </r>
  <r>
    <s v="5640"/>
    <x v="127"/>
    <x v="2"/>
    <x v="8"/>
    <n v="0"/>
    <n v="0"/>
    <n v="1141.2400000000007"/>
  </r>
  <r>
    <s v="5640"/>
    <x v="127"/>
    <x v="2"/>
    <x v="9"/>
    <n v="0"/>
    <n v="0"/>
    <n v="1141.2400000000007"/>
  </r>
  <r>
    <s v="5640"/>
    <x v="127"/>
    <x v="2"/>
    <x v="10"/>
    <n v="0"/>
    <n v="0"/>
    <n v="1141.2400000000007"/>
  </r>
  <r>
    <s v="5640"/>
    <x v="127"/>
    <x v="2"/>
    <x v="11"/>
    <n v="0"/>
    <n v="0"/>
    <n v="1141.2400000000007"/>
  </r>
  <r>
    <s v="80660"/>
    <x v="163"/>
    <x v="2"/>
    <x v="3"/>
    <n v="0"/>
    <n v="0"/>
    <n v="0"/>
  </r>
  <r>
    <s v="80660"/>
    <x v="163"/>
    <x v="2"/>
    <x v="5"/>
    <n v="0"/>
    <n v="0"/>
    <n v="0"/>
  </r>
  <r>
    <s v="80660"/>
    <x v="163"/>
    <x v="2"/>
    <x v="6"/>
    <n v="0"/>
    <n v="0"/>
    <n v="0"/>
  </r>
  <r>
    <s v="80660"/>
    <x v="163"/>
    <x v="2"/>
    <x v="7"/>
    <n v="0"/>
    <n v="0"/>
    <n v="0"/>
  </r>
  <r>
    <s v="80660"/>
    <x v="163"/>
    <x v="2"/>
    <x v="8"/>
    <n v="0"/>
    <n v="0"/>
    <n v="0"/>
  </r>
  <r>
    <s v="80660"/>
    <x v="163"/>
    <x v="2"/>
    <x v="9"/>
    <n v="0"/>
    <n v="0"/>
    <n v="0"/>
  </r>
  <r>
    <s v="80660"/>
    <x v="163"/>
    <x v="2"/>
    <x v="10"/>
    <n v="0"/>
    <n v="0"/>
    <n v="0"/>
  </r>
  <r>
    <s v="80660"/>
    <x v="163"/>
    <x v="2"/>
    <x v="11"/>
    <n v="0"/>
    <n v="0"/>
    <n v="0"/>
  </r>
  <r>
    <s v="1360"/>
    <x v="37"/>
    <x v="2"/>
    <x v="0"/>
    <n v="0"/>
    <n v="0"/>
    <n v="621.26000000000022"/>
  </r>
  <r>
    <s v="1360"/>
    <x v="37"/>
    <x v="2"/>
    <x v="1"/>
    <n v="0"/>
    <n v="0"/>
    <n v="1114.6100000000001"/>
  </r>
  <r>
    <s v="1360"/>
    <x v="37"/>
    <x v="2"/>
    <x v="2"/>
    <n v="0"/>
    <n v="0"/>
    <n v="1074.6199999999994"/>
  </r>
  <r>
    <s v="1360"/>
    <x v="37"/>
    <x v="2"/>
    <x v="3"/>
    <n v="0"/>
    <n v="0"/>
    <n v="1070.5300000000007"/>
  </r>
  <r>
    <s v="1360"/>
    <x v="37"/>
    <x v="2"/>
    <x v="6"/>
    <n v="0"/>
    <n v="0"/>
    <n v="1081"/>
  </r>
  <r>
    <s v="1360"/>
    <x v="37"/>
    <x v="2"/>
    <x v="7"/>
    <n v="0"/>
    <n v="0"/>
    <n v="1081"/>
  </r>
  <r>
    <s v="1360"/>
    <x v="37"/>
    <x v="2"/>
    <x v="8"/>
    <n v="0"/>
    <n v="0"/>
    <n v="1081"/>
  </r>
  <r>
    <s v="1360"/>
    <x v="37"/>
    <x v="2"/>
    <x v="9"/>
    <n v="0"/>
    <n v="0"/>
    <n v="1081"/>
  </r>
  <r>
    <s v="1360"/>
    <x v="37"/>
    <x v="2"/>
    <x v="10"/>
    <n v="0"/>
    <n v="0"/>
    <n v="1081"/>
  </r>
  <r>
    <s v="1360"/>
    <x v="37"/>
    <x v="2"/>
    <x v="11"/>
    <n v="0"/>
    <n v="0"/>
    <n v="1081"/>
  </r>
  <r>
    <s v="420"/>
    <x v="8"/>
    <x v="2"/>
    <x v="6"/>
    <n v="0"/>
    <n v="0"/>
    <n v="2798.5099999999966"/>
  </r>
  <r>
    <s v="420"/>
    <x v="8"/>
    <x v="2"/>
    <x v="7"/>
    <n v="0"/>
    <n v="0"/>
    <n v="2798.5099999999966"/>
  </r>
  <r>
    <s v="420"/>
    <x v="8"/>
    <x v="2"/>
    <x v="8"/>
    <n v="0"/>
    <n v="0"/>
    <n v="2798.5099999999966"/>
  </r>
  <r>
    <s v="420"/>
    <x v="8"/>
    <x v="2"/>
    <x v="9"/>
    <n v="0"/>
    <n v="0"/>
    <n v="2798.5099999999966"/>
  </r>
  <r>
    <s v="420"/>
    <x v="8"/>
    <x v="2"/>
    <x v="10"/>
    <n v="0"/>
    <n v="0"/>
    <n v="2798.5099999999966"/>
  </r>
  <r>
    <s v="420"/>
    <x v="8"/>
    <x v="2"/>
    <x v="11"/>
    <n v="0"/>
    <n v="0"/>
    <n v="2798.5099999999966"/>
  </r>
  <r>
    <s v="680"/>
    <x v="16"/>
    <x v="2"/>
    <x v="6"/>
    <n v="0"/>
    <n v="0"/>
    <n v="1840.369999999999"/>
  </r>
  <r>
    <s v="680"/>
    <x v="16"/>
    <x v="2"/>
    <x v="7"/>
    <n v="0"/>
    <n v="0"/>
    <n v="1840.369999999999"/>
  </r>
  <r>
    <s v="680"/>
    <x v="16"/>
    <x v="2"/>
    <x v="8"/>
    <n v="0"/>
    <n v="0"/>
    <n v="1840.369999999999"/>
  </r>
  <r>
    <s v="680"/>
    <x v="16"/>
    <x v="2"/>
    <x v="9"/>
    <n v="0"/>
    <n v="0"/>
    <n v="1840.369999999999"/>
  </r>
  <r>
    <s v="680"/>
    <x v="16"/>
    <x v="2"/>
    <x v="10"/>
    <n v="0"/>
    <n v="0"/>
    <n v="1840.369999999999"/>
  </r>
  <r>
    <s v="680"/>
    <x v="16"/>
    <x v="2"/>
    <x v="11"/>
    <n v="0"/>
    <n v="0"/>
    <n v="1840.369999999999"/>
  </r>
  <r>
    <s v="1490"/>
    <x v="42"/>
    <x v="2"/>
    <x v="6"/>
    <n v="0"/>
    <n v="0"/>
    <n v="1322.1200000000008"/>
  </r>
  <r>
    <s v="1490"/>
    <x v="42"/>
    <x v="2"/>
    <x v="7"/>
    <n v="0"/>
    <n v="0"/>
    <n v="1322.1200000000008"/>
  </r>
  <r>
    <s v="1490"/>
    <x v="42"/>
    <x v="2"/>
    <x v="8"/>
    <n v="0"/>
    <n v="0"/>
    <n v="1322.1200000000008"/>
  </r>
  <r>
    <s v="1490"/>
    <x v="42"/>
    <x v="2"/>
    <x v="9"/>
    <n v="0"/>
    <n v="0"/>
    <n v="1322.1200000000008"/>
  </r>
  <r>
    <s v="1490"/>
    <x v="42"/>
    <x v="2"/>
    <x v="10"/>
    <n v="0"/>
    <n v="0"/>
    <n v="1322.1200000000008"/>
  </r>
  <r>
    <s v="1490"/>
    <x v="42"/>
    <x v="2"/>
    <x v="11"/>
    <n v="0"/>
    <n v="0"/>
    <n v="1322.1200000000008"/>
  </r>
  <r>
    <s v="1680"/>
    <x v="46"/>
    <x v="2"/>
    <x v="6"/>
    <n v="0"/>
    <n v="0"/>
    <n v="2705.51"/>
  </r>
  <r>
    <s v="1680"/>
    <x v="46"/>
    <x v="2"/>
    <x v="7"/>
    <n v="0"/>
    <n v="0"/>
    <n v="2705.51"/>
  </r>
  <r>
    <s v="1680"/>
    <x v="46"/>
    <x v="2"/>
    <x v="8"/>
    <n v="0"/>
    <n v="0"/>
    <n v="2705.51"/>
  </r>
  <r>
    <s v="1680"/>
    <x v="46"/>
    <x v="2"/>
    <x v="9"/>
    <n v="0"/>
    <n v="0"/>
    <n v="2705.51"/>
  </r>
  <r>
    <s v="1680"/>
    <x v="46"/>
    <x v="2"/>
    <x v="10"/>
    <n v="0"/>
    <n v="0"/>
    <n v="2705.51"/>
  </r>
  <r>
    <s v="1680"/>
    <x v="46"/>
    <x v="2"/>
    <x v="11"/>
    <n v="0"/>
    <n v="0"/>
    <n v="2705.51"/>
  </r>
  <r>
    <s v="3550"/>
    <x v="65"/>
    <x v="2"/>
    <x v="6"/>
    <n v="0"/>
    <n v="0"/>
    <n v="2283.5200000000004"/>
  </r>
  <r>
    <s v="3550"/>
    <x v="65"/>
    <x v="2"/>
    <x v="7"/>
    <n v="0"/>
    <n v="0"/>
    <n v="2283.5200000000004"/>
  </r>
  <r>
    <s v="3550"/>
    <x v="65"/>
    <x v="2"/>
    <x v="8"/>
    <n v="0"/>
    <n v="0"/>
    <n v="2283.5200000000004"/>
  </r>
  <r>
    <s v="3550"/>
    <x v="65"/>
    <x v="2"/>
    <x v="9"/>
    <n v="0"/>
    <n v="0"/>
    <n v="2283.5200000000004"/>
  </r>
  <r>
    <s v="3550"/>
    <x v="65"/>
    <x v="2"/>
    <x v="10"/>
    <n v="0"/>
    <n v="0"/>
    <n v="2283.5200000000004"/>
  </r>
  <r>
    <s v="3550"/>
    <x v="65"/>
    <x v="2"/>
    <x v="11"/>
    <n v="0"/>
    <n v="0"/>
    <n v="2283.5200000000004"/>
  </r>
  <r>
    <s v="3970"/>
    <x v="69"/>
    <x v="2"/>
    <x v="6"/>
    <n v="0"/>
    <n v="0"/>
    <n v="2012.8899999999994"/>
  </r>
  <r>
    <s v="3970"/>
    <x v="69"/>
    <x v="2"/>
    <x v="7"/>
    <n v="0"/>
    <n v="0"/>
    <n v="2012.8899999999994"/>
  </r>
  <r>
    <s v="3970"/>
    <x v="69"/>
    <x v="2"/>
    <x v="8"/>
    <n v="0"/>
    <n v="0"/>
    <n v="2012.8899999999994"/>
  </r>
  <r>
    <s v="3970"/>
    <x v="69"/>
    <x v="2"/>
    <x v="9"/>
    <n v="0"/>
    <n v="0"/>
    <n v="2012.8899999999994"/>
  </r>
  <r>
    <s v="3970"/>
    <x v="69"/>
    <x v="2"/>
    <x v="10"/>
    <n v="0"/>
    <n v="0"/>
    <n v="2012.8899999999994"/>
  </r>
  <r>
    <s v="3970"/>
    <x v="69"/>
    <x v="2"/>
    <x v="11"/>
    <n v="0"/>
    <n v="0"/>
    <n v="2012.8899999999994"/>
  </r>
  <r>
    <s v="4510"/>
    <x v="84"/>
    <x v="2"/>
    <x v="6"/>
    <n v="0"/>
    <n v="0"/>
    <n v="567.99999999999955"/>
  </r>
  <r>
    <s v="4510"/>
    <x v="84"/>
    <x v="2"/>
    <x v="7"/>
    <n v="0"/>
    <n v="0"/>
    <n v="567.99999999999955"/>
  </r>
  <r>
    <s v="4510"/>
    <x v="84"/>
    <x v="2"/>
    <x v="8"/>
    <n v="0"/>
    <n v="0"/>
    <n v="567.99999999999955"/>
  </r>
  <r>
    <s v="4510"/>
    <x v="84"/>
    <x v="2"/>
    <x v="9"/>
    <n v="0"/>
    <n v="0"/>
    <n v="567.99999999999955"/>
  </r>
  <r>
    <s v="4510"/>
    <x v="84"/>
    <x v="2"/>
    <x v="10"/>
    <n v="0"/>
    <n v="0"/>
    <n v="567.99999999999955"/>
  </r>
  <r>
    <s v="4510"/>
    <x v="84"/>
    <x v="2"/>
    <x v="11"/>
    <n v="0"/>
    <n v="0"/>
    <n v="567.99999999999955"/>
  </r>
  <r>
    <s v="5580"/>
    <x v="122"/>
    <x v="2"/>
    <x v="6"/>
    <n v="0"/>
    <n v="0"/>
    <n v="1488.5900000000001"/>
  </r>
  <r>
    <s v="5580"/>
    <x v="122"/>
    <x v="2"/>
    <x v="7"/>
    <n v="0"/>
    <n v="0"/>
    <n v="1488.5900000000001"/>
  </r>
  <r>
    <s v="5580"/>
    <x v="122"/>
    <x v="2"/>
    <x v="8"/>
    <n v="0"/>
    <n v="0"/>
    <n v="1488.5900000000001"/>
  </r>
  <r>
    <s v="5580"/>
    <x v="122"/>
    <x v="2"/>
    <x v="9"/>
    <n v="0"/>
    <n v="0"/>
    <n v="1488.5900000000001"/>
  </r>
  <r>
    <s v="5580"/>
    <x v="122"/>
    <x v="2"/>
    <x v="10"/>
    <n v="0"/>
    <n v="0"/>
    <n v="1488.5900000000001"/>
  </r>
  <r>
    <s v="5580"/>
    <x v="122"/>
    <x v="2"/>
    <x v="11"/>
    <n v="0"/>
    <n v="0"/>
    <n v="1488.5900000000001"/>
  </r>
  <r>
    <s v="80670"/>
    <x v="164"/>
    <x v="2"/>
    <x v="3"/>
    <n v="0"/>
    <n v="0"/>
    <n v="0"/>
  </r>
  <r>
    <s v="80670"/>
    <x v="164"/>
    <x v="2"/>
    <x v="5"/>
    <n v="0"/>
    <n v="0"/>
    <n v="0"/>
  </r>
  <r>
    <s v="80670"/>
    <x v="164"/>
    <x v="2"/>
    <x v="6"/>
    <n v="0"/>
    <n v="0"/>
    <n v="0"/>
  </r>
  <r>
    <s v="80670"/>
    <x v="164"/>
    <x v="2"/>
    <x v="7"/>
    <n v="0"/>
    <n v="0"/>
    <n v="0"/>
  </r>
  <r>
    <s v="80670"/>
    <x v="164"/>
    <x v="2"/>
    <x v="8"/>
    <n v="0"/>
    <n v="0"/>
    <n v="0"/>
  </r>
  <r>
    <s v="80670"/>
    <x v="164"/>
    <x v="2"/>
    <x v="9"/>
    <n v="0"/>
    <n v="0"/>
    <n v="0"/>
  </r>
  <r>
    <s v="80670"/>
    <x v="164"/>
    <x v="2"/>
    <x v="10"/>
    <n v="0"/>
    <n v="0"/>
    <n v="0"/>
  </r>
  <r>
    <s v="80670"/>
    <x v="164"/>
    <x v="2"/>
    <x v="11"/>
    <n v="0"/>
    <n v="0"/>
    <n v="0"/>
  </r>
  <r>
    <s v="6110"/>
    <x v="164"/>
    <x v="2"/>
    <x v="0"/>
    <n v="0"/>
    <n v="0"/>
    <n v="0"/>
  </r>
  <r>
    <s v="6110"/>
    <x v="164"/>
    <x v="2"/>
    <x v="1"/>
    <n v="0"/>
    <n v="0"/>
    <n v="0"/>
  </r>
  <r>
    <s v="6110"/>
    <x v="164"/>
    <x v="2"/>
    <x v="6"/>
    <n v="0"/>
    <n v="0"/>
    <n v="1306.8500000000001"/>
  </r>
  <r>
    <s v="6110"/>
    <x v="164"/>
    <x v="2"/>
    <x v="7"/>
    <n v="0"/>
    <n v="0"/>
    <n v="1306.8500000000001"/>
  </r>
  <r>
    <s v="6110"/>
    <x v="164"/>
    <x v="2"/>
    <x v="8"/>
    <n v="0"/>
    <n v="0"/>
    <n v="1306.8500000000001"/>
  </r>
  <r>
    <s v="6110"/>
    <x v="164"/>
    <x v="2"/>
    <x v="9"/>
    <n v="0"/>
    <n v="0"/>
    <n v="1306.8500000000001"/>
  </r>
  <r>
    <s v="6110"/>
    <x v="164"/>
    <x v="2"/>
    <x v="10"/>
    <n v="0"/>
    <n v="0"/>
    <n v="1306.8500000000001"/>
  </r>
  <r>
    <s v="6110"/>
    <x v="164"/>
    <x v="2"/>
    <x v="11"/>
    <n v="0"/>
    <n v="0"/>
    <n v="1306.8500000000001"/>
  </r>
  <r>
    <s v="5290"/>
    <x v="102"/>
    <x v="2"/>
    <x v="0"/>
    <n v="0"/>
    <n v="0"/>
    <n v="1306.75"/>
  </r>
  <r>
    <s v="5290"/>
    <x v="102"/>
    <x v="2"/>
    <x v="1"/>
    <n v="0"/>
    <n v="0"/>
    <n v="1156.8699999999999"/>
  </r>
  <r>
    <s v="5290"/>
    <x v="102"/>
    <x v="2"/>
    <x v="2"/>
    <n v="0"/>
    <n v="0"/>
    <n v="1294.7100000000005"/>
  </r>
  <r>
    <s v="5290"/>
    <x v="102"/>
    <x v="2"/>
    <x v="3"/>
    <n v="0"/>
    <n v="0"/>
    <n v="1531.0099999999998"/>
  </r>
  <r>
    <s v="5290"/>
    <x v="102"/>
    <x v="2"/>
    <x v="6"/>
    <n v="0"/>
    <n v="0"/>
    <n v="1235.9600000000009"/>
  </r>
  <r>
    <s v="5290"/>
    <x v="102"/>
    <x v="2"/>
    <x v="7"/>
    <n v="0"/>
    <n v="0"/>
    <n v="1235.9600000000009"/>
  </r>
  <r>
    <s v="5290"/>
    <x v="102"/>
    <x v="2"/>
    <x v="8"/>
    <n v="0"/>
    <n v="0"/>
    <n v="1235.9600000000009"/>
  </r>
  <r>
    <s v="5290"/>
    <x v="102"/>
    <x v="2"/>
    <x v="9"/>
    <n v="0"/>
    <n v="0"/>
    <n v="1235.9600000000009"/>
  </r>
  <r>
    <s v="5290"/>
    <x v="102"/>
    <x v="2"/>
    <x v="10"/>
    <n v="0"/>
    <n v="0"/>
    <n v="1235.9600000000009"/>
  </r>
  <r>
    <s v="5290"/>
    <x v="102"/>
    <x v="2"/>
    <x v="11"/>
    <n v="0"/>
    <n v="0"/>
    <n v="1235.9600000000009"/>
  </r>
  <r>
    <s v="310"/>
    <x v="9"/>
    <x v="3"/>
    <x v="6"/>
    <n v="0"/>
    <n v="0"/>
    <n v="2419.6519999999991"/>
  </r>
  <r>
    <s v="310"/>
    <x v="9"/>
    <x v="3"/>
    <x v="7"/>
    <n v="0"/>
    <n v="0"/>
    <n v="2419.6519999999991"/>
  </r>
  <r>
    <s v="310"/>
    <x v="9"/>
    <x v="3"/>
    <x v="8"/>
    <n v="0"/>
    <n v="0"/>
    <n v="2419.6519999999991"/>
  </r>
  <r>
    <s v="310"/>
    <x v="9"/>
    <x v="3"/>
    <x v="9"/>
    <n v="0"/>
    <n v="0"/>
    <n v="2419.6519999999991"/>
  </r>
  <r>
    <s v="310"/>
    <x v="9"/>
    <x v="3"/>
    <x v="10"/>
    <n v="0"/>
    <n v="0"/>
    <n v="2419.6519999999991"/>
  </r>
  <r>
    <s v="310"/>
    <x v="9"/>
    <x v="3"/>
    <x v="11"/>
    <n v="0"/>
    <n v="0"/>
    <n v="2419.6519999999991"/>
  </r>
  <r>
    <s v="640"/>
    <x v="10"/>
    <x v="3"/>
    <x v="6"/>
    <n v="0"/>
    <n v="0"/>
    <n v="2185.9479999999994"/>
  </r>
  <r>
    <s v="640"/>
    <x v="10"/>
    <x v="3"/>
    <x v="7"/>
    <n v="0"/>
    <n v="0"/>
    <n v="2185.9479999999994"/>
  </r>
  <r>
    <s v="640"/>
    <x v="10"/>
    <x v="3"/>
    <x v="8"/>
    <n v="0"/>
    <n v="0"/>
    <n v="2185.9479999999994"/>
  </r>
  <r>
    <s v="640"/>
    <x v="10"/>
    <x v="3"/>
    <x v="9"/>
    <n v="0"/>
    <n v="0"/>
    <n v="2185.9479999999994"/>
  </r>
  <r>
    <s v="640"/>
    <x v="10"/>
    <x v="3"/>
    <x v="10"/>
    <n v="0"/>
    <n v="0"/>
    <n v="2185.9479999999994"/>
  </r>
  <r>
    <s v="640"/>
    <x v="10"/>
    <x v="3"/>
    <x v="11"/>
    <n v="0"/>
    <n v="0"/>
    <n v="2185.9479999999994"/>
  </r>
  <r>
    <s v="5670"/>
    <x v="129"/>
    <x v="8"/>
    <x v="6"/>
    <n v="0"/>
    <n v="0"/>
    <n v="1508.9959999999999"/>
  </r>
  <r>
    <s v="5670"/>
    <x v="129"/>
    <x v="8"/>
    <x v="7"/>
    <n v="0"/>
    <n v="0"/>
    <n v="1508.9959999999999"/>
  </r>
  <r>
    <s v="5670"/>
    <x v="129"/>
    <x v="8"/>
    <x v="8"/>
    <n v="0"/>
    <n v="0"/>
    <n v="1508.9959999999999"/>
  </r>
  <r>
    <s v="5670"/>
    <x v="129"/>
    <x v="8"/>
    <x v="9"/>
    <n v="0"/>
    <n v="0"/>
    <n v="1508.9959999999999"/>
  </r>
  <r>
    <s v="5670"/>
    <x v="129"/>
    <x v="8"/>
    <x v="10"/>
    <n v="0"/>
    <n v="0"/>
    <n v="1508.9959999999999"/>
  </r>
  <r>
    <s v="5670"/>
    <x v="129"/>
    <x v="8"/>
    <x v="11"/>
    <n v="0"/>
    <n v="0"/>
    <n v="1508.9959999999999"/>
  </r>
  <r>
    <s v="5780"/>
    <x v="138"/>
    <x v="8"/>
    <x v="6"/>
    <n v="0"/>
    <n v="0"/>
    <n v="1655.8700000000003"/>
  </r>
  <r>
    <s v="5780"/>
    <x v="138"/>
    <x v="8"/>
    <x v="7"/>
    <n v="0"/>
    <n v="0"/>
    <n v="1655.8700000000003"/>
  </r>
  <r>
    <s v="5780"/>
    <x v="138"/>
    <x v="8"/>
    <x v="8"/>
    <n v="0"/>
    <n v="0"/>
    <n v="1655.8700000000003"/>
  </r>
  <r>
    <s v="5780"/>
    <x v="138"/>
    <x v="8"/>
    <x v="9"/>
    <n v="0"/>
    <n v="0"/>
    <n v="1655.8700000000003"/>
  </r>
  <r>
    <s v="5780"/>
    <x v="138"/>
    <x v="8"/>
    <x v="10"/>
    <n v="0"/>
    <n v="0"/>
    <n v="1655.8700000000003"/>
  </r>
  <r>
    <s v="5780"/>
    <x v="138"/>
    <x v="8"/>
    <x v="11"/>
    <n v="0"/>
    <n v="0"/>
    <n v="1655.8700000000003"/>
  </r>
  <r>
    <s v="5720"/>
    <x v="133"/>
    <x v="8"/>
    <x v="6"/>
    <n v="0"/>
    <n v="0"/>
    <n v="1372.8659999999998"/>
  </r>
  <r>
    <s v="5720"/>
    <x v="133"/>
    <x v="8"/>
    <x v="7"/>
    <n v="0"/>
    <n v="0"/>
    <n v="1372.8659999999998"/>
  </r>
  <r>
    <s v="5720"/>
    <x v="133"/>
    <x v="8"/>
    <x v="8"/>
    <n v="0"/>
    <n v="0"/>
    <n v="1372.8659999999998"/>
  </r>
  <r>
    <s v="5720"/>
    <x v="133"/>
    <x v="8"/>
    <x v="9"/>
    <n v="0"/>
    <n v="0"/>
    <n v="1372.8659999999998"/>
  </r>
  <r>
    <s v="5720"/>
    <x v="133"/>
    <x v="8"/>
    <x v="10"/>
    <n v="0"/>
    <n v="0"/>
    <n v="1372.8659999999998"/>
  </r>
  <r>
    <s v="5720"/>
    <x v="133"/>
    <x v="8"/>
    <x v="11"/>
    <n v="0"/>
    <n v="0"/>
    <n v="1372.8659999999998"/>
  </r>
  <r>
    <s v="80620"/>
    <x v="159"/>
    <x v="8"/>
    <x v="2"/>
    <n v="0"/>
    <n v="0"/>
    <n v="0"/>
  </r>
  <r>
    <s v="80620"/>
    <x v="159"/>
    <x v="8"/>
    <x v="3"/>
    <n v="0"/>
    <n v="0"/>
    <n v="0"/>
  </r>
  <r>
    <s v="80620"/>
    <x v="159"/>
    <x v="8"/>
    <x v="4"/>
    <n v="0"/>
    <n v="0"/>
    <n v="0"/>
  </r>
  <r>
    <s v="80680"/>
    <x v="165"/>
    <x v="8"/>
    <x v="2"/>
    <n v="0"/>
    <n v="0"/>
    <n v="0"/>
  </r>
  <r>
    <s v="80680"/>
    <x v="165"/>
    <x v="8"/>
    <x v="3"/>
    <n v="0"/>
    <n v="0"/>
    <n v="0"/>
  </r>
  <r>
    <s v="80680"/>
    <x v="165"/>
    <x v="8"/>
    <x v="4"/>
    <n v="0"/>
    <n v="0"/>
    <n v="0"/>
  </r>
  <r>
    <s v="1230"/>
    <x v="31"/>
    <x v="8"/>
    <x v="6"/>
    <n v="0"/>
    <n v="0"/>
    <n v="1703.6120000000005"/>
  </r>
  <r>
    <s v="1230"/>
    <x v="31"/>
    <x v="8"/>
    <x v="7"/>
    <n v="0"/>
    <n v="0"/>
    <n v="1703.6120000000005"/>
  </r>
  <r>
    <s v="1230"/>
    <x v="31"/>
    <x v="8"/>
    <x v="8"/>
    <n v="0"/>
    <n v="0"/>
    <n v="1703.6120000000005"/>
  </r>
  <r>
    <s v="1230"/>
    <x v="31"/>
    <x v="8"/>
    <x v="9"/>
    <n v="0"/>
    <n v="0"/>
    <n v="1703.6120000000005"/>
  </r>
  <r>
    <s v="1230"/>
    <x v="31"/>
    <x v="8"/>
    <x v="10"/>
    <n v="0"/>
    <n v="0"/>
    <n v="1703.6120000000005"/>
  </r>
  <r>
    <s v="1230"/>
    <x v="31"/>
    <x v="8"/>
    <x v="11"/>
    <n v="0"/>
    <n v="0"/>
    <n v="1703.6120000000005"/>
  </r>
  <r>
    <s v="5890"/>
    <x v="149"/>
    <x v="8"/>
    <x v="3"/>
    <n v="0"/>
    <n v="0"/>
    <n v="0"/>
  </r>
  <r>
    <s v="5760"/>
    <x v="136"/>
    <x v="8"/>
    <x v="6"/>
    <n v="0"/>
    <n v="0"/>
    <n v="0"/>
  </r>
  <r>
    <s v="5760"/>
    <x v="136"/>
    <x v="8"/>
    <x v="7"/>
    <n v="0"/>
    <n v="0"/>
    <n v="0"/>
  </r>
  <r>
    <s v="5760"/>
    <x v="136"/>
    <x v="8"/>
    <x v="8"/>
    <n v="0"/>
    <n v="0"/>
    <n v="0"/>
  </r>
  <r>
    <s v="5760"/>
    <x v="136"/>
    <x v="8"/>
    <x v="9"/>
    <n v="0"/>
    <n v="0"/>
    <n v="0"/>
  </r>
  <r>
    <s v="5760"/>
    <x v="136"/>
    <x v="8"/>
    <x v="10"/>
    <n v="0"/>
    <n v="0"/>
    <n v="0"/>
  </r>
  <r>
    <s v="5760"/>
    <x v="136"/>
    <x v="8"/>
    <x v="11"/>
    <n v="0"/>
    <n v="0"/>
    <n v="0"/>
  </r>
  <r>
    <s v="5440"/>
    <x v="113"/>
    <x v="8"/>
    <x v="2"/>
    <n v="0"/>
    <n v="0"/>
    <n v="0"/>
  </r>
  <r>
    <s v="5440"/>
    <x v="113"/>
    <x v="8"/>
    <x v="3"/>
    <n v="0"/>
    <n v="0"/>
    <n v="0"/>
  </r>
  <r>
    <s v="5440"/>
    <x v="113"/>
    <x v="8"/>
    <x v="4"/>
    <n v="0"/>
    <n v="0"/>
    <n v="0"/>
  </r>
  <r>
    <s v="5960"/>
    <x v="154"/>
    <x v="8"/>
    <x v="0"/>
    <n v="0"/>
    <n v="0"/>
    <n v="566.08000000000004"/>
  </r>
  <r>
    <s v="5960"/>
    <x v="154"/>
    <x v="8"/>
    <x v="6"/>
    <n v="0"/>
    <n v="0"/>
    <n v="1338.6000000000001"/>
  </r>
  <r>
    <s v="5960"/>
    <x v="154"/>
    <x v="8"/>
    <x v="7"/>
    <n v="0"/>
    <n v="0"/>
    <n v="1338.6000000000001"/>
  </r>
  <r>
    <s v="5960"/>
    <x v="154"/>
    <x v="8"/>
    <x v="8"/>
    <n v="0"/>
    <n v="0"/>
    <n v="1338.6000000000001"/>
  </r>
  <r>
    <s v="5960"/>
    <x v="154"/>
    <x v="8"/>
    <x v="9"/>
    <n v="0"/>
    <n v="0"/>
    <n v="1338.6000000000001"/>
  </r>
  <r>
    <s v="5960"/>
    <x v="154"/>
    <x v="8"/>
    <x v="10"/>
    <n v="0"/>
    <n v="0"/>
    <n v="1338.6000000000001"/>
  </r>
  <r>
    <s v="5960"/>
    <x v="154"/>
    <x v="8"/>
    <x v="11"/>
    <n v="0"/>
    <n v="0"/>
    <n v="1338.6000000000001"/>
  </r>
  <r>
    <s v="80770"/>
    <x v="188"/>
    <x v="8"/>
    <x v="0"/>
    <n v="0"/>
    <n v="0"/>
    <n v="0"/>
  </r>
  <r>
    <s v="80770"/>
    <x v="188"/>
    <x v="8"/>
    <x v="1"/>
    <n v="0"/>
    <n v="0"/>
    <n v="0"/>
  </r>
  <r>
    <s v="80770"/>
    <x v="188"/>
    <x v="8"/>
    <x v="2"/>
    <n v="0"/>
    <n v="0"/>
    <n v="0"/>
  </r>
  <r>
    <s v="80770"/>
    <x v="188"/>
    <x v="8"/>
    <x v="6"/>
    <n v="0"/>
    <n v="0"/>
    <n v="500"/>
  </r>
  <r>
    <s v="80770"/>
    <x v="188"/>
    <x v="8"/>
    <x v="7"/>
    <n v="0"/>
    <n v="0"/>
    <n v="500"/>
  </r>
  <r>
    <s v="80770"/>
    <x v="188"/>
    <x v="8"/>
    <x v="8"/>
    <n v="0"/>
    <n v="0"/>
    <n v="500"/>
  </r>
  <r>
    <s v="80770"/>
    <x v="188"/>
    <x v="8"/>
    <x v="9"/>
    <n v="0"/>
    <n v="0"/>
    <n v="500"/>
  </r>
  <r>
    <s v="80770"/>
    <x v="188"/>
    <x v="8"/>
    <x v="10"/>
    <n v="0"/>
    <n v="0"/>
    <n v="500"/>
  </r>
  <r>
    <s v="80770"/>
    <x v="188"/>
    <x v="8"/>
    <x v="11"/>
    <n v="0"/>
    <n v="0"/>
    <n v="500"/>
  </r>
  <r>
    <s v="6150"/>
    <x v="104"/>
    <x v="8"/>
    <x v="0"/>
    <n v="0"/>
    <n v="0"/>
    <n v="1023.02"/>
  </r>
  <r>
    <s v="6150"/>
    <x v="104"/>
    <x v="8"/>
    <x v="1"/>
    <n v="0"/>
    <n v="0"/>
    <n v="1529.0099999999998"/>
  </r>
  <r>
    <s v="6150"/>
    <x v="104"/>
    <x v="8"/>
    <x v="2"/>
    <n v="0"/>
    <n v="0"/>
    <n v="0"/>
  </r>
  <r>
    <s v="6150"/>
    <x v="104"/>
    <x v="8"/>
    <x v="3"/>
    <n v="0"/>
    <n v="0"/>
    <n v="0"/>
  </r>
  <r>
    <s v="6150"/>
    <x v="104"/>
    <x v="8"/>
    <x v="6"/>
    <n v="0"/>
    <n v="0"/>
    <n v="1115.03"/>
  </r>
  <r>
    <s v="6150"/>
    <x v="104"/>
    <x v="8"/>
    <x v="7"/>
    <n v="0"/>
    <n v="0"/>
    <n v="1115.03"/>
  </r>
  <r>
    <s v="6150"/>
    <x v="104"/>
    <x v="8"/>
    <x v="8"/>
    <n v="0"/>
    <n v="0"/>
    <n v="1115.03"/>
  </r>
  <r>
    <s v="6150"/>
    <x v="104"/>
    <x v="8"/>
    <x v="9"/>
    <n v="0"/>
    <n v="0"/>
    <n v="1115.03"/>
  </r>
  <r>
    <s v="6150"/>
    <x v="104"/>
    <x v="8"/>
    <x v="10"/>
    <n v="0"/>
    <n v="0"/>
    <n v="1115.03"/>
  </r>
  <r>
    <s v="6150"/>
    <x v="104"/>
    <x v="8"/>
    <x v="11"/>
    <n v="0"/>
    <n v="0"/>
    <n v="1115.03"/>
  </r>
  <r>
    <s v="6130"/>
    <x v="157"/>
    <x v="8"/>
    <x v="0"/>
    <n v="0"/>
    <n v="0"/>
    <n v="516.08000000000004"/>
  </r>
  <r>
    <s v="6130"/>
    <x v="157"/>
    <x v="8"/>
    <x v="1"/>
    <n v="0"/>
    <n v="0"/>
    <n v="516.08000000000004"/>
  </r>
  <r>
    <s v="6130"/>
    <x v="157"/>
    <x v="8"/>
    <x v="2"/>
    <n v="0"/>
    <n v="0"/>
    <n v="516.07999999999993"/>
  </r>
  <r>
    <s v="6130"/>
    <x v="157"/>
    <x v="8"/>
    <x v="4"/>
    <n v="0"/>
    <n v="0"/>
    <n v="0"/>
  </r>
  <r>
    <s v="80720"/>
    <x v="183"/>
    <x v="8"/>
    <x v="0"/>
    <n v="0"/>
    <n v="0"/>
    <n v="0"/>
  </r>
  <r>
    <s v="80720"/>
    <x v="183"/>
    <x v="8"/>
    <x v="1"/>
    <n v="0"/>
    <n v="0"/>
    <n v="0"/>
  </r>
  <r>
    <s v="80720"/>
    <x v="183"/>
    <x v="8"/>
    <x v="2"/>
    <n v="0"/>
    <n v="0"/>
    <n v="0"/>
  </r>
  <r>
    <s v="80720"/>
    <x v="183"/>
    <x v="8"/>
    <x v="6"/>
    <n v="0"/>
    <n v="0"/>
    <n v="500"/>
  </r>
  <r>
    <s v="80720"/>
    <x v="183"/>
    <x v="8"/>
    <x v="7"/>
    <n v="0"/>
    <n v="0"/>
    <n v="500"/>
  </r>
  <r>
    <s v="80720"/>
    <x v="183"/>
    <x v="8"/>
    <x v="8"/>
    <n v="0"/>
    <n v="0"/>
    <n v="500"/>
  </r>
  <r>
    <s v="80720"/>
    <x v="183"/>
    <x v="8"/>
    <x v="9"/>
    <n v="0"/>
    <n v="0"/>
    <n v="500"/>
  </r>
  <r>
    <s v="80720"/>
    <x v="183"/>
    <x v="8"/>
    <x v="10"/>
    <n v="0"/>
    <n v="0"/>
    <n v="500"/>
  </r>
  <r>
    <s v="80720"/>
    <x v="183"/>
    <x v="8"/>
    <x v="11"/>
    <n v="0"/>
    <n v="0"/>
    <n v="500"/>
  </r>
  <r>
    <s v="5460"/>
    <x v="114"/>
    <x v="8"/>
    <x v="0"/>
    <n v="0"/>
    <n v="0"/>
    <n v="0"/>
  </r>
  <r>
    <s v="5460"/>
    <x v="114"/>
    <x v="8"/>
    <x v="3"/>
    <n v="0"/>
    <n v="0"/>
    <n v="0"/>
  </r>
  <r>
    <s v="5460"/>
    <x v="114"/>
    <x v="8"/>
    <x v="4"/>
    <n v="0"/>
    <n v="0"/>
    <n v="0"/>
  </r>
  <r>
    <s v="5350"/>
    <x v="107"/>
    <x v="8"/>
    <x v="6"/>
    <n v="0"/>
    <n v="0"/>
    <n v="1623.77"/>
  </r>
  <r>
    <s v="5350"/>
    <x v="107"/>
    <x v="8"/>
    <x v="7"/>
    <n v="0"/>
    <n v="0"/>
    <n v="1623.77"/>
  </r>
  <r>
    <s v="5350"/>
    <x v="107"/>
    <x v="8"/>
    <x v="8"/>
    <n v="0"/>
    <n v="0"/>
    <n v="1623.77"/>
  </r>
  <r>
    <s v="5350"/>
    <x v="107"/>
    <x v="8"/>
    <x v="9"/>
    <n v="0"/>
    <n v="0"/>
    <n v="1623.77"/>
  </r>
  <r>
    <s v="5350"/>
    <x v="107"/>
    <x v="8"/>
    <x v="10"/>
    <n v="0"/>
    <n v="0"/>
    <n v="1623.77"/>
  </r>
  <r>
    <s v="5350"/>
    <x v="107"/>
    <x v="8"/>
    <x v="11"/>
    <n v="0"/>
    <n v="0"/>
    <n v="1623.77"/>
  </r>
  <r>
    <s v="80600"/>
    <x v="193"/>
    <x v="8"/>
    <x v="0"/>
    <n v="0"/>
    <n v="0"/>
    <n v="0"/>
  </r>
  <r>
    <s v="80600"/>
    <x v="193"/>
    <x v="8"/>
    <x v="1"/>
    <n v="0"/>
    <n v="0"/>
    <n v="0"/>
  </r>
  <r>
    <s v="80600"/>
    <x v="193"/>
    <x v="8"/>
    <x v="2"/>
    <n v="0"/>
    <n v="0"/>
    <n v="0"/>
  </r>
  <r>
    <s v="80600"/>
    <x v="193"/>
    <x v="8"/>
    <x v="3"/>
    <n v="0"/>
    <n v="0"/>
    <n v="0"/>
  </r>
  <r>
    <s v="80600"/>
    <x v="193"/>
    <x v="8"/>
    <x v="4"/>
    <n v="0"/>
    <n v="0"/>
    <n v="0"/>
  </r>
  <r>
    <s v="80750"/>
    <x v="186"/>
    <x v="8"/>
    <x v="0"/>
    <n v="0"/>
    <n v="0"/>
    <n v="0"/>
  </r>
  <r>
    <s v="80750"/>
    <x v="186"/>
    <x v="8"/>
    <x v="1"/>
    <n v="0"/>
    <n v="0"/>
    <n v="0"/>
  </r>
  <r>
    <s v="80750"/>
    <x v="186"/>
    <x v="8"/>
    <x v="2"/>
    <n v="0"/>
    <n v="0"/>
    <n v="0"/>
  </r>
  <r>
    <s v="80750"/>
    <x v="186"/>
    <x v="8"/>
    <x v="6"/>
    <n v="0"/>
    <n v="0"/>
    <n v="500"/>
  </r>
  <r>
    <s v="80750"/>
    <x v="186"/>
    <x v="8"/>
    <x v="7"/>
    <n v="0"/>
    <n v="0"/>
    <n v="500"/>
  </r>
  <r>
    <s v="80750"/>
    <x v="186"/>
    <x v="8"/>
    <x v="8"/>
    <n v="0"/>
    <n v="0"/>
    <n v="500"/>
  </r>
  <r>
    <s v="80750"/>
    <x v="186"/>
    <x v="8"/>
    <x v="9"/>
    <n v="0"/>
    <n v="0"/>
    <n v="500"/>
  </r>
  <r>
    <s v="80750"/>
    <x v="186"/>
    <x v="8"/>
    <x v="10"/>
    <n v="0"/>
    <n v="0"/>
    <n v="500"/>
  </r>
  <r>
    <s v="80750"/>
    <x v="186"/>
    <x v="8"/>
    <x v="11"/>
    <n v="0"/>
    <n v="0"/>
    <n v="500"/>
  </r>
  <r>
    <s v="80780"/>
    <x v="189"/>
    <x v="8"/>
    <x v="0"/>
    <n v="0"/>
    <n v="0"/>
    <n v="0"/>
  </r>
  <r>
    <s v="80780"/>
    <x v="189"/>
    <x v="8"/>
    <x v="1"/>
    <n v="0"/>
    <n v="0"/>
    <n v="0"/>
  </r>
  <r>
    <s v="80780"/>
    <x v="189"/>
    <x v="8"/>
    <x v="2"/>
    <n v="0"/>
    <n v="0"/>
    <n v="0"/>
  </r>
  <r>
    <s v="80780"/>
    <x v="189"/>
    <x v="8"/>
    <x v="3"/>
    <n v="0"/>
    <n v="0"/>
    <n v="0"/>
  </r>
  <r>
    <s v="80780"/>
    <x v="189"/>
    <x v="8"/>
    <x v="6"/>
    <n v="0"/>
    <n v="0"/>
    <n v="500"/>
  </r>
  <r>
    <s v="80780"/>
    <x v="189"/>
    <x v="8"/>
    <x v="7"/>
    <n v="0"/>
    <n v="0"/>
    <n v="500"/>
  </r>
  <r>
    <s v="80780"/>
    <x v="189"/>
    <x v="8"/>
    <x v="8"/>
    <n v="0"/>
    <n v="0"/>
    <n v="500"/>
  </r>
  <r>
    <s v="80780"/>
    <x v="189"/>
    <x v="8"/>
    <x v="9"/>
    <n v="0"/>
    <n v="0"/>
    <n v="500"/>
  </r>
  <r>
    <s v="80780"/>
    <x v="189"/>
    <x v="8"/>
    <x v="10"/>
    <n v="0"/>
    <n v="0"/>
    <n v="500"/>
  </r>
  <r>
    <s v="80780"/>
    <x v="189"/>
    <x v="8"/>
    <x v="11"/>
    <n v="0"/>
    <n v="0"/>
    <n v="500"/>
  </r>
  <r>
    <s v="80730"/>
    <x v="184"/>
    <x v="8"/>
    <x v="0"/>
    <n v="0"/>
    <n v="0"/>
    <n v="0"/>
  </r>
  <r>
    <s v="80730"/>
    <x v="184"/>
    <x v="8"/>
    <x v="1"/>
    <n v="0"/>
    <n v="0"/>
    <n v="0"/>
  </r>
  <r>
    <s v="80730"/>
    <x v="184"/>
    <x v="8"/>
    <x v="2"/>
    <n v="0"/>
    <n v="0"/>
    <n v="0"/>
  </r>
  <r>
    <s v="80730"/>
    <x v="184"/>
    <x v="8"/>
    <x v="6"/>
    <n v="0"/>
    <n v="0"/>
    <n v="500"/>
  </r>
  <r>
    <s v="80730"/>
    <x v="184"/>
    <x v="8"/>
    <x v="7"/>
    <n v="0"/>
    <n v="0"/>
    <n v="500"/>
  </r>
  <r>
    <s v="80730"/>
    <x v="184"/>
    <x v="8"/>
    <x v="8"/>
    <n v="0"/>
    <n v="0"/>
    <n v="500"/>
  </r>
  <r>
    <s v="80730"/>
    <x v="184"/>
    <x v="8"/>
    <x v="9"/>
    <n v="0"/>
    <n v="0"/>
    <n v="500"/>
  </r>
  <r>
    <s v="80730"/>
    <x v="184"/>
    <x v="8"/>
    <x v="10"/>
    <n v="0"/>
    <n v="0"/>
    <n v="500"/>
  </r>
  <r>
    <s v="80730"/>
    <x v="184"/>
    <x v="8"/>
    <x v="11"/>
    <n v="0"/>
    <n v="0"/>
    <n v="500"/>
  </r>
  <r>
    <s v="80740"/>
    <x v="185"/>
    <x v="8"/>
    <x v="0"/>
    <n v="0"/>
    <n v="0"/>
    <n v="0"/>
  </r>
  <r>
    <s v="80740"/>
    <x v="185"/>
    <x v="8"/>
    <x v="1"/>
    <n v="0"/>
    <n v="0"/>
    <n v="0"/>
  </r>
  <r>
    <s v="80740"/>
    <x v="185"/>
    <x v="8"/>
    <x v="2"/>
    <n v="0"/>
    <n v="0"/>
    <n v="0"/>
  </r>
  <r>
    <s v="80740"/>
    <x v="185"/>
    <x v="8"/>
    <x v="6"/>
    <n v="0"/>
    <n v="0"/>
    <n v="500"/>
  </r>
  <r>
    <s v="80740"/>
    <x v="185"/>
    <x v="8"/>
    <x v="7"/>
    <n v="0"/>
    <n v="0"/>
    <n v="500"/>
  </r>
  <r>
    <s v="80740"/>
    <x v="185"/>
    <x v="8"/>
    <x v="8"/>
    <n v="0"/>
    <n v="0"/>
    <n v="500"/>
  </r>
  <r>
    <s v="80740"/>
    <x v="185"/>
    <x v="8"/>
    <x v="9"/>
    <n v="0"/>
    <n v="0"/>
    <n v="500"/>
  </r>
  <r>
    <s v="80740"/>
    <x v="185"/>
    <x v="8"/>
    <x v="10"/>
    <n v="0"/>
    <n v="0"/>
    <n v="500"/>
  </r>
  <r>
    <s v="80740"/>
    <x v="185"/>
    <x v="8"/>
    <x v="11"/>
    <n v="0"/>
    <n v="0"/>
    <n v="500"/>
  </r>
  <r>
    <s v="5430"/>
    <x v="112"/>
    <x v="8"/>
    <x v="6"/>
    <n v="0"/>
    <n v="0"/>
    <n v="1483.6980000000001"/>
  </r>
  <r>
    <s v="5430"/>
    <x v="112"/>
    <x v="8"/>
    <x v="7"/>
    <n v="0"/>
    <n v="0"/>
    <n v="1483.6980000000001"/>
  </r>
  <r>
    <s v="5430"/>
    <x v="112"/>
    <x v="8"/>
    <x v="8"/>
    <n v="0"/>
    <n v="0"/>
    <n v="1483.6980000000001"/>
  </r>
  <r>
    <s v="5430"/>
    <x v="112"/>
    <x v="8"/>
    <x v="9"/>
    <n v="0"/>
    <n v="0"/>
    <n v="1483.6980000000001"/>
  </r>
  <r>
    <s v="5430"/>
    <x v="112"/>
    <x v="8"/>
    <x v="10"/>
    <n v="0"/>
    <n v="0"/>
    <n v="1483.6980000000001"/>
  </r>
  <r>
    <s v="5430"/>
    <x v="112"/>
    <x v="8"/>
    <x v="11"/>
    <n v="0"/>
    <n v="0"/>
    <n v="1483.6980000000001"/>
  </r>
  <r>
    <s v="80650"/>
    <x v="162"/>
    <x v="8"/>
    <x v="6"/>
    <n v="0"/>
    <n v="0"/>
    <n v="500"/>
  </r>
  <r>
    <s v="80650"/>
    <x v="162"/>
    <x v="8"/>
    <x v="7"/>
    <n v="0"/>
    <n v="0"/>
    <n v="500"/>
  </r>
  <r>
    <s v="80650"/>
    <x v="162"/>
    <x v="8"/>
    <x v="8"/>
    <n v="0"/>
    <n v="0"/>
    <n v="500"/>
  </r>
  <r>
    <s v="80650"/>
    <x v="162"/>
    <x v="8"/>
    <x v="9"/>
    <n v="0"/>
    <n v="0"/>
    <n v="500"/>
  </r>
  <r>
    <s v="80650"/>
    <x v="162"/>
    <x v="8"/>
    <x v="10"/>
    <n v="0"/>
    <n v="0"/>
    <n v="500"/>
  </r>
  <r>
    <s v="80650"/>
    <x v="162"/>
    <x v="8"/>
    <x v="11"/>
    <n v="0"/>
    <n v="0"/>
    <n v="500"/>
  </r>
  <r>
    <s v="80590"/>
    <x v="158"/>
    <x v="8"/>
    <x v="3"/>
    <n v="0"/>
    <n v="0"/>
    <n v="0"/>
  </r>
  <r>
    <s v="80590"/>
    <x v="158"/>
    <x v="8"/>
    <x v="4"/>
    <n v="0"/>
    <n v="0"/>
    <n v="0"/>
  </r>
  <r>
    <s v="6140"/>
    <x v="158"/>
    <x v="8"/>
    <x v="0"/>
    <n v="0"/>
    <n v="0"/>
    <n v="0"/>
  </r>
  <r>
    <s v="6140"/>
    <x v="158"/>
    <x v="8"/>
    <x v="1"/>
    <n v="0"/>
    <n v="0"/>
    <n v="0"/>
  </r>
  <r>
    <s v="6140"/>
    <x v="158"/>
    <x v="8"/>
    <x v="2"/>
    <n v="0"/>
    <n v="0"/>
    <n v="0"/>
  </r>
  <r>
    <s v="6140"/>
    <x v="158"/>
    <x v="8"/>
    <x v="6"/>
    <n v="0"/>
    <n v="0"/>
    <n v="1567.7900000000002"/>
  </r>
  <r>
    <s v="6140"/>
    <x v="158"/>
    <x v="8"/>
    <x v="7"/>
    <n v="0"/>
    <n v="0"/>
    <n v="1567.7900000000002"/>
  </r>
  <r>
    <s v="6140"/>
    <x v="158"/>
    <x v="8"/>
    <x v="8"/>
    <n v="0"/>
    <n v="0"/>
    <n v="1567.7900000000002"/>
  </r>
  <r>
    <s v="6140"/>
    <x v="158"/>
    <x v="8"/>
    <x v="9"/>
    <n v="0"/>
    <n v="0"/>
    <n v="1567.7900000000002"/>
  </r>
  <r>
    <s v="6140"/>
    <x v="158"/>
    <x v="8"/>
    <x v="10"/>
    <n v="0"/>
    <n v="0"/>
    <n v="1567.7900000000002"/>
  </r>
  <r>
    <s v="6140"/>
    <x v="158"/>
    <x v="8"/>
    <x v="11"/>
    <n v="0"/>
    <n v="0"/>
    <n v="1567.7900000000002"/>
  </r>
  <r>
    <s v="80760"/>
    <x v="187"/>
    <x v="8"/>
    <x v="0"/>
    <n v="0"/>
    <n v="0"/>
    <n v="0"/>
  </r>
  <r>
    <s v="80760"/>
    <x v="187"/>
    <x v="8"/>
    <x v="1"/>
    <n v="0"/>
    <n v="0"/>
    <n v="0"/>
  </r>
  <r>
    <s v="80760"/>
    <x v="187"/>
    <x v="8"/>
    <x v="2"/>
    <n v="0"/>
    <n v="0"/>
    <n v="0"/>
  </r>
  <r>
    <s v="80760"/>
    <x v="187"/>
    <x v="8"/>
    <x v="6"/>
    <n v="0"/>
    <n v="0"/>
    <n v="500"/>
  </r>
  <r>
    <s v="80760"/>
    <x v="187"/>
    <x v="8"/>
    <x v="7"/>
    <n v="0"/>
    <n v="0"/>
    <n v="500"/>
  </r>
  <r>
    <s v="80760"/>
    <x v="187"/>
    <x v="8"/>
    <x v="8"/>
    <n v="0"/>
    <n v="0"/>
    <n v="500"/>
  </r>
  <r>
    <s v="80760"/>
    <x v="187"/>
    <x v="8"/>
    <x v="9"/>
    <n v="0"/>
    <n v="0"/>
    <n v="500"/>
  </r>
  <r>
    <s v="80760"/>
    <x v="187"/>
    <x v="8"/>
    <x v="10"/>
    <n v="0"/>
    <n v="0"/>
    <n v="500"/>
  </r>
  <r>
    <s v="80760"/>
    <x v="187"/>
    <x v="8"/>
    <x v="11"/>
    <n v="0"/>
    <n v="0"/>
    <n v="500"/>
  </r>
  <r>
    <s v="5680"/>
    <x v="130"/>
    <x v="8"/>
    <x v="6"/>
    <n v="0"/>
    <n v="0"/>
    <n v="1591.0320000000002"/>
  </r>
  <r>
    <s v="5680"/>
    <x v="130"/>
    <x v="8"/>
    <x v="7"/>
    <n v="0"/>
    <n v="0"/>
    <n v="1591.0320000000002"/>
  </r>
  <r>
    <s v="5680"/>
    <x v="130"/>
    <x v="8"/>
    <x v="8"/>
    <n v="0"/>
    <n v="0"/>
    <n v="1591.0320000000002"/>
  </r>
  <r>
    <s v="5680"/>
    <x v="130"/>
    <x v="8"/>
    <x v="9"/>
    <n v="0"/>
    <n v="0"/>
    <n v="1591.0320000000002"/>
  </r>
  <r>
    <s v="5680"/>
    <x v="130"/>
    <x v="8"/>
    <x v="10"/>
    <n v="0"/>
    <n v="0"/>
    <n v="1591.0320000000002"/>
  </r>
  <r>
    <s v="5680"/>
    <x v="130"/>
    <x v="8"/>
    <x v="11"/>
    <n v="0"/>
    <n v="0"/>
    <n v="1591.0320000000002"/>
  </r>
  <r>
    <s v="5810"/>
    <x v="141"/>
    <x v="8"/>
    <x v="6"/>
    <n v="0"/>
    <n v="0"/>
    <n v="1568.76"/>
  </r>
  <r>
    <s v="5810"/>
    <x v="141"/>
    <x v="8"/>
    <x v="7"/>
    <n v="0"/>
    <n v="0"/>
    <n v="1568.76"/>
  </r>
  <r>
    <s v="5810"/>
    <x v="141"/>
    <x v="8"/>
    <x v="8"/>
    <n v="0"/>
    <n v="0"/>
    <n v="1568.76"/>
  </r>
  <r>
    <s v="5810"/>
    <x v="141"/>
    <x v="8"/>
    <x v="9"/>
    <n v="0"/>
    <n v="0"/>
    <n v="1568.76"/>
  </r>
  <r>
    <s v="5810"/>
    <x v="141"/>
    <x v="8"/>
    <x v="10"/>
    <n v="0"/>
    <n v="0"/>
    <n v="1568.76"/>
  </r>
  <r>
    <s v="5810"/>
    <x v="141"/>
    <x v="8"/>
    <x v="11"/>
    <n v="0"/>
    <n v="0"/>
    <n v="1568.76"/>
  </r>
  <r>
    <s v="5660"/>
    <x v="128"/>
    <x v="8"/>
    <x v="6"/>
    <n v="0"/>
    <n v="0"/>
    <n v="1647.386"/>
  </r>
  <r>
    <s v="5660"/>
    <x v="128"/>
    <x v="8"/>
    <x v="7"/>
    <n v="0"/>
    <n v="0"/>
    <n v="1647.386"/>
  </r>
  <r>
    <s v="5660"/>
    <x v="128"/>
    <x v="8"/>
    <x v="8"/>
    <n v="0"/>
    <n v="0"/>
    <n v="1647.386"/>
  </r>
  <r>
    <s v="5660"/>
    <x v="128"/>
    <x v="8"/>
    <x v="9"/>
    <n v="0"/>
    <n v="0"/>
    <n v="1647.386"/>
  </r>
  <r>
    <s v="5660"/>
    <x v="128"/>
    <x v="8"/>
    <x v="10"/>
    <n v="0"/>
    <n v="0"/>
    <n v="1647.386"/>
  </r>
  <r>
    <s v="5660"/>
    <x v="128"/>
    <x v="8"/>
    <x v="11"/>
    <n v="0"/>
    <n v="0"/>
    <n v="1647.386"/>
  </r>
  <r>
    <s v="80640"/>
    <x v="161"/>
    <x v="8"/>
    <x v="6"/>
    <n v="0"/>
    <n v="0"/>
    <n v="500"/>
  </r>
  <r>
    <s v="80640"/>
    <x v="161"/>
    <x v="8"/>
    <x v="7"/>
    <n v="0"/>
    <n v="0"/>
    <n v="500"/>
  </r>
  <r>
    <s v="80640"/>
    <x v="161"/>
    <x v="8"/>
    <x v="8"/>
    <n v="0"/>
    <n v="0"/>
    <n v="500"/>
  </r>
  <r>
    <s v="80640"/>
    <x v="161"/>
    <x v="8"/>
    <x v="9"/>
    <n v="0"/>
    <n v="0"/>
    <n v="500"/>
  </r>
  <r>
    <s v="80640"/>
    <x v="161"/>
    <x v="8"/>
    <x v="10"/>
    <n v="0"/>
    <n v="0"/>
    <n v="500"/>
  </r>
  <r>
    <s v="80640"/>
    <x v="161"/>
    <x v="8"/>
    <x v="11"/>
    <n v="0"/>
    <n v="0"/>
    <n v="500"/>
  </r>
  <r>
    <s v="5930"/>
    <x v="167"/>
    <x v="8"/>
    <x v="0"/>
    <n v="0"/>
    <n v="0"/>
    <n v="0"/>
  </r>
  <r>
    <s v="5930"/>
    <x v="167"/>
    <x v="8"/>
    <x v="3"/>
    <n v="0"/>
    <n v="0"/>
    <n v="0"/>
  </r>
  <r>
    <m/>
    <x v="194"/>
    <x v="8"/>
    <x v="5"/>
    <n v="0"/>
    <n v="0"/>
    <n v="1647.386"/>
  </r>
  <r>
    <m/>
    <x v="194"/>
    <x v="8"/>
    <x v="6"/>
    <n v="0"/>
    <n v="0"/>
    <n v="1647.386"/>
  </r>
  <r>
    <m/>
    <x v="194"/>
    <x v="8"/>
    <x v="7"/>
    <n v="0"/>
    <n v="0"/>
    <n v="1647.386"/>
  </r>
  <r>
    <m/>
    <x v="194"/>
    <x v="8"/>
    <x v="8"/>
    <n v="0"/>
    <n v="0"/>
    <n v="1647.386"/>
  </r>
  <r>
    <m/>
    <x v="194"/>
    <x v="8"/>
    <x v="9"/>
    <n v="0"/>
    <n v="0"/>
    <n v="1647.386"/>
  </r>
  <r>
    <m/>
    <x v="194"/>
    <x v="8"/>
    <x v="10"/>
    <n v="0"/>
    <n v="0"/>
    <n v="1647.386"/>
  </r>
  <r>
    <m/>
    <x v="194"/>
    <x v="8"/>
    <x v="11"/>
    <n v="0"/>
    <n v="0"/>
    <n v="1647.386"/>
  </r>
  <r>
    <m/>
    <x v="195"/>
    <x v="8"/>
    <x v="5"/>
    <n v="0"/>
    <n v="0"/>
    <n v="500"/>
  </r>
  <r>
    <m/>
    <x v="195"/>
    <x v="8"/>
    <x v="6"/>
    <n v="0"/>
    <n v="0"/>
    <n v="500"/>
  </r>
  <r>
    <m/>
    <x v="195"/>
    <x v="8"/>
    <x v="7"/>
    <n v="0"/>
    <n v="0"/>
    <n v="500"/>
  </r>
  <r>
    <m/>
    <x v="195"/>
    <x v="8"/>
    <x v="8"/>
    <n v="0"/>
    <n v="0"/>
    <n v="500"/>
  </r>
  <r>
    <m/>
    <x v="195"/>
    <x v="8"/>
    <x v="9"/>
    <n v="0"/>
    <n v="0"/>
    <n v="500"/>
  </r>
  <r>
    <m/>
    <x v="195"/>
    <x v="8"/>
    <x v="10"/>
    <n v="0"/>
    <n v="0"/>
    <n v="500"/>
  </r>
  <r>
    <m/>
    <x v="195"/>
    <x v="8"/>
    <x v="11"/>
    <n v="0"/>
    <n v="0"/>
    <n v="500"/>
  </r>
  <r>
    <s v="150"/>
    <x v="6"/>
    <x v="1"/>
    <x v="6"/>
    <n v="0"/>
    <n v="0"/>
    <n v="3196.0360000000001"/>
  </r>
  <r>
    <s v="150"/>
    <x v="6"/>
    <x v="1"/>
    <x v="7"/>
    <n v="0"/>
    <n v="0"/>
    <n v="3196.0360000000001"/>
  </r>
  <r>
    <s v="150"/>
    <x v="6"/>
    <x v="1"/>
    <x v="8"/>
    <n v="0"/>
    <n v="0"/>
    <n v="3196.0360000000001"/>
  </r>
  <r>
    <s v="150"/>
    <x v="6"/>
    <x v="1"/>
    <x v="9"/>
    <n v="0"/>
    <n v="0"/>
    <n v="3196.0360000000001"/>
  </r>
  <r>
    <s v="150"/>
    <x v="6"/>
    <x v="1"/>
    <x v="10"/>
    <n v="0"/>
    <n v="0"/>
    <n v="3196.0360000000001"/>
  </r>
  <r>
    <s v="150"/>
    <x v="6"/>
    <x v="1"/>
    <x v="11"/>
    <n v="0"/>
    <n v="0"/>
    <n v="3196.0360000000001"/>
  </r>
  <r>
    <s v="5000"/>
    <x v="95"/>
    <x v="1"/>
    <x v="6"/>
    <n v="0"/>
    <n v="0"/>
    <n v="2069.3239999999996"/>
  </r>
  <r>
    <s v="5000"/>
    <x v="95"/>
    <x v="1"/>
    <x v="7"/>
    <n v="0"/>
    <n v="0"/>
    <n v="2069.3239999999996"/>
  </r>
  <r>
    <s v="5000"/>
    <x v="95"/>
    <x v="1"/>
    <x v="8"/>
    <n v="0"/>
    <n v="0"/>
    <n v="2069.3239999999996"/>
  </r>
  <r>
    <s v="5000"/>
    <x v="95"/>
    <x v="1"/>
    <x v="9"/>
    <n v="0"/>
    <n v="0"/>
    <n v="2069.3239999999996"/>
  </r>
  <r>
    <s v="5000"/>
    <x v="95"/>
    <x v="1"/>
    <x v="10"/>
    <n v="0"/>
    <n v="0"/>
    <n v="2069.3239999999996"/>
  </r>
  <r>
    <s v="5000"/>
    <x v="95"/>
    <x v="1"/>
    <x v="11"/>
    <n v="0"/>
    <n v="0"/>
    <n v="2069.3239999999996"/>
  </r>
  <r>
    <s v="940"/>
    <x v="24"/>
    <x v="1"/>
    <x v="6"/>
    <n v="0"/>
    <n v="0"/>
    <n v="1761.1"/>
  </r>
  <r>
    <s v="940"/>
    <x v="24"/>
    <x v="1"/>
    <x v="7"/>
    <n v="0"/>
    <n v="0"/>
    <n v="1761.1"/>
  </r>
  <r>
    <s v="940"/>
    <x v="24"/>
    <x v="1"/>
    <x v="8"/>
    <n v="0"/>
    <n v="0"/>
    <n v="1761.1"/>
  </r>
  <r>
    <s v="940"/>
    <x v="24"/>
    <x v="1"/>
    <x v="9"/>
    <n v="0"/>
    <n v="0"/>
    <n v="1761.1"/>
  </r>
  <r>
    <s v="940"/>
    <x v="24"/>
    <x v="1"/>
    <x v="10"/>
    <n v="0"/>
    <n v="0"/>
    <n v="1761.1"/>
  </r>
  <r>
    <s v="940"/>
    <x v="24"/>
    <x v="1"/>
    <x v="11"/>
    <n v="0"/>
    <n v="0"/>
    <n v="1761.1"/>
  </r>
  <r>
    <s v="1850"/>
    <x v="50"/>
    <x v="5"/>
    <x v="6"/>
    <n v="0"/>
    <n v="0"/>
    <n v="5761.554000000001"/>
  </r>
  <r>
    <s v="1850"/>
    <x v="50"/>
    <x v="5"/>
    <x v="7"/>
    <n v="0"/>
    <n v="0"/>
    <n v="5761.554000000001"/>
  </r>
  <r>
    <s v="1850"/>
    <x v="50"/>
    <x v="5"/>
    <x v="8"/>
    <n v="0"/>
    <n v="0"/>
    <n v="5761.554000000001"/>
  </r>
  <r>
    <s v="1850"/>
    <x v="50"/>
    <x v="5"/>
    <x v="9"/>
    <n v="0"/>
    <n v="0"/>
    <n v="5761.554000000001"/>
  </r>
  <r>
    <s v="1850"/>
    <x v="50"/>
    <x v="5"/>
    <x v="10"/>
    <n v="0"/>
    <n v="0"/>
    <n v="5761.554000000001"/>
  </r>
  <r>
    <s v="1850"/>
    <x v="50"/>
    <x v="5"/>
    <x v="11"/>
    <n v="0"/>
    <n v="0"/>
    <n v="5761.554000000001"/>
  </r>
  <r>
    <s v="2710"/>
    <x v="56"/>
    <x v="5"/>
    <x v="6"/>
    <n v="0"/>
    <n v="0"/>
    <n v="968.25800000000015"/>
  </r>
  <r>
    <s v="2710"/>
    <x v="56"/>
    <x v="5"/>
    <x v="7"/>
    <n v="0"/>
    <n v="0"/>
    <n v="968.25800000000015"/>
  </r>
  <r>
    <s v="2710"/>
    <x v="56"/>
    <x v="5"/>
    <x v="8"/>
    <n v="0"/>
    <n v="0"/>
    <n v="968.25800000000015"/>
  </r>
  <r>
    <s v="2710"/>
    <x v="56"/>
    <x v="5"/>
    <x v="9"/>
    <n v="0"/>
    <n v="0"/>
    <n v="968.25800000000015"/>
  </r>
  <r>
    <s v="2710"/>
    <x v="56"/>
    <x v="5"/>
    <x v="10"/>
    <n v="0"/>
    <n v="0"/>
    <n v="968.25800000000015"/>
  </r>
  <r>
    <s v="2710"/>
    <x v="56"/>
    <x v="5"/>
    <x v="11"/>
    <n v="0"/>
    <n v="0"/>
    <n v="968.25800000000015"/>
  </r>
  <r>
    <s v="100000"/>
    <x v="11"/>
    <x v="5"/>
    <x v="6"/>
    <n v="0"/>
    <n v="0"/>
    <n v="1666"/>
  </r>
  <r>
    <s v="100000"/>
    <x v="11"/>
    <x v="5"/>
    <x v="7"/>
    <n v="0"/>
    <n v="0"/>
    <n v="1666"/>
  </r>
  <r>
    <s v="100000"/>
    <x v="11"/>
    <x v="5"/>
    <x v="8"/>
    <n v="0"/>
    <n v="0"/>
    <n v="1666"/>
  </r>
  <r>
    <s v="100000"/>
    <x v="11"/>
    <x v="5"/>
    <x v="9"/>
    <n v="0"/>
    <n v="0"/>
    <n v="1666"/>
  </r>
  <r>
    <s v="100000"/>
    <x v="11"/>
    <x v="5"/>
    <x v="10"/>
    <n v="0"/>
    <n v="0"/>
    <n v="1666"/>
  </r>
  <r>
    <s v="100000"/>
    <x v="11"/>
    <x v="5"/>
    <x v="11"/>
    <n v="0"/>
    <n v="0"/>
    <n v="1666"/>
  </r>
  <r>
    <s v="5970"/>
    <x v="169"/>
    <x v="5"/>
    <x v="0"/>
    <n v="0"/>
    <n v="0"/>
    <n v="0"/>
  </r>
  <r>
    <s v="5970"/>
    <x v="169"/>
    <x v="5"/>
    <x v="6"/>
    <n v="0"/>
    <n v="0"/>
    <n v="2919.3300000000008"/>
  </r>
  <r>
    <s v="5970"/>
    <x v="169"/>
    <x v="5"/>
    <x v="7"/>
    <n v="0"/>
    <n v="0"/>
    <n v="2919.3300000000008"/>
  </r>
  <r>
    <s v="5970"/>
    <x v="169"/>
    <x v="5"/>
    <x v="8"/>
    <n v="0"/>
    <n v="0"/>
    <n v="2919.3300000000008"/>
  </r>
  <r>
    <s v="5970"/>
    <x v="169"/>
    <x v="5"/>
    <x v="9"/>
    <n v="0"/>
    <n v="0"/>
    <n v="2919.3300000000008"/>
  </r>
  <r>
    <s v="5970"/>
    <x v="169"/>
    <x v="5"/>
    <x v="10"/>
    <n v="0"/>
    <n v="0"/>
    <n v="2919.3300000000008"/>
  </r>
  <r>
    <s v="5970"/>
    <x v="169"/>
    <x v="5"/>
    <x v="11"/>
    <n v="0"/>
    <n v="0"/>
    <n v="2919.3300000000008"/>
  </r>
  <r>
    <s v="80690"/>
    <x v="166"/>
    <x v="5"/>
    <x v="4"/>
    <n v="0"/>
    <n v="0"/>
    <n v="0"/>
  </r>
  <r>
    <s v="80690"/>
    <x v="166"/>
    <x v="5"/>
    <x v="5"/>
    <n v="0"/>
    <n v="0"/>
    <n v="0"/>
  </r>
  <r>
    <s v="80690"/>
    <x v="166"/>
    <x v="5"/>
    <x v="6"/>
    <n v="0"/>
    <n v="0"/>
    <n v="0"/>
  </r>
  <r>
    <s v="80690"/>
    <x v="166"/>
    <x v="5"/>
    <x v="7"/>
    <n v="0"/>
    <n v="0"/>
    <n v="0"/>
  </r>
  <r>
    <s v="80690"/>
    <x v="166"/>
    <x v="5"/>
    <x v="8"/>
    <n v="0"/>
    <n v="0"/>
    <n v="0"/>
  </r>
  <r>
    <s v="80690"/>
    <x v="166"/>
    <x v="5"/>
    <x v="9"/>
    <n v="0"/>
    <n v="0"/>
    <n v="0"/>
  </r>
  <r>
    <s v="80690"/>
    <x v="166"/>
    <x v="5"/>
    <x v="10"/>
    <n v="0"/>
    <n v="0"/>
    <n v="0"/>
  </r>
  <r>
    <s v="80690"/>
    <x v="166"/>
    <x v="5"/>
    <x v="11"/>
    <n v="0"/>
    <n v="0"/>
    <n v="0"/>
  </r>
  <r>
    <m/>
    <x v="196"/>
    <x v="5"/>
    <x v="6"/>
    <n v="0"/>
    <n v="0"/>
    <n v="1300"/>
  </r>
  <r>
    <m/>
    <x v="196"/>
    <x v="5"/>
    <x v="7"/>
    <n v="0"/>
    <n v="0"/>
    <n v="1300"/>
  </r>
  <r>
    <m/>
    <x v="196"/>
    <x v="5"/>
    <x v="8"/>
    <n v="0"/>
    <n v="0"/>
    <n v="1300"/>
  </r>
  <r>
    <m/>
    <x v="196"/>
    <x v="5"/>
    <x v="9"/>
    <n v="0"/>
    <n v="0"/>
    <n v="1300"/>
  </r>
  <r>
    <m/>
    <x v="196"/>
    <x v="5"/>
    <x v="10"/>
    <n v="0"/>
    <n v="0"/>
    <n v="1300"/>
  </r>
  <r>
    <m/>
    <x v="196"/>
    <x v="5"/>
    <x v="11"/>
    <n v="0"/>
    <n v="0"/>
    <n v="1300"/>
  </r>
  <r>
    <s v="5110"/>
    <x v="99"/>
    <x v="7"/>
    <x v="0"/>
    <n v="0"/>
    <n v="0"/>
    <n v="2847.57"/>
  </r>
  <r>
    <s v="5110"/>
    <x v="99"/>
    <x v="7"/>
    <x v="1"/>
    <n v="0"/>
    <n v="0"/>
    <n v="3274.3300000000013"/>
  </r>
  <r>
    <s v="5110"/>
    <x v="99"/>
    <x v="7"/>
    <x v="2"/>
    <n v="0"/>
    <n v="0"/>
    <n v="4040.1899999999987"/>
  </r>
  <r>
    <s v="5110"/>
    <x v="99"/>
    <x v="7"/>
    <x v="3"/>
    <n v="0"/>
    <n v="0"/>
    <n v="3847.08"/>
  </r>
  <r>
    <s v="5110"/>
    <x v="99"/>
    <x v="7"/>
    <x v="6"/>
    <n v="0"/>
    <n v="0"/>
    <n v="3578.942"/>
  </r>
  <r>
    <s v="5110"/>
    <x v="99"/>
    <x v="7"/>
    <x v="7"/>
    <n v="0"/>
    <n v="0"/>
    <n v="3578.942"/>
  </r>
  <r>
    <s v="5110"/>
    <x v="99"/>
    <x v="7"/>
    <x v="8"/>
    <n v="0"/>
    <n v="0"/>
    <n v="3578.942"/>
  </r>
  <r>
    <s v="5110"/>
    <x v="99"/>
    <x v="7"/>
    <x v="9"/>
    <n v="0"/>
    <n v="0"/>
    <n v="3578.942"/>
  </r>
  <r>
    <s v="5110"/>
    <x v="99"/>
    <x v="7"/>
    <x v="10"/>
    <n v="0"/>
    <n v="0"/>
    <n v="3578.942"/>
  </r>
  <r>
    <s v="5110"/>
    <x v="99"/>
    <x v="7"/>
    <x v="11"/>
    <n v="0"/>
    <n v="0"/>
    <n v="3578.942"/>
  </r>
  <r>
    <s v="4740"/>
    <x v="89"/>
    <x v="7"/>
    <x v="6"/>
    <n v="0"/>
    <n v="0"/>
    <n v="1239.6666666666667"/>
  </r>
  <r>
    <s v="4740"/>
    <x v="89"/>
    <x v="7"/>
    <x v="7"/>
    <n v="0"/>
    <n v="0"/>
    <n v="1239.6666666666667"/>
  </r>
  <r>
    <s v="4740"/>
    <x v="89"/>
    <x v="7"/>
    <x v="8"/>
    <n v="0"/>
    <n v="0"/>
    <n v="1239.6666666666667"/>
  </r>
  <r>
    <s v="4740"/>
    <x v="89"/>
    <x v="7"/>
    <x v="9"/>
    <n v="0"/>
    <n v="0"/>
    <n v="1239.6666666666667"/>
  </r>
  <r>
    <s v="4740"/>
    <x v="89"/>
    <x v="7"/>
    <x v="10"/>
    <n v="0"/>
    <n v="0"/>
    <n v="1239.6666666666667"/>
  </r>
  <r>
    <s v="4740"/>
    <x v="89"/>
    <x v="7"/>
    <x v="11"/>
    <n v="0"/>
    <n v="0"/>
    <n v="1239.6666666666667"/>
  </r>
  <r>
    <s v="380"/>
    <x v="13"/>
    <x v="7"/>
    <x v="0"/>
    <n v="0"/>
    <n v="0"/>
    <n v="3310.2400000000007"/>
  </r>
  <r>
    <s v="380"/>
    <x v="13"/>
    <x v="7"/>
    <x v="1"/>
    <n v="0"/>
    <n v="0"/>
    <n v="3271.9300000000003"/>
  </r>
  <r>
    <s v="380"/>
    <x v="13"/>
    <x v="7"/>
    <x v="2"/>
    <n v="0"/>
    <n v="0"/>
    <n v="3377.1499999999987"/>
  </r>
  <r>
    <s v="380"/>
    <x v="13"/>
    <x v="7"/>
    <x v="3"/>
    <n v="0"/>
    <n v="0"/>
    <n v="4142.7900000000045"/>
  </r>
  <r>
    <s v="380"/>
    <x v="13"/>
    <x v="7"/>
    <x v="6"/>
    <n v="0"/>
    <n v="0"/>
    <n v="3485.2880000000005"/>
  </r>
  <r>
    <s v="380"/>
    <x v="13"/>
    <x v="7"/>
    <x v="7"/>
    <n v="0"/>
    <n v="0"/>
    <n v="3485.2880000000005"/>
  </r>
  <r>
    <s v="380"/>
    <x v="13"/>
    <x v="7"/>
    <x v="8"/>
    <n v="0"/>
    <n v="0"/>
    <n v="3485.2880000000005"/>
  </r>
  <r>
    <s v="380"/>
    <x v="13"/>
    <x v="7"/>
    <x v="9"/>
    <n v="0"/>
    <n v="0"/>
    <n v="3485.2880000000005"/>
  </r>
  <r>
    <s v="380"/>
    <x v="13"/>
    <x v="7"/>
    <x v="10"/>
    <n v="0"/>
    <n v="0"/>
    <n v="3485.2880000000005"/>
  </r>
  <r>
    <s v="380"/>
    <x v="13"/>
    <x v="7"/>
    <x v="11"/>
    <n v="0"/>
    <n v="0"/>
    <n v="3485.2880000000005"/>
  </r>
  <r>
    <s v="1130"/>
    <x v="29"/>
    <x v="7"/>
    <x v="6"/>
    <n v="0"/>
    <n v="0"/>
    <n v="3228.9999999999995"/>
  </r>
  <r>
    <s v="1130"/>
    <x v="29"/>
    <x v="7"/>
    <x v="7"/>
    <n v="0"/>
    <n v="0"/>
    <n v="3228.9999999999995"/>
  </r>
  <r>
    <s v="1130"/>
    <x v="29"/>
    <x v="7"/>
    <x v="8"/>
    <n v="0"/>
    <n v="0"/>
    <n v="3228.9999999999995"/>
  </r>
  <r>
    <s v="1130"/>
    <x v="29"/>
    <x v="7"/>
    <x v="9"/>
    <n v="0"/>
    <n v="0"/>
    <n v="3228.9999999999995"/>
  </r>
  <r>
    <s v="1130"/>
    <x v="29"/>
    <x v="7"/>
    <x v="10"/>
    <n v="0"/>
    <n v="0"/>
    <n v="3228.9999999999995"/>
  </r>
  <r>
    <s v="1130"/>
    <x v="29"/>
    <x v="7"/>
    <x v="11"/>
    <n v="0"/>
    <n v="0"/>
    <n v="3228.9999999999995"/>
  </r>
  <r>
    <s v="5330"/>
    <x v="105"/>
    <x v="7"/>
    <x v="6"/>
    <n v="0"/>
    <n v="0"/>
    <n v="2381.8620000000001"/>
  </r>
  <r>
    <s v="5330"/>
    <x v="105"/>
    <x v="7"/>
    <x v="7"/>
    <n v="0"/>
    <n v="0"/>
    <n v="2381.8620000000001"/>
  </r>
  <r>
    <s v="5330"/>
    <x v="105"/>
    <x v="7"/>
    <x v="8"/>
    <n v="0"/>
    <n v="0"/>
    <n v="2381.8620000000001"/>
  </r>
  <r>
    <s v="5330"/>
    <x v="105"/>
    <x v="7"/>
    <x v="9"/>
    <n v="0"/>
    <n v="0"/>
    <n v="2381.8620000000001"/>
  </r>
  <r>
    <s v="5330"/>
    <x v="105"/>
    <x v="7"/>
    <x v="10"/>
    <n v="0"/>
    <n v="0"/>
    <n v="2381.8620000000001"/>
  </r>
  <r>
    <s v="5330"/>
    <x v="105"/>
    <x v="7"/>
    <x v="11"/>
    <n v="0"/>
    <n v="0"/>
    <n v="2381.8620000000001"/>
  </r>
  <r>
    <s v="4120"/>
    <x v="73"/>
    <x v="7"/>
    <x v="6"/>
    <n v="0"/>
    <n v="0"/>
    <n v="2908.0099999999993"/>
  </r>
  <r>
    <s v="4120"/>
    <x v="73"/>
    <x v="7"/>
    <x v="7"/>
    <n v="0"/>
    <n v="0"/>
    <n v="2908.0099999999993"/>
  </r>
  <r>
    <s v="4120"/>
    <x v="73"/>
    <x v="7"/>
    <x v="8"/>
    <n v="0"/>
    <n v="0"/>
    <n v="2908.0099999999993"/>
  </r>
  <r>
    <s v="4120"/>
    <x v="73"/>
    <x v="7"/>
    <x v="9"/>
    <n v="0"/>
    <n v="0"/>
    <n v="2908.0099999999993"/>
  </r>
  <r>
    <s v="4120"/>
    <x v="73"/>
    <x v="7"/>
    <x v="10"/>
    <n v="0"/>
    <n v="0"/>
    <n v="2908.0099999999993"/>
  </r>
  <r>
    <s v="4120"/>
    <x v="73"/>
    <x v="7"/>
    <x v="11"/>
    <n v="0"/>
    <n v="0"/>
    <n v="2908.0099999999993"/>
  </r>
  <r>
    <s v="80710"/>
    <x v="180"/>
    <x v="7"/>
    <x v="0"/>
    <n v="0"/>
    <n v="0"/>
    <n v="0"/>
  </r>
  <r>
    <s v="80710"/>
    <x v="180"/>
    <x v="7"/>
    <x v="1"/>
    <n v="0"/>
    <n v="0"/>
    <n v="0"/>
  </r>
  <r>
    <s v="80710"/>
    <x v="180"/>
    <x v="7"/>
    <x v="6"/>
    <n v="0"/>
    <n v="0"/>
    <n v="500"/>
  </r>
  <r>
    <s v="80710"/>
    <x v="180"/>
    <x v="7"/>
    <x v="7"/>
    <n v="0"/>
    <n v="0"/>
    <n v="500"/>
  </r>
  <r>
    <s v="80710"/>
    <x v="180"/>
    <x v="7"/>
    <x v="8"/>
    <n v="0"/>
    <n v="0"/>
    <n v="500"/>
  </r>
  <r>
    <s v="80710"/>
    <x v="180"/>
    <x v="7"/>
    <x v="9"/>
    <n v="0"/>
    <n v="0"/>
    <n v="500"/>
  </r>
  <r>
    <s v="80710"/>
    <x v="180"/>
    <x v="7"/>
    <x v="10"/>
    <n v="0"/>
    <n v="0"/>
    <n v="500"/>
  </r>
  <r>
    <s v="80710"/>
    <x v="180"/>
    <x v="7"/>
    <x v="11"/>
    <n v="0"/>
    <n v="0"/>
    <n v="500"/>
  </r>
  <r>
    <s v="4620"/>
    <x v="86"/>
    <x v="7"/>
    <x v="6"/>
    <n v="0"/>
    <n v="0"/>
    <n v="6604.45"/>
  </r>
  <r>
    <s v="4620"/>
    <x v="86"/>
    <x v="7"/>
    <x v="7"/>
    <n v="0"/>
    <n v="0"/>
    <n v="6604.45"/>
  </r>
  <r>
    <s v="4620"/>
    <x v="86"/>
    <x v="7"/>
    <x v="8"/>
    <n v="0"/>
    <n v="0"/>
    <n v="6604.45"/>
  </r>
  <r>
    <s v="4620"/>
    <x v="86"/>
    <x v="7"/>
    <x v="9"/>
    <n v="0"/>
    <n v="0"/>
    <n v="6604.45"/>
  </r>
  <r>
    <s v="4620"/>
    <x v="86"/>
    <x v="7"/>
    <x v="10"/>
    <n v="0"/>
    <n v="0"/>
    <n v="6604.45"/>
  </r>
  <r>
    <s v="4620"/>
    <x v="86"/>
    <x v="7"/>
    <x v="11"/>
    <n v="0"/>
    <n v="0"/>
    <n v="6604.45"/>
  </r>
  <r>
    <s v="1060"/>
    <x v="27"/>
    <x v="7"/>
    <x v="6"/>
    <n v="0"/>
    <n v="0"/>
    <n v="5435.5240000000003"/>
  </r>
  <r>
    <s v="1060"/>
    <x v="27"/>
    <x v="7"/>
    <x v="7"/>
    <n v="0"/>
    <n v="0"/>
    <n v="5435.5240000000003"/>
  </r>
  <r>
    <s v="1060"/>
    <x v="27"/>
    <x v="7"/>
    <x v="8"/>
    <n v="0"/>
    <n v="0"/>
    <n v="5435.5240000000003"/>
  </r>
  <r>
    <s v="1060"/>
    <x v="27"/>
    <x v="7"/>
    <x v="9"/>
    <n v="0"/>
    <n v="0"/>
    <n v="5435.5240000000003"/>
  </r>
  <r>
    <s v="1060"/>
    <x v="27"/>
    <x v="7"/>
    <x v="10"/>
    <n v="0"/>
    <n v="0"/>
    <n v="5435.5240000000003"/>
  </r>
  <r>
    <s v="1060"/>
    <x v="27"/>
    <x v="7"/>
    <x v="11"/>
    <n v="0"/>
    <n v="0"/>
    <n v="5435.5240000000003"/>
  </r>
  <r>
    <s v="6120"/>
    <x v="181"/>
    <x v="7"/>
    <x v="0"/>
    <n v="0"/>
    <n v="0"/>
    <n v="0"/>
  </r>
  <r>
    <s v="6120"/>
    <x v="181"/>
    <x v="7"/>
    <x v="1"/>
    <n v="0"/>
    <n v="0"/>
    <n v="0"/>
  </r>
  <r>
    <s v="6120"/>
    <x v="181"/>
    <x v="7"/>
    <x v="2"/>
    <n v="0"/>
    <n v="0"/>
    <n v="0"/>
  </r>
  <r>
    <s v="6120"/>
    <x v="181"/>
    <x v="7"/>
    <x v="6"/>
    <n v="0"/>
    <n v="0"/>
    <n v="3228.9999999999995"/>
  </r>
  <r>
    <s v="6120"/>
    <x v="181"/>
    <x v="7"/>
    <x v="7"/>
    <n v="0"/>
    <n v="0"/>
    <n v="3228.9999999999995"/>
  </r>
  <r>
    <s v="6120"/>
    <x v="181"/>
    <x v="7"/>
    <x v="8"/>
    <n v="0"/>
    <n v="0"/>
    <n v="3228.9999999999995"/>
  </r>
  <r>
    <s v="6120"/>
    <x v="181"/>
    <x v="7"/>
    <x v="9"/>
    <n v="0"/>
    <n v="0"/>
    <n v="3228.9999999999995"/>
  </r>
  <r>
    <s v="6120"/>
    <x v="181"/>
    <x v="7"/>
    <x v="10"/>
    <n v="0"/>
    <n v="0"/>
    <n v="3228.9999999999995"/>
  </r>
  <r>
    <s v="6120"/>
    <x v="181"/>
    <x v="7"/>
    <x v="11"/>
    <n v="0"/>
    <n v="0"/>
    <n v="3228.9999999999995"/>
  </r>
  <r>
    <s v="5980"/>
    <x v="170"/>
    <x v="4"/>
    <x v="0"/>
    <n v="0"/>
    <n v="0"/>
    <n v="0"/>
  </r>
  <r>
    <s v="5980"/>
    <x v="170"/>
    <x v="4"/>
    <x v="6"/>
    <n v="0"/>
    <n v="0"/>
    <n v="2610.6749999999997"/>
  </r>
  <r>
    <s v="80560"/>
    <x v="156"/>
    <x v="4"/>
    <x v="2"/>
    <n v="0"/>
    <n v="0"/>
    <n v="0"/>
  </r>
  <r>
    <s v="80560"/>
    <x v="156"/>
    <x v="4"/>
    <x v="3"/>
    <n v="0"/>
    <n v="0"/>
    <n v="0"/>
  </r>
  <r>
    <s v="80560"/>
    <x v="156"/>
    <x v="4"/>
    <x v="4"/>
    <n v="0"/>
    <n v="0"/>
    <n v="0"/>
  </r>
  <r>
    <s v="80560"/>
    <x v="156"/>
    <x v="4"/>
    <x v="5"/>
    <n v="0"/>
    <n v="0"/>
    <n v="0"/>
  </r>
  <r>
    <s v="80560"/>
    <x v="156"/>
    <x v="4"/>
    <x v="6"/>
    <n v="0"/>
    <n v="0"/>
    <n v="0"/>
  </r>
  <r>
    <s v="80560"/>
    <x v="156"/>
    <x v="4"/>
    <x v="7"/>
    <n v="0"/>
    <n v="0"/>
    <n v="0"/>
  </r>
  <r>
    <s v="80560"/>
    <x v="156"/>
    <x v="4"/>
    <x v="8"/>
    <n v="0"/>
    <n v="0"/>
    <n v="0"/>
  </r>
  <r>
    <s v="80560"/>
    <x v="156"/>
    <x v="4"/>
    <x v="9"/>
    <n v="0"/>
    <n v="0"/>
    <n v="0"/>
  </r>
  <r>
    <s v="80560"/>
    <x v="156"/>
    <x v="4"/>
    <x v="10"/>
    <n v="0"/>
    <n v="0"/>
    <n v="0"/>
  </r>
  <r>
    <s v="80560"/>
    <x v="156"/>
    <x v="4"/>
    <x v="11"/>
    <n v="0"/>
    <n v="0"/>
    <n v="0"/>
  </r>
  <r>
    <s v="6020"/>
    <x v="156"/>
    <x v="4"/>
    <x v="0"/>
    <n v="0"/>
    <n v="0"/>
    <n v="0"/>
  </r>
  <r>
    <s v="6020"/>
    <x v="156"/>
    <x v="4"/>
    <x v="1"/>
    <n v="0"/>
    <n v="0"/>
    <n v="0"/>
  </r>
  <r>
    <s v="6020"/>
    <x v="156"/>
    <x v="4"/>
    <x v="6"/>
    <n v="0"/>
    <n v="0"/>
    <n v="2142.79"/>
  </r>
  <r>
    <s v="6020"/>
    <x v="156"/>
    <x v="4"/>
    <x v="7"/>
    <n v="0"/>
    <n v="0"/>
    <n v="2142.79"/>
  </r>
  <r>
    <s v="6020"/>
    <x v="156"/>
    <x v="4"/>
    <x v="8"/>
    <n v="0"/>
    <n v="0"/>
    <n v="2142.79"/>
  </r>
  <r>
    <s v="6020"/>
    <x v="156"/>
    <x v="4"/>
    <x v="9"/>
    <n v="0"/>
    <n v="0"/>
    <n v="2142.79"/>
  </r>
  <r>
    <s v="6020"/>
    <x v="156"/>
    <x v="4"/>
    <x v="10"/>
    <n v="0"/>
    <n v="0"/>
    <n v="2142.79"/>
  </r>
  <r>
    <s v="6020"/>
    <x v="156"/>
    <x v="4"/>
    <x v="11"/>
    <n v="0"/>
    <n v="0"/>
    <n v="2142.79"/>
  </r>
  <r>
    <s v="440"/>
    <x v="12"/>
    <x v="4"/>
    <x v="2"/>
    <n v="0"/>
    <n v="0"/>
    <n v="0"/>
  </r>
  <r>
    <s v="440"/>
    <x v="12"/>
    <x v="4"/>
    <x v="3"/>
    <n v="0"/>
    <n v="0"/>
    <n v="0"/>
  </r>
  <r>
    <s v="440"/>
    <x v="12"/>
    <x v="4"/>
    <x v="4"/>
    <n v="0"/>
    <n v="0"/>
    <n v="0"/>
  </r>
  <r>
    <s v="440"/>
    <x v="12"/>
    <x v="4"/>
    <x v="5"/>
    <n v="0"/>
    <n v="0"/>
    <n v="0"/>
  </r>
  <r>
    <s v="440"/>
    <x v="12"/>
    <x v="4"/>
    <x v="6"/>
    <n v="0"/>
    <n v="0"/>
    <n v="0"/>
  </r>
  <r>
    <s v="440"/>
    <x v="12"/>
    <x v="4"/>
    <x v="7"/>
    <n v="0"/>
    <n v="0"/>
    <n v="0"/>
  </r>
  <r>
    <s v="440"/>
    <x v="12"/>
    <x v="4"/>
    <x v="8"/>
    <n v="0"/>
    <n v="0"/>
    <n v="0"/>
  </r>
  <r>
    <s v="440"/>
    <x v="12"/>
    <x v="4"/>
    <x v="9"/>
    <n v="0"/>
    <n v="0"/>
    <n v="0"/>
  </r>
  <r>
    <s v="440"/>
    <x v="12"/>
    <x v="4"/>
    <x v="10"/>
    <n v="0"/>
    <n v="0"/>
    <n v="0"/>
  </r>
  <r>
    <s v="440"/>
    <x v="12"/>
    <x v="4"/>
    <x v="11"/>
    <n v="0"/>
    <n v="0"/>
    <n v="0"/>
  </r>
  <r>
    <s v="5590"/>
    <x v="123"/>
    <x v="4"/>
    <x v="3"/>
    <n v="0"/>
    <n v="0"/>
    <n v="0"/>
  </r>
  <r>
    <s v="5590"/>
    <x v="123"/>
    <x v="4"/>
    <x v="4"/>
    <n v="0"/>
    <n v="0"/>
    <n v="0"/>
  </r>
  <r>
    <s v="5590"/>
    <x v="123"/>
    <x v="4"/>
    <x v="5"/>
    <n v="0"/>
    <n v="0"/>
    <n v="0"/>
  </r>
  <r>
    <s v="5590"/>
    <x v="123"/>
    <x v="4"/>
    <x v="6"/>
    <n v="0"/>
    <n v="0"/>
    <n v="0"/>
  </r>
  <r>
    <s v="5590"/>
    <x v="123"/>
    <x v="4"/>
    <x v="7"/>
    <n v="0"/>
    <n v="0"/>
    <n v="0"/>
  </r>
  <r>
    <s v="5590"/>
    <x v="123"/>
    <x v="4"/>
    <x v="8"/>
    <n v="0"/>
    <n v="0"/>
    <n v="0"/>
  </r>
  <r>
    <s v="5590"/>
    <x v="123"/>
    <x v="4"/>
    <x v="9"/>
    <n v="0"/>
    <n v="0"/>
    <n v="0"/>
  </r>
  <r>
    <s v="5590"/>
    <x v="123"/>
    <x v="4"/>
    <x v="10"/>
    <n v="0"/>
    <n v="0"/>
    <n v="0"/>
  </r>
  <r>
    <s v="5590"/>
    <x v="123"/>
    <x v="4"/>
    <x v="11"/>
    <n v="0"/>
    <n v="0"/>
    <n v="0"/>
  </r>
  <r>
    <s v="5480"/>
    <x v="116"/>
    <x v="4"/>
    <x v="2"/>
    <n v="0"/>
    <n v="0"/>
    <n v="0"/>
  </r>
  <r>
    <s v="5480"/>
    <x v="116"/>
    <x v="4"/>
    <x v="3"/>
    <n v="0"/>
    <n v="0"/>
    <n v="0"/>
  </r>
  <r>
    <s v="5480"/>
    <x v="116"/>
    <x v="4"/>
    <x v="4"/>
    <n v="0"/>
    <n v="0"/>
    <n v="0"/>
  </r>
  <r>
    <s v="5480"/>
    <x v="116"/>
    <x v="4"/>
    <x v="5"/>
    <n v="0"/>
    <n v="0"/>
    <n v="0"/>
  </r>
  <r>
    <s v="5480"/>
    <x v="116"/>
    <x v="4"/>
    <x v="6"/>
    <n v="0"/>
    <n v="0"/>
    <n v="0"/>
  </r>
  <r>
    <s v="5480"/>
    <x v="116"/>
    <x v="4"/>
    <x v="7"/>
    <n v="0"/>
    <n v="0"/>
    <n v="0"/>
  </r>
  <r>
    <s v="5480"/>
    <x v="116"/>
    <x v="4"/>
    <x v="8"/>
    <n v="0"/>
    <n v="0"/>
    <n v="0"/>
  </r>
  <r>
    <s v="5480"/>
    <x v="116"/>
    <x v="4"/>
    <x v="9"/>
    <n v="0"/>
    <n v="0"/>
    <n v="0"/>
  </r>
  <r>
    <s v="5480"/>
    <x v="116"/>
    <x v="4"/>
    <x v="10"/>
    <n v="0"/>
    <n v="0"/>
    <n v="0"/>
  </r>
  <r>
    <s v="5480"/>
    <x v="116"/>
    <x v="4"/>
    <x v="11"/>
    <n v="0"/>
    <n v="0"/>
    <n v="0"/>
  </r>
  <r>
    <s v="3590"/>
    <x v="66"/>
    <x v="4"/>
    <x v="6"/>
    <n v="0"/>
    <n v="0"/>
    <n v="2395.6559999999995"/>
  </r>
  <r>
    <s v="3590"/>
    <x v="66"/>
    <x v="4"/>
    <x v="7"/>
    <n v="0"/>
    <n v="0"/>
    <n v="2395.6559999999995"/>
  </r>
  <r>
    <s v="3590"/>
    <x v="66"/>
    <x v="4"/>
    <x v="8"/>
    <n v="0"/>
    <n v="0"/>
    <n v="2395.6559999999995"/>
  </r>
  <r>
    <s v="3590"/>
    <x v="66"/>
    <x v="4"/>
    <x v="9"/>
    <n v="0"/>
    <n v="0"/>
    <n v="2395.6559999999995"/>
  </r>
  <r>
    <s v="3590"/>
    <x v="66"/>
    <x v="4"/>
    <x v="10"/>
    <n v="0"/>
    <n v="0"/>
    <n v="2395.6559999999995"/>
  </r>
  <r>
    <s v="3590"/>
    <x v="66"/>
    <x v="4"/>
    <x v="11"/>
    <n v="0"/>
    <n v="0"/>
    <n v="2395.6559999999995"/>
  </r>
  <r>
    <s v="5770"/>
    <x v="137"/>
    <x v="4"/>
    <x v="5"/>
    <n v="0"/>
    <n v="0"/>
    <n v="0"/>
  </r>
  <r>
    <s v="5770"/>
    <x v="137"/>
    <x v="4"/>
    <x v="6"/>
    <n v="0"/>
    <n v="0"/>
    <n v="0"/>
  </r>
  <r>
    <s v="5770"/>
    <x v="137"/>
    <x v="4"/>
    <x v="7"/>
    <n v="0"/>
    <n v="0"/>
    <n v="0"/>
  </r>
  <r>
    <s v="5770"/>
    <x v="137"/>
    <x v="4"/>
    <x v="8"/>
    <n v="0"/>
    <n v="0"/>
    <n v="0"/>
  </r>
  <r>
    <s v="5770"/>
    <x v="137"/>
    <x v="4"/>
    <x v="9"/>
    <n v="0"/>
    <n v="0"/>
    <n v="0"/>
  </r>
  <r>
    <s v="5770"/>
    <x v="137"/>
    <x v="4"/>
    <x v="10"/>
    <n v="0"/>
    <n v="0"/>
    <n v="0"/>
  </r>
  <r>
    <s v="5770"/>
    <x v="137"/>
    <x v="4"/>
    <x v="11"/>
    <n v="0"/>
    <n v="0"/>
    <n v="0"/>
  </r>
  <r>
    <s v="270"/>
    <x v="11"/>
    <x v="4"/>
    <x v="6"/>
    <n v="0"/>
    <n v="0"/>
    <n v="8547.7839999999978"/>
  </r>
  <r>
    <s v="270"/>
    <x v="11"/>
    <x v="4"/>
    <x v="7"/>
    <n v="0"/>
    <n v="0"/>
    <n v="8547.7839999999978"/>
  </r>
  <r>
    <s v="270"/>
    <x v="11"/>
    <x v="4"/>
    <x v="8"/>
    <n v="0"/>
    <n v="0"/>
    <n v="8547.7839999999978"/>
  </r>
  <r>
    <s v="270"/>
    <x v="11"/>
    <x v="4"/>
    <x v="9"/>
    <n v="0"/>
    <n v="0"/>
    <n v="8547.7839999999978"/>
  </r>
  <r>
    <s v="270"/>
    <x v="11"/>
    <x v="4"/>
    <x v="10"/>
    <n v="0"/>
    <n v="0"/>
    <n v="8547.7839999999978"/>
  </r>
  <r>
    <s v="270"/>
    <x v="11"/>
    <x v="4"/>
    <x v="11"/>
    <n v="0"/>
    <n v="0"/>
    <n v="8547.7839999999978"/>
  </r>
  <r>
    <s v="5790"/>
    <x v="139"/>
    <x v="4"/>
    <x v="6"/>
    <n v="0"/>
    <n v="0"/>
    <n v="1811.9759999999999"/>
  </r>
  <r>
    <s v="5790"/>
    <x v="139"/>
    <x v="4"/>
    <x v="7"/>
    <n v="0"/>
    <n v="0"/>
    <n v="1811.9759999999999"/>
  </r>
  <r>
    <s v="5790"/>
    <x v="139"/>
    <x v="4"/>
    <x v="8"/>
    <n v="0"/>
    <n v="0"/>
    <n v="1811.9759999999999"/>
  </r>
  <r>
    <s v="5790"/>
    <x v="139"/>
    <x v="4"/>
    <x v="9"/>
    <n v="0"/>
    <n v="0"/>
    <n v="1811.9759999999999"/>
  </r>
  <r>
    <s v="5790"/>
    <x v="139"/>
    <x v="4"/>
    <x v="10"/>
    <n v="0"/>
    <n v="0"/>
    <n v="1811.9759999999999"/>
  </r>
  <r>
    <s v="5790"/>
    <x v="139"/>
    <x v="4"/>
    <x v="11"/>
    <n v="0"/>
    <n v="0"/>
    <n v="1811.9759999999999"/>
  </r>
  <r>
    <s v="670"/>
    <x v="15"/>
    <x v="4"/>
    <x v="6"/>
    <n v="0"/>
    <n v="0"/>
    <n v="0"/>
  </r>
  <r>
    <s v="670"/>
    <x v="15"/>
    <x v="4"/>
    <x v="7"/>
    <n v="0"/>
    <n v="0"/>
    <n v="0"/>
  </r>
  <r>
    <s v="670"/>
    <x v="15"/>
    <x v="4"/>
    <x v="8"/>
    <n v="0"/>
    <n v="0"/>
    <n v="0"/>
  </r>
  <r>
    <s v="670"/>
    <x v="15"/>
    <x v="4"/>
    <x v="9"/>
    <n v="0"/>
    <n v="0"/>
    <n v="0"/>
  </r>
  <r>
    <s v="670"/>
    <x v="15"/>
    <x v="4"/>
    <x v="10"/>
    <n v="0"/>
    <n v="0"/>
    <n v="0"/>
  </r>
  <r>
    <s v="670"/>
    <x v="15"/>
    <x v="4"/>
    <x v="11"/>
    <n v="0"/>
    <n v="0"/>
    <n v="0"/>
  </r>
  <r>
    <s v="5870"/>
    <x v="147"/>
    <x v="4"/>
    <x v="4"/>
    <n v="0"/>
    <n v="0"/>
    <n v="0"/>
  </r>
  <r>
    <s v="5870"/>
    <x v="147"/>
    <x v="4"/>
    <x v="5"/>
    <n v="0"/>
    <n v="0"/>
    <n v="0"/>
  </r>
  <r>
    <s v="5870"/>
    <x v="147"/>
    <x v="4"/>
    <x v="6"/>
    <n v="0"/>
    <n v="0"/>
    <n v="0"/>
  </r>
  <r>
    <s v="5870"/>
    <x v="147"/>
    <x v="4"/>
    <x v="7"/>
    <n v="0"/>
    <n v="0"/>
    <n v="0"/>
  </r>
  <r>
    <s v="5870"/>
    <x v="147"/>
    <x v="4"/>
    <x v="8"/>
    <n v="0"/>
    <n v="0"/>
    <n v="0"/>
  </r>
  <r>
    <s v="5870"/>
    <x v="147"/>
    <x v="4"/>
    <x v="9"/>
    <n v="0"/>
    <n v="0"/>
    <n v="0"/>
  </r>
  <r>
    <s v="5870"/>
    <x v="147"/>
    <x v="4"/>
    <x v="10"/>
    <n v="0"/>
    <n v="0"/>
    <n v="0"/>
  </r>
  <r>
    <s v="5870"/>
    <x v="147"/>
    <x v="4"/>
    <x v="11"/>
    <n v="0"/>
    <n v="0"/>
    <n v="0"/>
  </r>
  <r>
    <s v="5950"/>
    <x v="168"/>
    <x v="4"/>
    <x v="0"/>
    <n v="0"/>
    <n v="0"/>
    <n v="0"/>
  </r>
  <r>
    <s v="5950"/>
    <x v="168"/>
    <x v="4"/>
    <x v="6"/>
    <n v="0"/>
    <n v="0"/>
    <n v="1605.145"/>
  </r>
  <r>
    <s v="5950"/>
    <x v="168"/>
    <x v="4"/>
    <x v="7"/>
    <n v="0"/>
    <n v="0"/>
    <n v="1605.145"/>
  </r>
  <r>
    <s v="5950"/>
    <x v="168"/>
    <x v="4"/>
    <x v="8"/>
    <n v="0"/>
    <n v="0"/>
    <n v="1605.145"/>
  </r>
  <r>
    <s v="5950"/>
    <x v="168"/>
    <x v="4"/>
    <x v="9"/>
    <n v="0"/>
    <n v="0"/>
    <n v="1605.145"/>
  </r>
  <r>
    <s v="5950"/>
    <x v="168"/>
    <x v="4"/>
    <x v="10"/>
    <n v="0"/>
    <n v="0"/>
    <n v="1605.145"/>
  </r>
  <r>
    <s v="5950"/>
    <x v="168"/>
    <x v="4"/>
    <x v="11"/>
    <n v="0"/>
    <n v="0"/>
    <n v="1605.145"/>
  </r>
  <r>
    <s v="5340"/>
    <x v="106"/>
    <x v="4"/>
    <x v="6"/>
    <n v="0"/>
    <n v="0"/>
    <n v="5849.6099999999988"/>
  </r>
  <r>
    <s v="5340"/>
    <x v="106"/>
    <x v="4"/>
    <x v="7"/>
    <n v="0"/>
    <n v="0"/>
    <n v="5849.6099999999988"/>
  </r>
  <r>
    <s v="5340"/>
    <x v="106"/>
    <x v="4"/>
    <x v="8"/>
    <n v="0"/>
    <n v="0"/>
    <n v="5849.6099999999988"/>
  </r>
  <r>
    <s v="5340"/>
    <x v="106"/>
    <x v="4"/>
    <x v="9"/>
    <n v="0"/>
    <n v="0"/>
    <n v="5849.6099999999988"/>
  </r>
  <r>
    <s v="5340"/>
    <x v="106"/>
    <x v="4"/>
    <x v="10"/>
    <n v="0"/>
    <n v="0"/>
    <n v="5849.6099999999988"/>
  </r>
  <r>
    <s v="5340"/>
    <x v="106"/>
    <x v="4"/>
    <x v="11"/>
    <n v="0"/>
    <n v="0"/>
    <n v="5849.6099999999988"/>
  </r>
  <r>
    <s v="1190"/>
    <x v="30"/>
    <x v="4"/>
    <x v="6"/>
    <n v="0"/>
    <n v="0"/>
    <n v="6262.2199999999993"/>
  </r>
  <r>
    <s v="1190"/>
    <x v="30"/>
    <x v="4"/>
    <x v="7"/>
    <n v="0"/>
    <n v="0"/>
    <n v="6262.2199999999993"/>
  </r>
  <r>
    <s v="1190"/>
    <x v="30"/>
    <x v="4"/>
    <x v="8"/>
    <n v="0"/>
    <n v="0"/>
    <n v="6262.2199999999993"/>
  </r>
  <r>
    <s v="1190"/>
    <x v="30"/>
    <x v="4"/>
    <x v="9"/>
    <n v="0"/>
    <n v="0"/>
    <n v="6262.2199999999993"/>
  </r>
  <r>
    <s v="1190"/>
    <x v="30"/>
    <x v="4"/>
    <x v="10"/>
    <n v="0"/>
    <n v="0"/>
    <n v="6262.2199999999993"/>
  </r>
  <r>
    <s v="1190"/>
    <x v="30"/>
    <x v="4"/>
    <x v="11"/>
    <n v="0"/>
    <n v="0"/>
    <n v="6262.2199999999993"/>
  </r>
  <r>
    <s v="5990"/>
    <x v="171"/>
    <x v="4"/>
    <x v="0"/>
    <n v="0"/>
    <n v="0"/>
    <n v="0"/>
  </r>
  <r>
    <s v="5990"/>
    <x v="171"/>
    <x v="4"/>
    <x v="3"/>
    <n v="0"/>
    <n v="0"/>
    <n v="0"/>
  </r>
  <r>
    <s v="5990"/>
    <x v="171"/>
    <x v="4"/>
    <x v="4"/>
    <n v="0"/>
    <n v="0"/>
    <n v="0"/>
  </r>
  <r>
    <s v="5990"/>
    <x v="171"/>
    <x v="4"/>
    <x v="5"/>
    <n v="0"/>
    <n v="0"/>
    <n v="0"/>
  </r>
  <r>
    <s v="5990"/>
    <x v="171"/>
    <x v="4"/>
    <x v="6"/>
    <n v="0"/>
    <n v="0"/>
    <n v="0"/>
  </r>
  <r>
    <s v="5990"/>
    <x v="171"/>
    <x v="4"/>
    <x v="7"/>
    <n v="0"/>
    <n v="0"/>
    <n v="0"/>
  </r>
  <r>
    <s v="5990"/>
    <x v="171"/>
    <x v="4"/>
    <x v="8"/>
    <n v="0"/>
    <n v="0"/>
    <n v="0"/>
  </r>
  <r>
    <s v="5990"/>
    <x v="171"/>
    <x v="4"/>
    <x v="9"/>
    <n v="0"/>
    <n v="0"/>
    <n v="0"/>
  </r>
  <r>
    <s v="5990"/>
    <x v="171"/>
    <x v="4"/>
    <x v="10"/>
    <n v="0"/>
    <n v="0"/>
    <n v="0"/>
  </r>
  <r>
    <s v="5990"/>
    <x v="171"/>
    <x v="4"/>
    <x v="11"/>
    <n v="0"/>
    <n v="0"/>
    <n v="0"/>
  </r>
  <r>
    <s v="1330"/>
    <x v="36"/>
    <x v="4"/>
    <x v="6"/>
    <n v="0"/>
    <n v="0"/>
    <n v="1380.49"/>
  </r>
  <r>
    <s v="1330"/>
    <x v="36"/>
    <x v="4"/>
    <x v="7"/>
    <n v="0"/>
    <n v="0"/>
    <n v="1380.49"/>
  </r>
  <r>
    <s v="1330"/>
    <x v="36"/>
    <x v="4"/>
    <x v="8"/>
    <n v="0"/>
    <n v="0"/>
    <n v="1380.49"/>
  </r>
  <r>
    <s v="1330"/>
    <x v="36"/>
    <x v="4"/>
    <x v="9"/>
    <n v="0"/>
    <n v="0"/>
    <n v="1380.49"/>
  </r>
  <r>
    <s v="1330"/>
    <x v="36"/>
    <x v="4"/>
    <x v="10"/>
    <n v="0"/>
    <n v="0"/>
    <n v="1380.49"/>
  </r>
  <r>
    <s v="1330"/>
    <x v="36"/>
    <x v="4"/>
    <x v="11"/>
    <n v="0"/>
    <n v="0"/>
    <n v="1380.49"/>
  </r>
  <r>
    <s v="5820"/>
    <x v="142"/>
    <x v="4"/>
    <x v="6"/>
    <n v="0"/>
    <n v="0"/>
    <n v="2037.1540000000005"/>
  </r>
  <r>
    <s v="5820"/>
    <x v="142"/>
    <x v="4"/>
    <x v="7"/>
    <n v="0"/>
    <n v="0"/>
    <n v="2037.1540000000005"/>
  </r>
  <r>
    <s v="5820"/>
    <x v="142"/>
    <x v="4"/>
    <x v="8"/>
    <n v="0"/>
    <n v="0"/>
    <n v="2037.1540000000005"/>
  </r>
  <r>
    <s v="5820"/>
    <x v="142"/>
    <x v="4"/>
    <x v="9"/>
    <n v="0"/>
    <n v="0"/>
    <n v="2037.1540000000005"/>
  </r>
  <r>
    <s v="5820"/>
    <x v="142"/>
    <x v="4"/>
    <x v="10"/>
    <n v="0"/>
    <n v="0"/>
    <n v="2037.1540000000005"/>
  </r>
  <r>
    <s v="5820"/>
    <x v="142"/>
    <x v="4"/>
    <x v="11"/>
    <n v="0"/>
    <n v="0"/>
    <n v="2037.1540000000005"/>
  </r>
  <r>
    <s v="5880"/>
    <x v="148"/>
    <x v="4"/>
    <x v="6"/>
    <n v="0"/>
    <n v="0"/>
    <n v="1153.7059999999999"/>
  </r>
  <r>
    <s v="5880"/>
    <x v="148"/>
    <x v="4"/>
    <x v="7"/>
    <n v="0"/>
    <n v="0"/>
    <n v="1153.7059999999999"/>
  </r>
  <r>
    <s v="5880"/>
    <x v="148"/>
    <x v="4"/>
    <x v="8"/>
    <n v="0"/>
    <n v="0"/>
    <n v="1153.7059999999999"/>
  </r>
  <r>
    <s v="5880"/>
    <x v="148"/>
    <x v="4"/>
    <x v="9"/>
    <n v="0"/>
    <n v="0"/>
    <n v="1153.7059999999999"/>
  </r>
  <r>
    <s v="5880"/>
    <x v="148"/>
    <x v="4"/>
    <x v="10"/>
    <n v="0"/>
    <n v="0"/>
    <n v="1153.7059999999999"/>
  </r>
  <r>
    <s v="5880"/>
    <x v="148"/>
    <x v="4"/>
    <x v="11"/>
    <n v="0"/>
    <n v="0"/>
    <n v="1153.7059999999999"/>
  </r>
  <r>
    <m/>
    <x v="197"/>
    <x v="4"/>
    <x v="8"/>
    <n v="0"/>
    <n v="0"/>
    <n v="2166.6666666666665"/>
  </r>
  <r>
    <m/>
    <x v="197"/>
    <x v="4"/>
    <x v="9"/>
    <n v="0"/>
    <n v="0"/>
    <n v="4333.333333333333"/>
  </r>
  <r>
    <m/>
    <x v="197"/>
    <x v="4"/>
    <x v="10"/>
    <n v="0"/>
    <n v="0"/>
    <n v="4333.333333333333"/>
  </r>
  <r>
    <m/>
    <x v="197"/>
    <x v="4"/>
    <x v="11"/>
    <n v="0"/>
    <n v="0"/>
    <n v="4333.3333333333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D32BA-EC0F-457D-BE58-BA444401CF6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3" firstHeaderRow="1" firstDataRow="2" firstDataCol="1"/>
  <pivotFields count="12">
    <pivotField showAll="0"/>
    <pivotField axis="axisRow" showAll="0">
      <items count="221">
        <item m="1" x="216"/>
        <item x="134"/>
        <item x="179"/>
        <item x="129"/>
        <item x="108"/>
        <item m="1" x="202"/>
        <item x="96"/>
        <item x="53"/>
        <item m="1" x="210"/>
        <item x="124"/>
        <item x="9"/>
        <item x="120"/>
        <item x="138"/>
        <item x="41"/>
        <item x="89"/>
        <item x="5"/>
        <item x="133"/>
        <item x="78"/>
        <item m="1" x="199"/>
        <item x="159"/>
        <item x="87"/>
        <item x="7"/>
        <item x="151"/>
        <item x="177"/>
        <item x="50"/>
        <item x="131"/>
        <item x="140"/>
        <item x="170"/>
        <item x="64"/>
        <item x="156"/>
        <item x="67"/>
        <item m="1" x="204"/>
        <item x="12"/>
        <item x="33"/>
        <item x="72"/>
        <item x="91"/>
        <item x="61"/>
        <item x="165"/>
        <item x="123"/>
        <item x="31"/>
        <item x="116"/>
        <item x="155"/>
        <item x="149"/>
        <item x="119"/>
        <item x="13"/>
        <item x="35"/>
        <item x="66"/>
        <item x="111"/>
        <item x="195"/>
        <item x="103"/>
        <item x="100"/>
        <item x="71"/>
        <item x="60"/>
        <item x="57"/>
        <item x="63"/>
        <item x="136"/>
        <item x="29"/>
        <item x="10"/>
        <item x="92"/>
        <item x="74"/>
        <item x="137"/>
        <item x="32"/>
        <item x="56"/>
        <item m="1" x="212"/>
        <item x="113"/>
        <item m="1" x="198"/>
        <item x="143"/>
        <item x="70"/>
        <item x="154"/>
        <item x="68"/>
        <item x="188"/>
        <item x="6"/>
        <item x="192"/>
        <item x="52"/>
        <item x="47"/>
        <item x="135"/>
        <item x="0"/>
        <item x="153"/>
        <item x="104"/>
        <item x="11"/>
        <item x="182"/>
        <item x="157"/>
        <item x="183"/>
        <item x="51"/>
        <item x="76"/>
        <item x="114"/>
        <item x="58"/>
        <item x="101"/>
        <item x="139"/>
        <item x="15"/>
        <item m="1" x="213"/>
        <item x="85"/>
        <item x="147"/>
        <item x="107"/>
        <item x="98"/>
        <item x="23"/>
        <item x="144"/>
        <item x="95"/>
        <item x="127"/>
        <item x="80"/>
        <item x="193"/>
        <item x="190"/>
        <item x="26"/>
        <item x="39"/>
        <item x="186"/>
        <item x="168"/>
        <item m="1" x="200"/>
        <item x="77"/>
        <item x="163"/>
        <item x="189"/>
        <item x="106"/>
        <item x="37"/>
        <item x="14"/>
        <item x="8"/>
        <item x="117"/>
        <item x="16"/>
        <item x="79"/>
        <item x="145"/>
        <item x="174"/>
        <item x="197"/>
        <item x="109"/>
        <item x="83"/>
        <item m="1" x="209"/>
        <item x="175"/>
        <item x="99"/>
        <item x="97"/>
        <item x="42"/>
        <item x="17"/>
        <item x="21"/>
        <item m="1" x="205"/>
        <item x="132"/>
        <item x="184"/>
        <item x="4"/>
        <item x="93"/>
        <item m="1" x="207"/>
        <item x="81"/>
        <item x="172"/>
        <item x="44"/>
        <item m="1" x="201"/>
        <item m="1" x="218"/>
        <item m="1" x="208"/>
        <item m="1" x="219"/>
        <item x="46"/>
        <item x="65"/>
        <item x="125"/>
        <item x="185"/>
        <item x="48"/>
        <item x="169"/>
        <item x="69"/>
        <item x="112"/>
        <item x="194"/>
        <item x="25"/>
        <item x="75"/>
        <item x="59"/>
        <item x="105"/>
        <item x="30"/>
        <item x="94"/>
        <item x="40"/>
        <item x="150"/>
        <item x="162"/>
        <item x="38"/>
        <item x="110"/>
        <item x="84"/>
        <item x="171"/>
        <item x="118"/>
        <item x="43"/>
        <item x="3"/>
        <item x="24"/>
        <item x="176"/>
        <item x="73"/>
        <item x="20"/>
        <item x="28"/>
        <item x="160"/>
        <item x="122"/>
        <item x="19"/>
        <item m="1" x="203"/>
        <item x="196"/>
        <item x="158"/>
        <item x="115"/>
        <item x="164"/>
        <item x="45"/>
        <item x="187"/>
        <item x="126"/>
        <item x="102"/>
        <item x="166"/>
        <item m="1" x="215"/>
        <item x="130"/>
        <item x="36"/>
        <item x="180"/>
        <item x="141"/>
        <item m="1" x="211"/>
        <item x="49"/>
        <item x="178"/>
        <item x="86"/>
        <item x="55"/>
        <item x="128"/>
        <item x="146"/>
        <item x="152"/>
        <item x="54"/>
        <item x="1"/>
        <item x="27"/>
        <item x="191"/>
        <item x="173"/>
        <item x="121"/>
        <item x="82"/>
        <item x="181"/>
        <item x="142"/>
        <item x="62"/>
        <item x="148"/>
        <item m="1" x="214"/>
        <item x="18"/>
        <item x="161"/>
        <item x="167"/>
        <item x="2"/>
        <item x="90"/>
        <item m="1" x="206"/>
        <item m="1" x="217"/>
        <item x="22"/>
        <item x="88"/>
        <item x="34"/>
        <item t="default"/>
      </items>
    </pivotField>
    <pivotField axis="axisRow" showAll="0">
      <items count="15">
        <item sd="0" x="9"/>
        <item sd="0" x="12"/>
        <item sd="0" x="10"/>
        <item sd="0" x="13"/>
        <item sd="0" x="11"/>
        <item sd="0" x="0"/>
        <item sd="0" x="2"/>
        <item sd="0" x="3"/>
        <item sd="0" x="8"/>
        <item sd="0" x="1"/>
        <item sd="0" x="5"/>
        <item sd="0" x="7"/>
        <item sd="0" x="4"/>
        <item sd="0" x="6"/>
        <item t="default"/>
      </items>
    </pivotField>
    <pivotField axis="axisCol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numFmtId="164" showAll="0"/>
    <pivotField numFmtId="164" showAll="0"/>
    <pivotField dragToRow="0" dragToCol="0" dragToPage="0" showAll="0" defaultSubtotal="0"/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5">
        <item n="Diretti" x="2"/>
        <item n="Indiretti" x="1"/>
        <item n="Struttura" x="3"/>
        <item n="Progetto Yeah" x="0"/>
        <item t="default"/>
      </items>
    </pivotField>
  </pivotFields>
  <rowFields count="3">
    <field x="11"/>
    <field x="2"/>
    <field x="1"/>
  </rowFields>
  <rowItems count="19">
    <i>
      <x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 v="10"/>
    </i>
    <i r="1">
      <x v="11"/>
    </i>
    <i r="1">
      <x v="12"/>
    </i>
    <i>
      <x v="3"/>
    </i>
    <i r="1">
      <x v="13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Actual" fld="5" baseField="0" baseItem="0" numFmtId="164"/>
  </dataField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170A6-53D8-4FD6-A436-D251DE1CFA8A}" name="PivotTable1" cacheId="1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10:F24" firstHeaderRow="0" firstDataRow="1" firstDataCol="1"/>
  <pivotFields count="12">
    <pivotField showAll="0"/>
    <pivotField axis="axisRow" showAll="0">
      <items count="221">
        <item m="1" x="216"/>
        <item x="134"/>
        <item x="179"/>
        <item x="129"/>
        <item x="108"/>
        <item m="1" x="202"/>
        <item x="96"/>
        <item x="53"/>
        <item m="1" x="210"/>
        <item x="124"/>
        <item x="9"/>
        <item x="120"/>
        <item x="138"/>
        <item x="41"/>
        <item x="89"/>
        <item x="5"/>
        <item x="133"/>
        <item x="78"/>
        <item m="1" x="199"/>
        <item x="159"/>
        <item x="87"/>
        <item x="7"/>
        <item x="151"/>
        <item x="177"/>
        <item x="50"/>
        <item x="131"/>
        <item x="140"/>
        <item x="170"/>
        <item x="64"/>
        <item x="156"/>
        <item x="67"/>
        <item m="1" x="204"/>
        <item x="12"/>
        <item x="33"/>
        <item x="72"/>
        <item x="91"/>
        <item x="61"/>
        <item x="165"/>
        <item x="123"/>
        <item x="31"/>
        <item x="116"/>
        <item x="155"/>
        <item x="149"/>
        <item x="119"/>
        <item x="13"/>
        <item x="35"/>
        <item x="66"/>
        <item x="111"/>
        <item x="103"/>
        <item x="100"/>
        <item x="71"/>
        <item x="60"/>
        <item x="57"/>
        <item x="63"/>
        <item x="136"/>
        <item x="29"/>
        <item x="10"/>
        <item x="92"/>
        <item x="74"/>
        <item x="137"/>
        <item x="32"/>
        <item x="56"/>
        <item m="1" x="212"/>
        <item x="113"/>
        <item m="1" x="198"/>
        <item x="143"/>
        <item x="70"/>
        <item x="154"/>
        <item x="68"/>
        <item x="6"/>
        <item x="52"/>
        <item x="47"/>
        <item x="135"/>
        <item x="0"/>
        <item x="153"/>
        <item x="104"/>
        <item x="11"/>
        <item x="157"/>
        <item x="51"/>
        <item x="76"/>
        <item x="114"/>
        <item x="58"/>
        <item x="101"/>
        <item x="139"/>
        <item x="15"/>
        <item m="1" x="213"/>
        <item x="85"/>
        <item x="147"/>
        <item x="107"/>
        <item x="98"/>
        <item x="23"/>
        <item x="144"/>
        <item x="95"/>
        <item x="127"/>
        <item x="80"/>
        <item x="26"/>
        <item x="39"/>
        <item x="168"/>
        <item m="1" x="200"/>
        <item x="77"/>
        <item x="163"/>
        <item x="106"/>
        <item x="37"/>
        <item x="14"/>
        <item x="8"/>
        <item x="117"/>
        <item x="16"/>
        <item x="79"/>
        <item x="145"/>
        <item x="174"/>
        <item x="109"/>
        <item x="83"/>
        <item m="1" x="209"/>
        <item x="175"/>
        <item x="99"/>
        <item x="97"/>
        <item x="42"/>
        <item x="17"/>
        <item x="21"/>
        <item m="1" x="205"/>
        <item x="132"/>
        <item x="4"/>
        <item x="93"/>
        <item m="1" x="207"/>
        <item x="81"/>
        <item x="172"/>
        <item x="44"/>
        <item m="1" x="201"/>
        <item m="1" x="218"/>
        <item m="1" x="208"/>
        <item m="1" x="219"/>
        <item x="46"/>
        <item x="65"/>
        <item x="125"/>
        <item x="48"/>
        <item x="169"/>
        <item x="69"/>
        <item x="112"/>
        <item x="25"/>
        <item x="75"/>
        <item x="59"/>
        <item x="105"/>
        <item x="30"/>
        <item x="94"/>
        <item x="40"/>
        <item x="150"/>
        <item x="162"/>
        <item x="38"/>
        <item x="110"/>
        <item x="84"/>
        <item x="171"/>
        <item x="118"/>
        <item x="43"/>
        <item x="3"/>
        <item x="24"/>
        <item x="176"/>
        <item x="73"/>
        <item x="20"/>
        <item x="28"/>
        <item x="160"/>
        <item x="122"/>
        <item x="19"/>
        <item m="1" x="203"/>
        <item x="158"/>
        <item x="115"/>
        <item x="164"/>
        <item x="45"/>
        <item x="126"/>
        <item x="102"/>
        <item x="166"/>
        <item m="1" x="215"/>
        <item x="130"/>
        <item x="36"/>
        <item x="180"/>
        <item x="141"/>
        <item m="1" x="211"/>
        <item x="49"/>
        <item x="178"/>
        <item x="86"/>
        <item x="55"/>
        <item x="128"/>
        <item x="146"/>
        <item x="152"/>
        <item x="54"/>
        <item x="1"/>
        <item x="27"/>
        <item x="173"/>
        <item x="121"/>
        <item x="82"/>
        <item x="142"/>
        <item x="62"/>
        <item x="148"/>
        <item m="1" x="214"/>
        <item x="18"/>
        <item x="161"/>
        <item x="167"/>
        <item x="2"/>
        <item x="90"/>
        <item m="1" x="206"/>
        <item m="1" x="217"/>
        <item x="22"/>
        <item x="88"/>
        <item x="34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axis="axisRow" showAll="0">
      <items count="15">
        <item sd="0" x="0"/>
        <item sd="0" x="2"/>
        <item sd="0" x="3"/>
        <item sd="0" x="8"/>
        <item sd="0" x="1"/>
        <item sd="0" x="9"/>
        <item sd="0" x="12"/>
        <item sd="0" x="10"/>
        <item sd="0" x="13"/>
        <item sd="0" x="11"/>
        <item x="5"/>
        <item sd="0" x="7"/>
        <item sd="0" x="4"/>
        <item h="1" x="6"/>
        <item t="default" sd="0"/>
      </items>
    </pivotField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numFmtId="164" showAll="0"/>
    <pivotField dataField="1" numFmtId="164" showAll="0"/>
    <pivotField dataField="1" dragToRow="0" dragToCol="0" dragToPage="0" showAll="0" defaultSubtota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2"/>
        <item x="1"/>
        <item sd="0" x="3"/>
        <item h="1" x="0"/>
        <item t="default"/>
      </items>
    </pivotField>
  </pivotFields>
  <rowFields count="3">
    <field x="11"/>
    <field x="2"/>
    <field x="1"/>
  </rowFields>
  <rowItems count="14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5"/>
    </i>
    <i r="1">
      <x v="6"/>
    </i>
    <i r="1">
      <x v="7"/>
    </i>
    <i r="1">
      <x v="8"/>
    </i>
    <i r="1">
      <x v="9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ORE LAV." fld="4" baseField="2" baseItem="0" numFmtId="164"/>
    <dataField name="ACTUAL " fld="5" baseField="0" baseItem="0" numFmtId="164"/>
    <dataField name="BUDGET " fld="6" baseField="0" baseItem="0" numFmtId="164"/>
    <dataField name="SCOST." fld="7" baseField="0" baseItem="0" numFmtId="164"/>
    <dataField name="(%) " fld="8" baseField="2" baseItem="0" numFmtId="165"/>
  </dataFields>
  <pivotTableStyleInfo name="PivotStyleMedium13" showRowHeaders="1" showColHeaders="1" showRowStripes="1" showColStripes="0" showLastColumn="1"/>
  <filters count="1">
    <filter fld="3" type="dateBetween" evalOrder="-1" id="36" name="Mese">
      <autoFilter ref="A1">
        <filterColumn colId="0">
          <customFilters and="1">
            <customFilter operator="greaterThanOrEqual" val="45658"/>
            <customFilter operator="lessThanOrEqual" val="458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4466B9F5-FCC0-4901-AF98-8DE8B2D94131}" autoFormatId="16" applyNumberFormats="0" applyBorderFormats="0" applyFontFormats="0" applyPatternFormats="0" applyAlignmentFormats="0" applyWidthHeightFormats="0">
  <queryTableRefresh nextId="9">
    <queryTableFields count="7">
      <queryTableField id="1" name="Matricola" tableColumnId="1"/>
      <queryTableField id="2" name="Dipendente" tableColumnId="2"/>
      <queryTableField id="3" name="Centro di Costo" tableColumnId="3"/>
      <queryTableField id="4" name="Mese" tableColumnId="4"/>
      <queryTableField id="7" name="Ore Lav" tableColumnId="7"/>
      <queryTableField id="5" name="Actual" tableColumnId="5"/>
      <queryTableField id="6" name="Budge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5CF9D75-7727-433A-B6FB-7DFC04A93E93}" autoFormatId="16" applyNumberFormats="0" applyBorderFormats="0" applyFontFormats="0" applyPatternFormats="0" applyAlignmentFormats="0" applyWidthHeightFormats="0">
  <queryTableRefresh nextId="12">
    <queryTableFields count="7">
      <queryTableField id="1" name="Name" tableColumnId="1"/>
      <queryTableField id="2" name="Matricola" tableColumnId="2"/>
      <queryTableField id="3" name="Cognome" tableColumnId="3"/>
      <queryTableField id="4" name="Nome" tableColumnId="4"/>
      <queryTableField id="9" name="Centro di Costo" tableColumnId="5"/>
      <queryTableField id="8" name="Ore Lavorate PRG" tableColumnId="7"/>
      <queryTableField id="7" name="Totale A.C. PRG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09E9712-F2B9-45C3-8881-4138573AEBA2}" autoFormatId="16" applyNumberFormats="0" applyBorderFormats="0" applyFontFormats="0" applyPatternFormats="0" applyAlignmentFormats="0" applyWidthHeightFormats="0">
  <queryTableRefresh nextId="16" unboundColumnsRight="12">
    <queryTableFields count="15">
      <queryTableField id="1" name="Matricola" tableColumnId="1"/>
      <queryTableField id="2" name="Dipendente" tableColumnId="2"/>
      <queryTableField id="3" name="Centro di Costo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E78BC7A7-9E3C-465D-AF16-9DD2DE135B03}" autoFormatId="16" applyNumberFormats="0" applyBorderFormats="0" applyFontFormats="0" applyPatternFormats="0" applyAlignmentFormats="0" applyWidthHeightFormats="0">
  <queryTableRefresh nextId="16" unboundColumnsRight="12">
    <queryTableFields count="15">
      <queryTableField id="1" name="Matricola" tableColumnId="1"/>
      <queryTableField id="2" name="Dipendente" tableColumnId="2"/>
      <queryTableField id="3" name="Centro di Costo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F2C182-53A2-4558-9804-F40888DAD9B9}" name="LuT_CdC" displayName="LuT_CdC" ref="A1:B15" totalsRowShown="0">
  <autoFilter ref="A1:B15" xr:uid="{08F2C182-53A2-4558-9804-F40888DAD9B9}"/>
  <tableColumns count="2">
    <tableColumn id="1" xr3:uid="{48E5EB36-B3BF-4445-A9B4-969EED6B65DE}" name="Centro di Costo"/>
    <tableColumn id="2" xr3:uid="{937294F3-048E-4E22-B1E5-AA155733EC1A}" name="Descrizi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118132-9338-4B1B-8F41-79A007EDBA02}" name="DB_Varianza_BdgAct" displayName="DB_Varianza_BdgAct" ref="A1:G2381" tableType="queryTable" totalsRowShown="0">
  <autoFilter ref="A1:G2381" xr:uid="{6B118132-9338-4B1B-8F41-79A007EDBA02}">
    <filterColumn colId="2">
      <filters>
        <filter val="S10 - AMM DIREZ STRUTTURA"/>
        <filter val="S11 - PERS&amp;PROG STRUTTURA"/>
        <filter val="S12 - COMM. MKTG. RETAIL"/>
        <filter val="S13 - PROGETTO YEAH"/>
      </filters>
    </filterColumn>
  </autoFilter>
  <tableColumns count="7">
    <tableColumn id="1" xr3:uid="{555F8033-2A7C-40B3-9B2A-DFDE4625D3E4}" uniqueName="1" name="Matricola" queryTableFieldId="1" dataDxfId="43"/>
    <tableColumn id="2" xr3:uid="{869D01E7-F730-48BA-BF85-153DB86294E0}" uniqueName="2" name="Dipendente" queryTableFieldId="2" dataDxfId="42"/>
    <tableColumn id="3" xr3:uid="{18F4EDBD-9B63-4D09-8606-EB225BEAE0E9}" uniqueName="3" name="Centro di Costo" queryTableFieldId="3" dataDxfId="41"/>
    <tableColumn id="4" xr3:uid="{4B667E7B-DA32-4AE5-96D7-D5C482DD453C}" uniqueName="4" name="Mese" queryTableFieldId="4" dataDxfId="40"/>
    <tableColumn id="7" xr3:uid="{3807010C-901A-47F9-949D-A7412F378631}" uniqueName="7" name="Ore Lav" queryTableFieldId="7"/>
    <tableColumn id="5" xr3:uid="{2F1AE13E-E383-448F-AAAD-2EFDB493B691}" uniqueName="5" name="Actual" queryTableFieldId="5" dataDxfId="39"/>
    <tableColumn id="6" xr3:uid="{ECADD4C8-89DC-47ED-BEBD-9DFF69A3D571}" uniqueName="6" name="Budget" queryTableFieldId="6" dataDxfId="3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01C2BC-B2A6-4528-A2E9-5D1F77251CA4}" name="Costi_Personale_ACT" displayName="Costi_Personale_ACT" ref="A1:G1148" tableType="queryTable" totalsRowShown="0">
  <autoFilter ref="A1:G1148" xr:uid="{8B01C2BC-B2A6-4528-A2E9-5D1F77251CA4}">
    <filterColumn colId="2">
      <filters>
        <filter val="SALBEGO"/>
      </filters>
    </filterColumn>
  </autoFilter>
  <sortState xmlns:xlrd2="http://schemas.microsoft.com/office/spreadsheetml/2017/richdata2" ref="A2:G1148">
    <sortCondition ref="A1:A1148"/>
  </sortState>
  <tableColumns count="7">
    <tableColumn id="1" xr3:uid="{FBE772EF-7ADB-4802-9347-D1251F8B1153}" uniqueName="1" name="Name" queryTableFieldId="1" dataDxfId="37"/>
    <tableColumn id="2" xr3:uid="{4BC8C488-F274-42DD-887B-00B5A46C8963}" uniqueName="2" name="Matricola" queryTableFieldId="2" dataDxfId="36"/>
    <tableColumn id="3" xr3:uid="{8C5E643D-4E0E-427B-8080-CA6BC8F7853E}" uniqueName="3" name="Cognome" queryTableFieldId="3" dataDxfId="35"/>
    <tableColumn id="4" xr3:uid="{64F2E878-2314-4E67-83E1-96FA0CEAD466}" uniqueName="4" name="Nome" queryTableFieldId="4" dataDxfId="34"/>
    <tableColumn id="5" xr3:uid="{1D742852-781A-4694-808B-D8AC60DF118F}" uniqueName="5" name="Centro di Costo" queryTableFieldId="9" dataDxfId="33"/>
    <tableColumn id="7" xr3:uid="{DBAB15E3-C092-43DE-BF57-594CE6A55E76}" uniqueName="7" name="Ore Lavorate PRG" queryTableFieldId="8"/>
    <tableColumn id="6" xr3:uid="{5F1778DA-F51D-4715-B530-0B1707622C43}" uniqueName="6" name="Totale A.C. PRG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F1B5A6-6456-442E-9B4D-8006A6EEBDD5}" name="Index_Costo" displayName="Index_Costo" ref="A1:O214" tableType="queryTable" totalsRowShown="0">
  <autoFilter ref="A1:O214" xr:uid="{25F1B5A6-6456-442E-9B4D-8006A6EEBDD5}">
    <filterColumn colId="2">
      <filters>
        <filter val="S12 - COMM. MKTG. RETAIL"/>
      </filters>
    </filterColumn>
  </autoFilter>
  <tableColumns count="15">
    <tableColumn id="1" xr3:uid="{BED975DC-D79A-4010-92F1-7D9587274155}" uniqueName="1" name="Matricola" queryTableFieldId="1" dataDxfId="32"/>
    <tableColumn id="2" xr3:uid="{3AC3F636-229C-4C2B-AE6D-F7E4A4511EEC}" uniqueName="2" name="Dipendente" queryTableFieldId="2" dataDxfId="31"/>
    <tableColumn id="3" xr3:uid="{DCDC086C-B4FA-46AA-8EAA-264F93264910}" uniqueName="3" name="Centro di Costo" queryTableFieldId="3" dataDxfId="30"/>
    <tableColumn id="4" xr3:uid="{9122554A-9718-4AEC-AA9D-38669273BF9F}" uniqueName="4" name="31/01/2025" queryTableFieldId="4" dataDxfId="29">
      <calculatedColumnFormula>IF((D$1*1)&lt;=MAX('DB Costi-Ore YtD'!$A:$A),SUMIFS('DB Costi-Ore YtD'!$G:$G,'DB Costi-Ore YtD'!$A:$A,D$1,'DB Costi-Ore YtD'!$B:$B,$A2,'DB Costi-Ore YtD'!$E:$E,$C2),0)</calculatedColumnFormula>
    </tableColumn>
    <tableColumn id="5" xr3:uid="{C2E71E10-A279-4425-8990-02816C07533A}" uniqueName="5" name="28/02/2025" queryTableFieldId="5" dataDxfId="28">
      <calculatedColumnFormula>IF((E$1*1)&lt;=MAX('DB Costi-Ore YtD'!$A:$A),SUMIFS('DB Costi-Ore YtD'!$G:$G,'DB Costi-Ore YtD'!$A:$A,E$1,'DB Costi-Ore YtD'!$B:$B,$A2,'DB Costi-Ore YtD'!$E:$E,$C2)-SUM($D2:D2),0)</calculatedColumnFormula>
    </tableColumn>
    <tableColumn id="6" xr3:uid="{163AA0B9-9F34-49B3-9BD5-A24A8BFF4486}" uniqueName="6" name="31/03/2025" queryTableFieldId="6" dataDxfId="27">
      <calculatedColumnFormula>IF((F$1*1)&lt;=MAX('DB Costi-Ore YtD'!$A:$A),SUMIFS('DB Costi-Ore YtD'!$G:$G,'DB Costi-Ore YtD'!$A:$A,F$1,'DB Costi-Ore YtD'!$B:$B,$A2,'DB Costi-Ore YtD'!$E:$E,$C2)-SUM($D2:E2),0)</calculatedColumnFormula>
    </tableColumn>
    <tableColumn id="7" xr3:uid="{570D7ADB-D656-4A04-A168-33D70DFE9D31}" uniqueName="7" name="30/04/2025" queryTableFieldId="7" dataDxfId="26">
      <calculatedColumnFormula>IF((G$1*1)&lt;=MAX('DB Costi-Ore YtD'!$A:$A),SUMIFS('DB Costi-Ore YtD'!$G:$G,'DB Costi-Ore YtD'!$A:$A,G$1,'DB Costi-Ore YtD'!$B:$B,$A2,'DB Costi-Ore YtD'!$E:$E,$C2)-SUM($D2:F2),0)</calculatedColumnFormula>
    </tableColumn>
    <tableColumn id="8" xr3:uid="{E5E4F314-456E-476E-AEF9-F6BAB0419FE3}" uniqueName="8" name="31/05/2025" queryTableFieldId="8" dataDxfId="25">
      <calculatedColumnFormula>IF((H$1*1)&lt;=MAX('DB Costi-Ore YtD'!$A:$A),SUMIFS('DB Costi-Ore YtD'!$G:$G,'DB Costi-Ore YtD'!$A:$A,H$1,'DB Costi-Ore YtD'!$B:$B,$A2,'DB Costi-Ore YtD'!$E:$E,$C2)-SUM($D2:G2),0)</calculatedColumnFormula>
    </tableColumn>
    <tableColumn id="9" xr3:uid="{A103568A-1E29-4E46-A569-DCC0022D9D88}" uniqueName="9" name="30/06/2025" queryTableFieldId="9" dataDxfId="24">
      <calculatedColumnFormula>IF((I$1*1)&lt;=MAX('DB Costi-Ore YtD'!$A:$A),SUMIFS('DB Costi-Ore YtD'!$G:$G,'DB Costi-Ore YtD'!$A:$A,I$1,'DB Costi-Ore YtD'!$B:$B,$A2,'DB Costi-Ore YtD'!$E:$E,$C2)-SUM($D2:H2),0)</calculatedColumnFormula>
    </tableColumn>
    <tableColumn id="10" xr3:uid="{97E6839F-D80C-4BBD-98DF-944300F27555}" uniqueName="10" name="31/07/2025" queryTableFieldId="10" dataDxfId="23">
      <calculatedColumnFormula>IF((J$1*1)&lt;=MAX('DB Costi-Ore YtD'!$A:$A),SUMIFS('DB Costi-Ore YtD'!$G:$G,'DB Costi-Ore YtD'!$A:$A,J$1,'DB Costi-Ore YtD'!$B:$B,$A2,'DB Costi-Ore YtD'!$E:$E,$C2)-SUM($D2:I2),0)</calculatedColumnFormula>
    </tableColumn>
    <tableColumn id="11" xr3:uid="{4BFF82D3-1D47-40EF-AADC-38D61B5DA5C4}" uniqueName="11" name="31/08/2025" queryTableFieldId="11" dataDxfId="22">
      <calculatedColumnFormula>IF((K$1*1)&lt;=MAX('DB Costi-Ore YtD'!$A:$A),SUMIFS('DB Costi-Ore YtD'!$G:$G,'DB Costi-Ore YtD'!$A:$A,K$1,'DB Costi-Ore YtD'!$B:$B,$A2,'DB Costi-Ore YtD'!$E:$E,$C2)-SUM($D2:J2),0)</calculatedColumnFormula>
    </tableColumn>
    <tableColumn id="12" xr3:uid="{28FAD96A-7C2C-4DA7-9A69-AAD09E3E1498}" uniqueName="12" name="30/09/2025" queryTableFieldId="12" dataDxfId="21">
      <calculatedColumnFormula>IF((L$1*1)&lt;=MAX('DB Costi-Ore YtD'!$A:$A),SUMIFS('DB Costi-Ore YtD'!$G:$G,'DB Costi-Ore YtD'!$A:$A,L$1,'DB Costi-Ore YtD'!$B:$B,$A2,'DB Costi-Ore YtD'!$E:$E,$C2)-SUM($D2:K2),0)</calculatedColumnFormula>
    </tableColumn>
    <tableColumn id="13" xr3:uid="{137E0D59-E566-4932-8377-9FF65A0F5A35}" uniqueName="13" name="31/10/2025" queryTableFieldId="13" dataDxfId="20">
      <calculatedColumnFormula>IF((M$1*1)&lt;=MAX('DB Costi-Ore YtD'!$A:$A),SUMIFS('DB Costi-Ore YtD'!$G:$G,'DB Costi-Ore YtD'!$A:$A,M$1,'DB Costi-Ore YtD'!$B:$B,$A2,'DB Costi-Ore YtD'!$E:$E,$C2)-SUM($D2:L2),0)</calculatedColumnFormula>
    </tableColumn>
    <tableColumn id="14" xr3:uid="{7DAA3F9D-D3B7-45C2-8EA6-D364647B4EA2}" uniqueName="14" name="30/11/2025" queryTableFieldId="14" dataDxfId="19">
      <calculatedColumnFormula>IF((N$1*1)&lt;=MAX('DB Costi-Ore YtD'!$A:$A),SUMIFS('DB Costi-Ore YtD'!$G:$G,'DB Costi-Ore YtD'!$A:$A,N$1,'DB Costi-Ore YtD'!$B:$B,$A2,'DB Costi-Ore YtD'!$E:$E,$C2)-SUM($D2:M2),0)</calculatedColumnFormula>
    </tableColumn>
    <tableColumn id="15" xr3:uid="{9AE4297B-329B-4E72-AF1D-172140CF8092}" uniqueName="15" name="31/12/2025" queryTableFieldId="15" dataDxfId="18">
      <calculatedColumnFormula>IF((O$1*1)&lt;=MAX('DB Costi-Ore YtD'!$A:$A),SUMIFS('DB Costi-Ore YtD'!$G:$G,'DB Costi-Ore YtD'!$A:$A,O$1,'DB Costi-Ore YtD'!$B:$B,$A2,'DB Costi-Ore YtD'!$E:$E,$C2)-SUM($D2:N2),0)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ABD58C-0D81-4B15-81E7-7C46F0873043}" name="Index_Ore" displayName="Index_Ore" ref="A1:O214" tableType="queryTable" totalsRowShown="0" headerRowDxfId="17" dataDxfId="16" tableBorderDxfId="15">
  <autoFilter ref="A1:O214" xr:uid="{20ABD58C-0D81-4B15-81E7-7C46F0873043}"/>
  <tableColumns count="15">
    <tableColumn id="1" xr3:uid="{CEFDFC11-09FA-4F62-AC7B-0224F77C48DC}" uniqueName="1" name="Matricola" queryTableFieldId="1" dataDxfId="14"/>
    <tableColumn id="2" xr3:uid="{DB00B6BB-B748-4314-92C9-431443F0C7C7}" uniqueName="2" name="Dipendente" queryTableFieldId="2" dataDxfId="13"/>
    <tableColumn id="3" xr3:uid="{1CCD523C-BEFC-4036-91AB-64B7978BEC9F}" uniqueName="3" name="Centro di Costo" queryTableFieldId="3" dataDxfId="12"/>
    <tableColumn id="4" xr3:uid="{EAD8957B-591E-47F2-985B-69747F5CA3B9}" uniqueName="4" name="31/01/2025" queryTableFieldId="4" dataDxfId="11">
      <calculatedColumnFormula>IF((D$1*1)&lt;=MAX('DB Costi-Ore YtD'!$A:$A),SUMIFS('DB Costi-Ore YtD'!$F:$F,'DB Costi-Ore YtD'!$A:$A,D$1,'DB Costi-Ore YtD'!$B:$B,$A2,'DB Costi-Ore YtD'!$E:$E,$C2),0)</calculatedColumnFormula>
    </tableColumn>
    <tableColumn id="5" xr3:uid="{335AE6CC-692F-4FE9-9075-DAA0915F1DE8}" uniqueName="5" name="28/02/2025" queryTableFieldId="5" dataDxfId="10">
      <calculatedColumnFormula>IF((E$1*1)&lt;=MAX('DB Costi-Ore YtD'!$A:$A),SUMIFS('DB Costi-Ore YtD'!$F:$F,'DB Costi-Ore YtD'!$A:$A,E$1,'DB Costi-Ore YtD'!$B:$B,$A2,'DB Costi-Ore YtD'!$E:$E,$C2)-SUM($D2:D2),0)</calculatedColumnFormula>
    </tableColumn>
    <tableColumn id="6" xr3:uid="{8EF108BB-3F48-477A-A110-E2C4B98F1083}" uniqueName="6" name="31/03/2025" queryTableFieldId="6" dataDxfId="9">
      <calculatedColumnFormula>IF((F$1*1)&lt;=MAX('DB Costi-Ore YtD'!$A:$A),SUMIFS('DB Costi-Ore YtD'!$F:$F,'DB Costi-Ore YtD'!$A:$A,F$1,'DB Costi-Ore YtD'!$B:$B,$A2,'DB Costi-Ore YtD'!$E:$E,$C2)-SUM($D2:E2),0)</calculatedColumnFormula>
    </tableColumn>
    <tableColumn id="7" xr3:uid="{A43C3D24-4D2A-4147-A68E-A47368AF729F}" uniqueName="7" name="30/04/2025" queryTableFieldId="7" dataDxfId="8">
      <calculatedColumnFormula>IF((G$1*1)&lt;=MAX('DB Costi-Ore YtD'!$A:$A),SUMIFS('DB Costi-Ore YtD'!$F:$F,'DB Costi-Ore YtD'!$A:$A,G$1,'DB Costi-Ore YtD'!$B:$B,$A2,'DB Costi-Ore YtD'!$E:$E,$C2)-SUM($D2:F2),0)</calculatedColumnFormula>
    </tableColumn>
    <tableColumn id="8" xr3:uid="{AE49682B-0D47-4C71-BB78-926CF9088651}" uniqueName="8" name="31/05/2025" queryTableFieldId="8" dataDxfId="7">
      <calculatedColumnFormula>IF((H$1*1)&lt;=MAX('DB Costi-Ore YtD'!$A:$A),SUMIFS('DB Costi-Ore YtD'!$F:$F,'DB Costi-Ore YtD'!$A:$A,H$1,'DB Costi-Ore YtD'!$B:$B,$A2,'DB Costi-Ore YtD'!$E:$E,$C2)-SUM($D2:G2),0)</calculatedColumnFormula>
    </tableColumn>
    <tableColumn id="9" xr3:uid="{88E82A42-07C8-4739-B0A8-4D3A8B63E705}" uniqueName="9" name="30/06/2025" queryTableFieldId="9" dataDxfId="6">
      <calculatedColumnFormula>IF((I$1*1)&lt;=MAX('DB Costi-Ore YtD'!$A:$A),SUMIFS('DB Costi-Ore YtD'!$F:$F,'DB Costi-Ore YtD'!$A:$A,I$1,'DB Costi-Ore YtD'!$B:$B,$A2,'DB Costi-Ore YtD'!$E:$E,$C2)-SUM($D2:H2),0)</calculatedColumnFormula>
    </tableColumn>
    <tableColumn id="10" xr3:uid="{CDB5E2BB-C668-418B-BA03-27BF8AD8B88C}" uniqueName="10" name="31/07/2025" queryTableFieldId="10" dataDxfId="5">
      <calculatedColumnFormula>IF((J$1*1)&lt;=MAX('DB Costi-Ore YtD'!$A:$A),SUMIFS('DB Costi-Ore YtD'!$F:$F,'DB Costi-Ore YtD'!$A:$A,J$1,'DB Costi-Ore YtD'!$B:$B,$A2,'DB Costi-Ore YtD'!$E:$E,$C2)-SUM($D2:I2),0)</calculatedColumnFormula>
    </tableColumn>
    <tableColumn id="11" xr3:uid="{FF3E2961-EC88-4586-BF94-A8366FD7F9DB}" uniqueName="11" name="31/08/2025" queryTableFieldId="11" dataDxfId="4">
      <calculatedColumnFormula>IF((K$1*1)&lt;=MAX('DB Costi-Ore YtD'!$A:$A),SUMIFS('DB Costi-Ore YtD'!$F:$F,'DB Costi-Ore YtD'!$A:$A,K$1,'DB Costi-Ore YtD'!$B:$B,$A2,'DB Costi-Ore YtD'!$E:$E,$C2)-SUM($D2:J2),0)</calculatedColumnFormula>
    </tableColumn>
    <tableColumn id="12" xr3:uid="{6DA33E3F-FC27-4D31-8121-61618C63599C}" uniqueName="12" name="30/09/2025" queryTableFieldId="12" dataDxfId="3">
      <calculatedColumnFormula>IF((L$1*1)&lt;=MAX('DB Costi-Ore YtD'!$A:$A),SUMIFS('DB Costi-Ore YtD'!$F:$F,'DB Costi-Ore YtD'!$A:$A,L$1,'DB Costi-Ore YtD'!$B:$B,$A2,'DB Costi-Ore YtD'!$E:$E,$C2)-SUM($D2:K2),0)</calculatedColumnFormula>
    </tableColumn>
    <tableColumn id="13" xr3:uid="{15407ACB-24EC-4EC7-9128-9D6F24B74F87}" uniqueName="13" name="31/10/2025" queryTableFieldId="13" dataDxfId="2">
      <calculatedColumnFormula>IF((M$1*1)&lt;=MAX('DB Costi-Ore YtD'!$A:$A),SUMIFS('DB Costi-Ore YtD'!$F:$F,'DB Costi-Ore YtD'!$A:$A,M$1,'DB Costi-Ore YtD'!$B:$B,$A2,'DB Costi-Ore YtD'!$E:$E,$C2)-SUM($D2:L2),0)</calculatedColumnFormula>
    </tableColumn>
    <tableColumn id="14" xr3:uid="{B149B2EE-4538-4C05-B710-125D1044CC7A}" uniqueName="14" name="30/11/2025" queryTableFieldId="14" dataDxfId="1">
      <calculatedColumnFormula>IF((N$1*1)&lt;=MAX('DB Costi-Ore YtD'!$A:$A),SUMIFS('DB Costi-Ore YtD'!$F:$F,'DB Costi-Ore YtD'!$A:$A,N$1,'DB Costi-Ore YtD'!$B:$B,$A2,'DB Costi-Ore YtD'!$E:$E,$C2)-SUM($D2:M2),0)</calculatedColumnFormula>
    </tableColumn>
    <tableColumn id="15" xr3:uid="{4280F730-6CBF-401F-8E3A-B7C92730A83D}" uniqueName="15" name="31/12/2025" queryTableFieldId="15" dataDxfId="0">
      <calculatedColumnFormula>IF((O$1*1)&lt;=MAX('DB Costi-Ore YtD'!$A:$A),SUMIFS('DB Costi-Ore YtD'!$F:$F,'DB Costi-Ore YtD'!$A:$A,O$1,'DB Costi-Ore YtD'!$B:$B,$A2,'DB Costi-Ore YtD'!$E:$E,$C2)-SUM($D2:N2),0)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Mese" xr10:uid="{FBF91454-ED3E-4CEF-8832-75C708BFF96F}" sourceName="Mese">
  <pivotTables>
    <pivotTable tabId="9" name="PivotTable1"/>
  </pivotTables>
  <state minimalRefreshVersion="6" lastRefreshVersion="6" pivotCacheId="2048395673" filterType="dateBetween">
    <selection startDate="2025-01-01T00:00:00" endDate="2025-06-30T00:00:00"/>
    <bounds startDate="2025-01-01T00:00:00" endDate="202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Mese" xr10:uid="{AAD2CA8E-43A6-4100-8ECF-8B4865E545B3}" cache="NativeTimeline_Mese" caption="Mese" level="2" selectionLevel="1" scrollPosition="2025-01-01T00:00:00" style="TimeSlicerStyleDark5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C483-E9A6-4A87-B407-F1884E7C1BB2}">
  <dimension ref="A1:B15"/>
  <sheetViews>
    <sheetView workbookViewId="0">
      <selection activeCell="B21" sqref="B21"/>
    </sheetView>
  </sheetViews>
  <sheetFormatPr defaultRowHeight="14.4" x14ac:dyDescent="0.3"/>
  <cols>
    <col min="1" max="1" width="15.6640625" customWidth="1"/>
    <col min="2" max="2" width="2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5</v>
      </c>
      <c r="B4" t="s">
        <v>4</v>
      </c>
    </row>
    <row r="5" spans="1:2" x14ac:dyDescent="0.3">
      <c r="A5">
        <v>6</v>
      </c>
      <c r="B5" t="s">
        <v>5</v>
      </c>
    </row>
    <row r="6" spans="1:2" x14ac:dyDescent="0.3">
      <c r="A6">
        <v>7</v>
      </c>
      <c r="B6" t="s">
        <v>6</v>
      </c>
    </row>
    <row r="7" spans="1:2" x14ac:dyDescent="0.3">
      <c r="A7">
        <v>8</v>
      </c>
      <c r="B7" t="s">
        <v>7</v>
      </c>
    </row>
    <row r="8" spans="1:2" x14ac:dyDescent="0.3">
      <c r="A8">
        <v>9</v>
      </c>
      <c r="B8" t="s">
        <v>8</v>
      </c>
    </row>
    <row r="9" spans="1:2" x14ac:dyDescent="0.3">
      <c r="A9">
        <v>10</v>
      </c>
      <c r="B9" t="s">
        <v>9</v>
      </c>
    </row>
    <row r="10" spans="1:2" x14ac:dyDescent="0.3">
      <c r="A10">
        <v>11</v>
      </c>
      <c r="B10" t="s">
        <v>10</v>
      </c>
    </row>
    <row r="11" spans="1:2" x14ac:dyDescent="0.3">
      <c r="A11">
        <v>12</v>
      </c>
      <c r="B11" t="s">
        <v>11</v>
      </c>
    </row>
    <row r="12" spans="1:2" x14ac:dyDescent="0.3">
      <c r="A12">
        <v>13</v>
      </c>
      <c r="B12" t="s">
        <v>12</v>
      </c>
    </row>
    <row r="13" spans="1:2" x14ac:dyDescent="0.3">
      <c r="A13">
        <v>14</v>
      </c>
      <c r="B13" t="s">
        <v>13</v>
      </c>
    </row>
    <row r="14" spans="1:2" x14ac:dyDescent="0.3">
      <c r="A14">
        <v>15</v>
      </c>
      <c r="B14" t="s">
        <v>14</v>
      </c>
    </row>
    <row r="15" spans="1:2" x14ac:dyDescent="0.3">
      <c r="A15">
        <v>17</v>
      </c>
      <c r="B15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C518-9534-44B5-980C-BEA71993B375}">
  <dimension ref="A3:N23"/>
  <sheetViews>
    <sheetView tabSelected="1" topLeftCell="A10" workbookViewId="0">
      <selection activeCell="A18" sqref="A18:A20"/>
    </sheetView>
  </sheetViews>
  <sheetFormatPr defaultRowHeight="14.4" x14ac:dyDescent="0.3"/>
  <cols>
    <col min="1" max="1" width="31.44140625" bestFit="1" customWidth="1"/>
    <col min="2" max="2" width="15.5546875" bestFit="1" customWidth="1"/>
    <col min="3" max="13" width="10.77734375" bestFit="1" customWidth="1"/>
    <col min="14" max="14" width="11.6640625" bestFit="1" customWidth="1"/>
  </cols>
  <sheetData>
    <row r="3" spans="1:14" x14ac:dyDescent="0.3">
      <c r="A3" s="6" t="s">
        <v>805</v>
      </c>
      <c r="B3" s="6" t="s">
        <v>806</v>
      </c>
    </row>
    <row r="4" spans="1:14" x14ac:dyDescent="0.3">
      <c r="A4" s="6" t="s">
        <v>16</v>
      </c>
      <c r="B4" s="1">
        <v>45688</v>
      </c>
      <c r="C4" s="1">
        <v>45716</v>
      </c>
      <c r="D4" s="1">
        <v>45747</v>
      </c>
      <c r="E4" s="1">
        <v>45777</v>
      </c>
      <c r="F4" s="1">
        <v>45808</v>
      </c>
      <c r="G4" s="1">
        <v>45838</v>
      </c>
      <c r="H4" s="1">
        <v>45869</v>
      </c>
      <c r="I4" s="1">
        <v>45900</v>
      </c>
      <c r="J4" s="1">
        <v>45930</v>
      </c>
      <c r="K4" s="1">
        <v>45961</v>
      </c>
      <c r="L4" s="1">
        <v>45991</v>
      </c>
      <c r="M4" s="1">
        <v>46022</v>
      </c>
      <c r="N4" s="1" t="s">
        <v>22</v>
      </c>
    </row>
    <row r="5" spans="1:14" x14ac:dyDescent="0.3">
      <c r="A5" s="7" t="s">
        <v>811</v>
      </c>
      <c r="B5" s="2">
        <v>193028.42000000004</v>
      </c>
      <c r="C5" s="2">
        <v>181321.37000000002</v>
      </c>
      <c r="D5" s="2">
        <v>186222.85000000006</v>
      </c>
      <c r="E5" s="2">
        <v>206640.47</v>
      </c>
      <c r="F5" s="2">
        <v>202783.22000000009</v>
      </c>
      <c r="G5" s="2">
        <v>193293.80999999997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1163290.1400000001</v>
      </c>
    </row>
    <row r="6" spans="1:14" x14ac:dyDescent="0.3">
      <c r="A6" s="10" t="s">
        <v>2</v>
      </c>
      <c r="B6" s="2">
        <v>117894.08000000002</v>
      </c>
      <c r="C6" s="2">
        <v>106929</v>
      </c>
      <c r="D6" s="2">
        <v>112390.03000000004</v>
      </c>
      <c r="E6" s="2">
        <v>125311.36</v>
      </c>
      <c r="F6" s="2">
        <v>122130.72000000004</v>
      </c>
      <c r="G6" s="2">
        <v>117990.90999999996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702646.1</v>
      </c>
    </row>
    <row r="7" spans="1:14" x14ac:dyDescent="0.3">
      <c r="A7" s="10" t="s">
        <v>3</v>
      </c>
      <c r="B7" s="2">
        <v>40071.550000000017</v>
      </c>
      <c r="C7" s="2">
        <v>36944.300000000003</v>
      </c>
      <c r="D7" s="2">
        <v>39823.610000000008</v>
      </c>
      <c r="E7" s="2">
        <v>44384.090000000004</v>
      </c>
      <c r="F7" s="2">
        <v>43077.970000000008</v>
      </c>
      <c r="G7" s="2">
        <v>39944.350000000006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244245.87000000002</v>
      </c>
    </row>
    <row r="8" spans="1:14" x14ac:dyDescent="0.3">
      <c r="A8" s="10" t="s">
        <v>4</v>
      </c>
      <c r="B8" s="2">
        <v>4629.2700000000004</v>
      </c>
      <c r="C8" s="2">
        <v>4699.880000000001</v>
      </c>
      <c r="D8" s="2">
        <v>4647.1299999999983</v>
      </c>
      <c r="E8" s="2">
        <v>4632.09</v>
      </c>
      <c r="F8" s="2">
        <v>4419.6299999999956</v>
      </c>
      <c r="G8" s="2">
        <v>4557.1800000000021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27585.179999999993</v>
      </c>
    </row>
    <row r="9" spans="1:14" x14ac:dyDescent="0.3">
      <c r="A9" s="10" t="s">
        <v>5</v>
      </c>
      <c r="B9" s="2">
        <v>23507.350000000009</v>
      </c>
      <c r="C9" s="2">
        <v>26188.71000000001</v>
      </c>
      <c r="D9" s="2">
        <v>22262.63</v>
      </c>
      <c r="E9" s="2">
        <v>24756.65</v>
      </c>
      <c r="F9" s="2">
        <v>26163.980000000018</v>
      </c>
      <c r="G9" s="2">
        <v>24066.340000000011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146945.66000000003</v>
      </c>
    </row>
    <row r="10" spans="1:14" x14ac:dyDescent="0.3">
      <c r="A10" s="10" t="s">
        <v>15</v>
      </c>
      <c r="B10" s="2">
        <v>6926.170000000001</v>
      </c>
      <c r="C10" s="2">
        <v>6559.4799999999987</v>
      </c>
      <c r="D10" s="2">
        <v>7099.45</v>
      </c>
      <c r="E10" s="2">
        <v>7556.2800000000016</v>
      </c>
      <c r="F10" s="2">
        <v>6990.9199999999983</v>
      </c>
      <c r="G10" s="2">
        <v>6735.0300000000043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41867.330000000009</v>
      </c>
    </row>
    <row r="11" spans="1:14" x14ac:dyDescent="0.3">
      <c r="A11" s="7" t="s">
        <v>810</v>
      </c>
      <c r="B11" s="2">
        <v>67549.05</v>
      </c>
      <c r="C11" s="2">
        <v>61114.630000000005</v>
      </c>
      <c r="D11" s="2">
        <v>66677.33</v>
      </c>
      <c r="E11" s="2">
        <v>71969.279999999999</v>
      </c>
      <c r="F11" s="2">
        <v>55543.369999999995</v>
      </c>
      <c r="G11" s="2">
        <v>63935.800000000017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386789.45999999996</v>
      </c>
    </row>
    <row r="12" spans="1:14" x14ac:dyDescent="0.3">
      <c r="A12" s="10" t="s">
        <v>6</v>
      </c>
      <c r="B12" s="2">
        <v>14301.29</v>
      </c>
      <c r="C12" s="2">
        <v>13758.739999999998</v>
      </c>
      <c r="D12" s="2">
        <v>14280.98</v>
      </c>
      <c r="E12" s="2">
        <v>15551.010000000006</v>
      </c>
      <c r="F12" s="2">
        <v>14792.789999999997</v>
      </c>
      <c r="G12" s="2">
        <v>14064.490000000002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86749.3</v>
      </c>
    </row>
    <row r="13" spans="1:14" x14ac:dyDescent="0.3">
      <c r="A13" s="10" t="s">
        <v>7</v>
      </c>
      <c r="B13" s="2">
        <v>17823.190000000002</v>
      </c>
      <c r="C13" s="2">
        <v>18005.2</v>
      </c>
      <c r="D13" s="2">
        <v>21717.1</v>
      </c>
      <c r="E13" s="2">
        <v>25866.420000000002</v>
      </c>
      <c r="F13" s="2">
        <v>1122.7099999999946</v>
      </c>
      <c r="G13" s="2">
        <v>14013.050000000007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98547.67</v>
      </c>
    </row>
    <row r="14" spans="1:14" x14ac:dyDescent="0.3">
      <c r="A14" s="10" t="s">
        <v>8</v>
      </c>
      <c r="B14" s="2">
        <v>18208.150000000001</v>
      </c>
      <c r="C14" s="2">
        <v>15101.500000000002</v>
      </c>
      <c r="D14" s="2">
        <v>15663.57</v>
      </c>
      <c r="E14" s="2">
        <v>15917.769999999999</v>
      </c>
      <c r="F14" s="2">
        <v>26291.309999999998</v>
      </c>
      <c r="G14" s="2">
        <v>17915.960000000003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109098.26</v>
      </c>
    </row>
    <row r="15" spans="1:14" x14ac:dyDescent="0.3">
      <c r="A15" s="10" t="s">
        <v>9</v>
      </c>
      <c r="B15" s="2">
        <v>6092.07</v>
      </c>
      <c r="C15" s="2">
        <v>4117.82</v>
      </c>
      <c r="D15" s="2">
        <v>4246.26</v>
      </c>
      <c r="E15" s="2">
        <v>3270.3999999999996</v>
      </c>
      <c r="F15" s="2">
        <v>3976.380000000001</v>
      </c>
      <c r="G15" s="2">
        <v>4894.8600000000006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26597.79</v>
      </c>
    </row>
    <row r="16" spans="1:14" x14ac:dyDescent="0.3">
      <c r="A16" s="10" t="s">
        <v>10</v>
      </c>
      <c r="B16" s="2">
        <v>11124.35</v>
      </c>
      <c r="C16" s="2">
        <v>10131.370000000003</v>
      </c>
      <c r="D16" s="2">
        <v>10769.419999999998</v>
      </c>
      <c r="E16" s="2">
        <v>11363.68</v>
      </c>
      <c r="F16" s="2">
        <v>9360.1800000000076</v>
      </c>
      <c r="G16" s="2">
        <v>13047.440000000002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65796.44</v>
      </c>
    </row>
    <row r="17" spans="1:14" x14ac:dyDescent="0.3">
      <c r="A17" s="7" t="s">
        <v>812</v>
      </c>
      <c r="B17" s="2">
        <v>78408.58</v>
      </c>
      <c r="C17" s="2">
        <v>77151.920000000013</v>
      </c>
      <c r="D17" s="2">
        <v>81678.689999999988</v>
      </c>
      <c r="E17" s="2">
        <v>95881.16</v>
      </c>
      <c r="F17" s="2">
        <v>86994.689999999988</v>
      </c>
      <c r="G17" s="2">
        <v>75167.959999999992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495283</v>
      </c>
    </row>
    <row r="18" spans="1:14" x14ac:dyDescent="0.3">
      <c r="A18" s="10" t="s">
        <v>11</v>
      </c>
      <c r="B18" s="2">
        <v>12046.48</v>
      </c>
      <c r="C18" s="2">
        <v>14430.750000000002</v>
      </c>
      <c r="D18" s="2">
        <v>14346.539999999997</v>
      </c>
      <c r="E18" s="2">
        <v>16736.390000000007</v>
      </c>
      <c r="F18" s="2">
        <v>-3568.3299999999963</v>
      </c>
      <c r="G18" s="2">
        <v>9594.6999999999953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63586.530000000013</v>
      </c>
    </row>
    <row r="19" spans="1:14" x14ac:dyDescent="0.3">
      <c r="A19" s="10" t="s">
        <v>12</v>
      </c>
      <c r="B19" s="2">
        <v>20453.75</v>
      </c>
      <c r="C19" s="2">
        <v>21161.329999999998</v>
      </c>
      <c r="D19" s="2">
        <v>20993.050000000003</v>
      </c>
      <c r="E19" s="2">
        <v>27304.839999999993</v>
      </c>
      <c r="F19" s="2">
        <v>60691.71</v>
      </c>
      <c r="G19" s="2">
        <v>28417.869999999988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179022.55</v>
      </c>
    </row>
    <row r="20" spans="1:14" x14ac:dyDescent="0.3">
      <c r="A20" s="10" t="s">
        <v>13</v>
      </c>
      <c r="B20" s="2">
        <v>45908.35</v>
      </c>
      <c r="C20" s="2">
        <v>41559.840000000004</v>
      </c>
      <c r="D20" s="2">
        <v>46339.099999999991</v>
      </c>
      <c r="E20" s="2">
        <v>51839.930000000008</v>
      </c>
      <c r="F20" s="2">
        <v>29871.309999999987</v>
      </c>
      <c r="G20" s="2">
        <v>37155.390000000007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252673.91999999998</v>
      </c>
    </row>
    <row r="21" spans="1:14" x14ac:dyDescent="0.3">
      <c r="A21" s="7" t="s">
        <v>813</v>
      </c>
      <c r="B21" s="2">
        <v>34764.629999999997</v>
      </c>
      <c r="C21" s="2">
        <v>19465.939999999999</v>
      </c>
      <c r="D21" s="2">
        <v>19923.729999999992</v>
      </c>
      <c r="E21" s="2">
        <v>19121.599999999999</v>
      </c>
      <c r="F21" s="2">
        <v>19458.509999999991</v>
      </c>
      <c r="G21" s="2">
        <v>34336.949999999997</v>
      </c>
      <c r="H21" s="2"/>
      <c r="I21" s="2"/>
      <c r="J21" s="2"/>
      <c r="K21" s="2"/>
      <c r="L21" s="2"/>
      <c r="M21" s="2"/>
      <c r="N21" s="2">
        <v>147071.35999999999</v>
      </c>
    </row>
    <row r="22" spans="1:14" x14ac:dyDescent="0.3">
      <c r="A22" s="10" t="s">
        <v>14</v>
      </c>
      <c r="B22" s="2">
        <v>34764.629999999997</v>
      </c>
      <c r="C22" s="2">
        <v>19465.939999999999</v>
      </c>
      <c r="D22" s="2">
        <v>19923.729999999992</v>
      </c>
      <c r="E22" s="2">
        <v>19121.599999999999</v>
      </c>
      <c r="F22" s="2">
        <v>19458.509999999991</v>
      </c>
      <c r="G22" s="2">
        <v>34336.949999999997</v>
      </c>
      <c r="H22" s="2"/>
      <c r="I22" s="2"/>
      <c r="J22" s="2"/>
      <c r="K22" s="2"/>
      <c r="L22" s="2"/>
      <c r="M22" s="2"/>
      <c r="N22" s="2">
        <v>147071.35999999999</v>
      </c>
    </row>
    <row r="23" spans="1:14" x14ac:dyDescent="0.3">
      <c r="A23" s="7" t="s">
        <v>22</v>
      </c>
      <c r="B23" s="2">
        <v>373750.68000000005</v>
      </c>
      <c r="C23" s="2">
        <v>339053.86000000004</v>
      </c>
      <c r="D23" s="2">
        <v>354502.60000000003</v>
      </c>
      <c r="E23" s="2">
        <v>393612.51</v>
      </c>
      <c r="F23" s="2">
        <v>364779.7900000001</v>
      </c>
      <c r="G23" s="2">
        <v>366734.52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2192433.96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EBB1-0C37-428E-8017-C2E07293117C}">
  <dimension ref="A10:F24"/>
  <sheetViews>
    <sheetView showGridLines="0" topLeftCell="A4" workbookViewId="0">
      <selection activeCell="A23" sqref="A23"/>
    </sheetView>
  </sheetViews>
  <sheetFormatPr defaultRowHeight="14.4" x14ac:dyDescent="0.3"/>
  <cols>
    <col min="1" max="1" width="31.44140625" bestFit="1" customWidth="1"/>
    <col min="2" max="2" width="10.109375" bestFit="1" customWidth="1"/>
    <col min="3" max="4" width="11.6640625" bestFit="1" customWidth="1"/>
    <col min="5" max="5" width="10.44140625" bestFit="1" customWidth="1"/>
    <col min="6" max="6" width="6.6640625" bestFit="1" customWidth="1"/>
  </cols>
  <sheetData>
    <row r="10" spans="1:6" x14ac:dyDescent="0.3">
      <c r="A10" s="6" t="s">
        <v>814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</row>
    <row r="11" spans="1:6" x14ac:dyDescent="0.3">
      <c r="A11" s="7" t="s">
        <v>808</v>
      </c>
      <c r="B11" s="2">
        <v>72640.5</v>
      </c>
      <c r="C11" s="2">
        <v>1163290.1399999992</v>
      </c>
      <c r="D11" s="2">
        <v>1159365.9159999993</v>
      </c>
      <c r="E11" s="2">
        <v>3924.2240000001621</v>
      </c>
      <c r="F11" s="8">
        <v>3.3848019385798117E-3</v>
      </c>
    </row>
    <row r="12" spans="1:6" x14ac:dyDescent="0.3">
      <c r="A12" s="10" t="s">
        <v>2</v>
      </c>
      <c r="B12" s="2">
        <v>42283.5</v>
      </c>
      <c r="C12" s="2">
        <v>702646.09999999939</v>
      </c>
      <c r="D12" s="2">
        <v>682761.34999999951</v>
      </c>
      <c r="E12" s="2">
        <v>19884.749999999884</v>
      </c>
      <c r="F12" s="8">
        <v>2.9124012365374662E-2</v>
      </c>
    </row>
    <row r="13" spans="1:6" x14ac:dyDescent="0.3">
      <c r="A13" s="10" t="s">
        <v>3</v>
      </c>
      <c r="B13" s="2">
        <v>16025</v>
      </c>
      <c r="C13" s="2">
        <v>244245.86999999994</v>
      </c>
      <c r="D13" s="2">
        <v>259108.08999999997</v>
      </c>
      <c r="E13" s="2">
        <v>-14862.22000000003</v>
      </c>
      <c r="F13" s="8">
        <v>-5.7359150769858369E-2</v>
      </c>
    </row>
    <row r="14" spans="1:6" x14ac:dyDescent="0.3">
      <c r="A14" s="10" t="s">
        <v>4</v>
      </c>
      <c r="B14" s="2">
        <v>1536.75</v>
      </c>
      <c r="C14" s="2">
        <v>27585.179999999997</v>
      </c>
      <c r="D14" s="2">
        <v>27633.599999999991</v>
      </c>
      <c r="E14" s="2">
        <v>-48.419999999994616</v>
      </c>
      <c r="F14" s="8">
        <v>-1.7522146951535315E-3</v>
      </c>
    </row>
    <row r="15" spans="1:6" x14ac:dyDescent="0.3">
      <c r="A15" s="10" t="s">
        <v>5</v>
      </c>
      <c r="B15" s="2">
        <v>10383.75</v>
      </c>
      <c r="C15" s="2">
        <v>146945.65999999983</v>
      </c>
      <c r="D15" s="2">
        <v>147704.11599999986</v>
      </c>
      <c r="E15" s="2">
        <v>-758.45600000003469</v>
      </c>
      <c r="F15" s="8">
        <v>-5.1349686152282678E-3</v>
      </c>
    </row>
    <row r="16" spans="1:6" x14ac:dyDescent="0.3">
      <c r="A16" s="10" t="s">
        <v>15</v>
      </c>
      <c r="B16" s="2">
        <v>2411.5</v>
      </c>
      <c r="C16" s="2">
        <v>41867.33</v>
      </c>
      <c r="D16" s="2">
        <v>42158.76</v>
      </c>
      <c r="E16" s="2">
        <v>-291.43000000000029</v>
      </c>
      <c r="F16" s="8">
        <v>-6.9126795949406546E-3</v>
      </c>
    </row>
    <row r="17" spans="1:6" x14ac:dyDescent="0.3">
      <c r="A17" s="7" t="s">
        <v>807</v>
      </c>
      <c r="B17" s="2">
        <v>17055</v>
      </c>
      <c r="C17" s="2">
        <v>386789.46</v>
      </c>
      <c r="D17" s="2">
        <v>415575.12533333333</v>
      </c>
      <c r="E17" s="2">
        <v>-28785.665333333425</v>
      </c>
      <c r="F17" s="8">
        <v>-6.9267055650273565E-2</v>
      </c>
    </row>
    <row r="18" spans="1:6" x14ac:dyDescent="0.3">
      <c r="A18" s="10" t="s">
        <v>6</v>
      </c>
      <c r="B18" s="2">
        <v>4009.75</v>
      </c>
      <c r="C18" s="2">
        <v>86749.300000000017</v>
      </c>
      <c r="D18" s="2">
        <v>128763.50999999998</v>
      </c>
      <c r="E18" s="2">
        <v>-42014.209999999963</v>
      </c>
      <c r="F18" s="8">
        <v>-0.32628972291917152</v>
      </c>
    </row>
    <row r="19" spans="1:6" x14ac:dyDescent="0.3">
      <c r="A19" s="10" t="s">
        <v>7</v>
      </c>
      <c r="B19" s="2">
        <v>3793.25</v>
      </c>
      <c r="C19" s="2">
        <v>98547.67</v>
      </c>
      <c r="D19" s="2">
        <v>89122.012000000017</v>
      </c>
      <c r="E19" s="2">
        <v>9425.6579999999813</v>
      </c>
      <c r="F19" s="8">
        <v>0.10576127926734845</v>
      </c>
    </row>
    <row r="20" spans="1:6" x14ac:dyDescent="0.3">
      <c r="A20" s="10" t="s">
        <v>8</v>
      </c>
      <c r="B20" s="2">
        <v>5146.25</v>
      </c>
      <c r="C20" s="2">
        <v>109098.26000000002</v>
      </c>
      <c r="D20" s="2">
        <v>108355.35133333331</v>
      </c>
      <c r="E20" s="2">
        <v>742.90866666671354</v>
      </c>
      <c r="F20" s="8">
        <v>6.8562249812776236E-3</v>
      </c>
    </row>
    <row r="21" spans="1:6" x14ac:dyDescent="0.3">
      <c r="A21" s="10" t="s">
        <v>9</v>
      </c>
      <c r="B21" s="2">
        <v>879.75</v>
      </c>
      <c r="C21" s="2">
        <v>26597.79</v>
      </c>
      <c r="D21" s="2">
        <v>26043.516</v>
      </c>
      <c r="E21" s="2">
        <v>554.27400000000125</v>
      </c>
      <c r="F21" s="8">
        <v>2.1282610228204258E-2</v>
      </c>
    </row>
    <row r="22" spans="1:6" x14ac:dyDescent="0.3">
      <c r="A22" s="10" t="s">
        <v>10</v>
      </c>
      <c r="B22" s="2">
        <v>3226</v>
      </c>
      <c r="C22" s="2">
        <v>65796.44</v>
      </c>
      <c r="D22" s="2">
        <v>63290.736000000012</v>
      </c>
      <c r="E22" s="2">
        <v>2505.7039999999906</v>
      </c>
      <c r="F22" s="8">
        <v>3.9590375438199835E-2</v>
      </c>
    </row>
    <row r="23" spans="1:6" x14ac:dyDescent="0.3">
      <c r="A23" s="7" t="s">
        <v>809</v>
      </c>
      <c r="B23" s="2">
        <v>17715.7</v>
      </c>
      <c r="C23" s="2">
        <v>495282.99999999977</v>
      </c>
      <c r="D23" s="2">
        <v>485547.97399999981</v>
      </c>
      <c r="E23" s="2">
        <v>9735.0259999999544</v>
      </c>
      <c r="F23" s="8">
        <v>2.0049565689259693E-2</v>
      </c>
    </row>
    <row r="24" spans="1:6" x14ac:dyDescent="0.3">
      <c r="A24" s="7" t="s">
        <v>815</v>
      </c>
      <c r="B24" s="2">
        <v>107411.2</v>
      </c>
      <c r="C24" s="2">
        <v>2045362.5999999989</v>
      </c>
      <c r="D24" s="2">
        <v>2060489.0153333326</v>
      </c>
      <c r="E24" s="2">
        <v>-15126.415333334357</v>
      </c>
      <c r="F24" s="8">
        <v>-7.3411773713762309E-3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0D28-09B3-44F9-BBF3-DF6B06DF1552}">
  <dimension ref="A1:G2381"/>
  <sheetViews>
    <sheetView topLeftCell="A2363" workbookViewId="0">
      <selection activeCell="B10" sqref="B10"/>
    </sheetView>
  </sheetViews>
  <sheetFormatPr defaultRowHeight="14.4" x14ac:dyDescent="0.3"/>
  <cols>
    <col min="1" max="1" width="11.33203125" bestFit="1" customWidth="1"/>
    <col min="2" max="2" width="36.6640625" bestFit="1" customWidth="1"/>
    <col min="3" max="3" width="26.88671875" bestFit="1" customWidth="1"/>
    <col min="4" max="4" width="10.5546875" bestFit="1" customWidth="1"/>
    <col min="5" max="5" width="9.5546875" bestFit="1" customWidth="1"/>
    <col min="6" max="6" width="10.109375" bestFit="1" customWidth="1"/>
    <col min="7" max="7" width="9.33203125" bestFit="1" customWidth="1"/>
  </cols>
  <sheetData>
    <row r="1" spans="1:7" x14ac:dyDescent="0.3">
      <c r="A1" t="s">
        <v>23</v>
      </c>
      <c r="B1" t="s">
        <v>24</v>
      </c>
      <c r="C1" t="s">
        <v>0</v>
      </c>
      <c r="D1" t="s">
        <v>25</v>
      </c>
      <c r="E1" t="s">
        <v>26</v>
      </c>
      <c r="F1" t="s">
        <v>27</v>
      </c>
      <c r="G1" t="s">
        <v>28</v>
      </c>
    </row>
    <row r="2" spans="1:7" hidden="1" x14ac:dyDescent="0.3">
      <c r="A2" t="s">
        <v>29</v>
      </c>
      <c r="B2" t="s">
        <v>30</v>
      </c>
      <c r="C2" t="s">
        <v>2</v>
      </c>
      <c r="D2" s="1">
        <v>45688</v>
      </c>
      <c r="E2">
        <v>148.25</v>
      </c>
      <c r="F2" s="2">
        <v>2099.1999999999998</v>
      </c>
      <c r="G2" s="2">
        <v>2099.1999999999998</v>
      </c>
    </row>
    <row r="3" spans="1:7" hidden="1" x14ac:dyDescent="0.3">
      <c r="A3" t="s">
        <v>29</v>
      </c>
      <c r="B3" t="s">
        <v>30</v>
      </c>
      <c r="C3" t="s">
        <v>2</v>
      </c>
      <c r="D3" s="1">
        <v>45716</v>
      </c>
      <c r="E3">
        <v>147.25</v>
      </c>
      <c r="F3" s="2">
        <v>1952.9499999999998</v>
      </c>
      <c r="G3" s="2">
        <v>1952.9499999999998</v>
      </c>
    </row>
    <row r="4" spans="1:7" hidden="1" x14ac:dyDescent="0.3">
      <c r="A4" t="s">
        <v>29</v>
      </c>
      <c r="B4" t="s">
        <v>30</v>
      </c>
      <c r="C4" t="s">
        <v>2</v>
      </c>
      <c r="D4" s="1">
        <v>45747</v>
      </c>
      <c r="E4">
        <v>142</v>
      </c>
      <c r="F4" s="2">
        <v>1874.5600000000004</v>
      </c>
      <c r="G4" s="2">
        <v>1874.5600000000004</v>
      </c>
    </row>
    <row r="5" spans="1:7" hidden="1" x14ac:dyDescent="0.3">
      <c r="A5" t="s">
        <v>29</v>
      </c>
      <c r="B5" t="s">
        <v>30</v>
      </c>
      <c r="C5" t="s">
        <v>2</v>
      </c>
      <c r="D5" s="1">
        <v>45777</v>
      </c>
      <c r="E5">
        <v>155.5</v>
      </c>
      <c r="F5" s="2">
        <v>2173.3000000000011</v>
      </c>
      <c r="G5" s="2">
        <v>2173.3000000000011</v>
      </c>
    </row>
    <row r="6" spans="1:7" hidden="1" x14ac:dyDescent="0.3">
      <c r="A6" t="s">
        <v>29</v>
      </c>
      <c r="B6" t="s">
        <v>30</v>
      </c>
      <c r="C6" t="s">
        <v>2</v>
      </c>
      <c r="D6" s="1">
        <v>45808</v>
      </c>
      <c r="E6">
        <v>153</v>
      </c>
      <c r="F6" s="2">
        <v>2066.46</v>
      </c>
      <c r="G6" s="2">
        <v>2066.46</v>
      </c>
    </row>
    <row r="7" spans="1:7" hidden="1" x14ac:dyDescent="0.3">
      <c r="A7" t="s">
        <v>29</v>
      </c>
      <c r="B7" t="s">
        <v>30</v>
      </c>
      <c r="C7" t="s">
        <v>2</v>
      </c>
      <c r="D7" s="1">
        <v>45838</v>
      </c>
      <c r="E7">
        <v>151.5</v>
      </c>
      <c r="F7" s="2">
        <v>2081.8299999999981</v>
      </c>
      <c r="G7" s="2">
        <v>2066.46</v>
      </c>
    </row>
    <row r="8" spans="1:7" hidden="1" x14ac:dyDescent="0.3">
      <c r="A8" t="s">
        <v>31</v>
      </c>
      <c r="B8" t="s">
        <v>32</v>
      </c>
      <c r="C8" t="s">
        <v>2</v>
      </c>
      <c r="D8" s="1">
        <v>45688</v>
      </c>
      <c r="E8">
        <v>97</v>
      </c>
      <c r="F8" s="2">
        <v>2127.1999999999998</v>
      </c>
      <c r="G8" s="2">
        <v>0</v>
      </c>
    </row>
    <row r="9" spans="1:7" hidden="1" x14ac:dyDescent="0.3">
      <c r="A9" t="s">
        <v>31</v>
      </c>
      <c r="B9" t="s">
        <v>32</v>
      </c>
      <c r="C9" t="s">
        <v>2</v>
      </c>
      <c r="D9" s="1">
        <v>45716</v>
      </c>
      <c r="E9">
        <v>47.25</v>
      </c>
      <c r="F9" s="2">
        <v>2426.7799999999997</v>
      </c>
      <c r="G9" s="2">
        <v>0</v>
      </c>
    </row>
    <row r="10" spans="1:7" hidden="1" x14ac:dyDescent="0.3">
      <c r="A10" t="s">
        <v>31</v>
      </c>
      <c r="B10" t="s">
        <v>32</v>
      </c>
      <c r="C10" t="s">
        <v>2</v>
      </c>
      <c r="D10" s="1">
        <v>45747</v>
      </c>
      <c r="E10">
        <v>17.5</v>
      </c>
      <c r="F10" s="2">
        <v>1083.1400000000003</v>
      </c>
      <c r="G10" s="2">
        <v>0</v>
      </c>
    </row>
    <row r="11" spans="1:7" hidden="1" x14ac:dyDescent="0.3">
      <c r="A11" t="s">
        <v>31</v>
      </c>
      <c r="B11" t="s">
        <v>32</v>
      </c>
      <c r="C11" t="s">
        <v>2</v>
      </c>
      <c r="D11" s="1">
        <v>45777</v>
      </c>
      <c r="E11">
        <v>0</v>
      </c>
      <c r="F11" s="2">
        <v>614.84999999999945</v>
      </c>
      <c r="G11" s="2">
        <v>0</v>
      </c>
    </row>
    <row r="12" spans="1:7" hidden="1" x14ac:dyDescent="0.3">
      <c r="A12" t="s">
        <v>31</v>
      </c>
      <c r="B12" t="s">
        <v>32</v>
      </c>
      <c r="C12" t="s">
        <v>2</v>
      </c>
      <c r="D12" s="1">
        <v>45808</v>
      </c>
      <c r="E12">
        <v>-161.75</v>
      </c>
      <c r="F12" s="2">
        <v>-6251.9699999999993</v>
      </c>
      <c r="G12" s="2">
        <v>0</v>
      </c>
    </row>
    <row r="13" spans="1:7" hidden="1" x14ac:dyDescent="0.3">
      <c r="A13" t="s">
        <v>33</v>
      </c>
      <c r="B13" t="s">
        <v>34</v>
      </c>
      <c r="C13" t="s">
        <v>2</v>
      </c>
      <c r="D13" s="1">
        <v>45688</v>
      </c>
      <c r="E13">
        <v>98.5</v>
      </c>
      <c r="F13" s="2">
        <v>1870.5300000000002</v>
      </c>
      <c r="G13" s="2">
        <v>1870.5300000000002</v>
      </c>
    </row>
    <row r="14" spans="1:7" hidden="1" x14ac:dyDescent="0.3">
      <c r="A14" t="s">
        <v>33</v>
      </c>
      <c r="B14" t="s">
        <v>34</v>
      </c>
      <c r="C14" t="s">
        <v>2</v>
      </c>
      <c r="D14" s="1">
        <v>45716</v>
      </c>
      <c r="E14">
        <v>75.5</v>
      </c>
      <c r="F14" s="2">
        <v>1595.08</v>
      </c>
      <c r="G14" s="2">
        <v>1595.08</v>
      </c>
    </row>
    <row r="15" spans="1:7" hidden="1" x14ac:dyDescent="0.3">
      <c r="A15" t="s">
        <v>33</v>
      </c>
      <c r="B15" t="s">
        <v>34</v>
      </c>
      <c r="C15" t="s">
        <v>2</v>
      </c>
      <c r="D15" s="1">
        <v>45747</v>
      </c>
      <c r="E15">
        <v>133</v>
      </c>
      <c r="F15" s="2">
        <v>1992.5300000000002</v>
      </c>
      <c r="G15" s="2">
        <v>1992.5300000000002</v>
      </c>
    </row>
    <row r="16" spans="1:7" hidden="1" x14ac:dyDescent="0.3">
      <c r="A16" t="s">
        <v>33</v>
      </c>
      <c r="B16" t="s">
        <v>34</v>
      </c>
      <c r="C16" t="s">
        <v>2</v>
      </c>
      <c r="D16" s="1">
        <v>45777</v>
      </c>
      <c r="E16">
        <v>30</v>
      </c>
      <c r="F16" s="2">
        <v>1407.63</v>
      </c>
      <c r="G16" s="2">
        <v>1407.63</v>
      </c>
    </row>
    <row r="17" spans="1:7" hidden="1" x14ac:dyDescent="0.3">
      <c r="A17" t="s">
        <v>33</v>
      </c>
      <c r="B17" t="s">
        <v>34</v>
      </c>
      <c r="C17" t="s">
        <v>2</v>
      </c>
      <c r="D17" s="1">
        <v>45808</v>
      </c>
      <c r="E17">
        <v>0</v>
      </c>
      <c r="F17" s="2">
        <v>1031.29</v>
      </c>
      <c r="G17" s="2">
        <v>1031.29</v>
      </c>
    </row>
    <row r="18" spans="1:7" hidden="1" x14ac:dyDescent="0.3">
      <c r="A18" t="s">
        <v>33</v>
      </c>
      <c r="B18" t="s">
        <v>34</v>
      </c>
      <c r="C18" t="s">
        <v>2</v>
      </c>
      <c r="D18" s="1">
        <v>45838</v>
      </c>
      <c r="E18">
        <v>0</v>
      </c>
      <c r="F18" s="2">
        <v>927.38000000000193</v>
      </c>
      <c r="G18" s="2">
        <v>1031.29</v>
      </c>
    </row>
    <row r="19" spans="1:7" hidden="1" x14ac:dyDescent="0.3">
      <c r="A19" t="s">
        <v>35</v>
      </c>
      <c r="B19" t="s">
        <v>36</v>
      </c>
      <c r="C19" t="s">
        <v>2</v>
      </c>
      <c r="D19" s="1">
        <v>45688</v>
      </c>
      <c r="E19">
        <v>148</v>
      </c>
      <c r="F19" s="2">
        <v>3084.9400000000014</v>
      </c>
      <c r="G19" s="2">
        <v>3084.9400000000014</v>
      </c>
    </row>
    <row r="20" spans="1:7" hidden="1" x14ac:dyDescent="0.3">
      <c r="A20" t="s">
        <v>35</v>
      </c>
      <c r="B20" t="s">
        <v>36</v>
      </c>
      <c r="C20" t="s">
        <v>2</v>
      </c>
      <c r="D20" s="1">
        <v>45716</v>
      </c>
      <c r="E20">
        <v>135.5</v>
      </c>
      <c r="F20" s="2">
        <v>2584.2799999999988</v>
      </c>
      <c r="G20" s="2">
        <v>2584.2799999999988</v>
      </c>
    </row>
    <row r="21" spans="1:7" hidden="1" x14ac:dyDescent="0.3">
      <c r="A21" t="s">
        <v>35</v>
      </c>
      <c r="B21" t="s">
        <v>36</v>
      </c>
      <c r="C21" t="s">
        <v>2</v>
      </c>
      <c r="D21" s="1">
        <v>45747</v>
      </c>
      <c r="E21">
        <v>160</v>
      </c>
      <c r="F21" s="2">
        <v>2950.6899999999996</v>
      </c>
      <c r="G21" s="2">
        <v>2950.6899999999996</v>
      </c>
    </row>
    <row r="22" spans="1:7" hidden="1" x14ac:dyDescent="0.3">
      <c r="A22" t="s">
        <v>35</v>
      </c>
      <c r="B22" t="s">
        <v>36</v>
      </c>
      <c r="C22" t="s">
        <v>2</v>
      </c>
      <c r="D22" s="1">
        <v>45777</v>
      </c>
      <c r="E22">
        <v>154</v>
      </c>
      <c r="F22" s="2">
        <v>3089.8099999999995</v>
      </c>
      <c r="G22" s="2">
        <v>3089.8099999999995</v>
      </c>
    </row>
    <row r="23" spans="1:7" hidden="1" x14ac:dyDescent="0.3">
      <c r="A23" t="s">
        <v>35</v>
      </c>
      <c r="B23" t="s">
        <v>36</v>
      </c>
      <c r="C23" t="s">
        <v>2</v>
      </c>
      <c r="D23" s="1">
        <v>45808</v>
      </c>
      <c r="E23">
        <v>140</v>
      </c>
      <c r="F23" s="2">
        <v>2933.1700000000019</v>
      </c>
      <c r="G23" s="2">
        <v>2933.1700000000019</v>
      </c>
    </row>
    <row r="24" spans="1:7" hidden="1" x14ac:dyDescent="0.3">
      <c r="A24" t="s">
        <v>35</v>
      </c>
      <c r="B24" t="s">
        <v>36</v>
      </c>
      <c r="C24" t="s">
        <v>2</v>
      </c>
      <c r="D24" s="1">
        <v>45838</v>
      </c>
      <c r="E24">
        <v>101</v>
      </c>
      <c r="F24" s="2">
        <v>2254.6700000000037</v>
      </c>
      <c r="G24" s="2">
        <v>2933.1700000000019</v>
      </c>
    </row>
    <row r="25" spans="1:7" hidden="1" x14ac:dyDescent="0.3">
      <c r="A25" t="s">
        <v>37</v>
      </c>
      <c r="B25" t="s">
        <v>38</v>
      </c>
      <c r="C25" t="s">
        <v>2</v>
      </c>
      <c r="D25" s="1">
        <v>45688</v>
      </c>
      <c r="E25">
        <v>151.5</v>
      </c>
      <c r="F25" s="2">
        <v>2801.2</v>
      </c>
      <c r="G25" s="2">
        <v>2801.2</v>
      </c>
    </row>
    <row r="26" spans="1:7" hidden="1" x14ac:dyDescent="0.3">
      <c r="A26" t="s">
        <v>37</v>
      </c>
      <c r="B26" t="s">
        <v>38</v>
      </c>
      <c r="C26" t="s">
        <v>2</v>
      </c>
      <c r="D26" s="1">
        <v>45716</v>
      </c>
      <c r="E26">
        <v>144.5</v>
      </c>
      <c r="F26" s="2">
        <v>2473.6799999999994</v>
      </c>
      <c r="G26" s="2">
        <v>2473.6799999999994</v>
      </c>
    </row>
    <row r="27" spans="1:7" hidden="1" x14ac:dyDescent="0.3">
      <c r="A27" t="s">
        <v>37</v>
      </c>
      <c r="B27" t="s">
        <v>38</v>
      </c>
      <c r="C27" t="s">
        <v>2</v>
      </c>
      <c r="D27" s="1">
        <v>45747</v>
      </c>
      <c r="E27">
        <v>156</v>
      </c>
      <c r="F27" s="2">
        <v>2692.8700000000008</v>
      </c>
      <c r="G27" s="2">
        <v>2692.8700000000008</v>
      </c>
    </row>
    <row r="28" spans="1:7" hidden="1" x14ac:dyDescent="0.3">
      <c r="A28" t="s">
        <v>37</v>
      </c>
      <c r="B28" t="s">
        <v>38</v>
      </c>
      <c r="C28" t="s">
        <v>2</v>
      </c>
      <c r="D28" s="1">
        <v>45777</v>
      </c>
      <c r="E28">
        <v>151.5</v>
      </c>
      <c r="F28" s="2">
        <v>2785.8799999999992</v>
      </c>
      <c r="G28" s="2">
        <v>2785.8799999999992</v>
      </c>
    </row>
    <row r="29" spans="1:7" hidden="1" x14ac:dyDescent="0.3">
      <c r="A29" t="s">
        <v>37</v>
      </c>
      <c r="B29" t="s">
        <v>38</v>
      </c>
      <c r="C29" t="s">
        <v>2</v>
      </c>
      <c r="D29" s="1">
        <v>45808</v>
      </c>
      <c r="E29">
        <v>124.75</v>
      </c>
      <c r="F29" s="2">
        <v>2315.8300000000036</v>
      </c>
      <c r="G29" s="2">
        <v>2315.8300000000036</v>
      </c>
    </row>
    <row r="30" spans="1:7" hidden="1" x14ac:dyDescent="0.3">
      <c r="A30" t="s">
        <v>37</v>
      </c>
      <c r="B30" t="s">
        <v>38</v>
      </c>
      <c r="C30" t="s">
        <v>2</v>
      </c>
      <c r="D30" s="1">
        <v>45838</v>
      </c>
      <c r="E30">
        <v>46</v>
      </c>
      <c r="F30" s="2">
        <v>1727.1300000000047</v>
      </c>
      <c r="G30" s="2">
        <v>2315.8300000000036</v>
      </c>
    </row>
    <row r="31" spans="1:7" hidden="1" x14ac:dyDescent="0.3">
      <c r="A31" t="s">
        <v>39</v>
      </c>
      <c r="B31" t="s">
        <v>40</v>
      </c>
      <c r="C31" t="s">
        <v>2</v>
      </c>
      <c r="D31" s="1">
        <v>45688</v>
      </c>
      <c r="E31">
        <v>142.5</v>
      </c>
      <c r="F31" s="2">
        <v>2898.5</v>
      </c>
      <c r="G31" s="2">
        <v>2898.5</v>
      </c>
    </row>
    <row r="32" spans="1:7" hidden="1" x14ac:dyDescent="0.3">
      <c r="A32" t="s">
        <v>39</v>
      </c>
      <c r="B32" t="s">
        <v>40</v>
      </c>
      <c r="C32" t="s">
        <v>2</v>
      </c>
      <c r="D32" s="1">
        <v>45716</v>
      </c>
      <c r="E32">
        <v>106.5</v>
      </c>
      <c r="F32" s="2">
        <v>2631.9299999999994</v>
      </c>
      <c r="G32" s="2">
        <v>2631.9299999999994</v>
      </c>
    </row>
    <row r="33" spans="1:7" hidden="1" x14ac:dyDescent="0.3">
      <c r="A33" t="s">
        <v>39</v>
      </c>
      <c r="B33" t="s">
        <v>40</v>
      </c>
      <c r="C33" t="s">
        <v>2</v>
      </c>
      <c r="D33" s="1">
        <v>45747</v>
      </c>
      <c r="E33">
        <v>61</v>
      </c>
      <c r="F33" s="2">
        <v>2156.4600000000009</v>
      </c>
      <c r="G33" s="2">
        <v>2156.4600000000009</v>
      </c>
    </row>
    <row r="34" spans="1:7" hidden="1" x14ac:dyDescent="0.3">
      <c r="A34" t="s">
        <v>39</v>
      </c>
      <c r="B34" t="s">
        <v>40</v>
      </c>
      <c r="C34" t="s">
        <v>2</v>
      </c>
      <c r="D34" s="1">
        <v>45777</v>
      </c>
      <c r="E34">
        <v>141</v>
      </c>
      <c r="F34" s="2">
        <v>2803.7</v>
      </c>
      <c r="G34" s="2">
        <v>2803.7</v>
      </c>
    </row>
    <row r="35" spans="1:7" hidden="1" x14ac:dyDescent="0.3">
      <c r="A35" t="s">
        <v>39</v>
      </c>
      <c r="B35" t="s">
        <v>40</v>
      </c>
      <c r="C35" t="s">
        <v>2</v>
      </c>
      <c r="D35" s="1">
        <v>45808</v>
      </c>
      <c r="E35">
        <v>132.5</v>
      </c>
      <c r="F35" s="2">
        <v>2616.6699999999983</v>
      </c>
      <c r="G35" s="2">
        <v>2616.6699999999983</v>
      </c>
    </row>
    <row r="36" spans="1:7" hidden="1" x14ac:dyDescent="0.3">
      <c r="A36" t="s">
        <v>39</v>
      </c>
      <c r="B36" t="s">
        <v>40</v>
      </c>
      <c r="C36" t="s">
        <v>2</v>
      </c>
      <c r="D36" s="1">
        <v>45838</v>
      </c>
      <c r="E36">
        <v>148</v>
      </c>
      <c r="F36" s="2">
        <v>2806.1100000000024</v>
      </c>
      <c r="G36" s="2">
        <v>2616.6699999999983</v>
      </c>
    </row>
    <row r="37" spans="1:7" hidden="1" x14ac:dyDescent="0.3">
      <c r="A37" t="s">
        <v>41</v>
      </c>
      <c r="B37" t="s">
        <v>42</v>
      </c>
      <c r="C37" t="s">
        <v>15</v>
      </c>
      <c r="D37" s="1">
        <v>45688</v>
      </c>
      <c r="E37">
        <v>136</v>
      </c>
      <c r="F37" s="2">
        <v>3017.4800000000005</v>
      </c>
      <c r="G37" s="2">
        <v>3017.4800000000005</v>
      </c>
    </row>
    <row r="38" spans="1:7" hidden="1" x14ac:dyDescent="0.3">
      <c r="A38" t="s">
        <v>41</v>
      </c>
      <c r="B38" t="s">
        <v>42</v>
      </c>
      <c r="C38" t="s">
        <v>15</v>
      </c>
      <c r="D38" s="1">
        <v>45716</v>
      </c>
      <c r="E38">
        <v>143</v>
      </c>
      <c r="F38" s="2">
        <v>3090.3099999999986</v>
      </c>
      <c r="G38" s="2">
        <v>3090.3099999999986</v>
      </c>
    </row>
    <row r="39" spans="1:7" hidden="1" x14ac:dyDescent="0.3">
      <c r="A39" t="s">
        <v>41</v>
      </c>
      <c r="B39" t="s">
        <v>42</v>
      </c>
      <c r="C39" t="s">
        <v>15</v>
      </c>
      <c r="D39" s="1">
        <v>45747</v>
      </c>
      <c r="E39">
        <v>152.75</v>
      </c>
      <c r="F39" s="2">
        <v>3312.8900000000012</v>
      </c>
      <c r="G39" s="2">
        <v>3312.8900000000012</v>
      </c>
    </row>
    <row r="40" spans="1:7" hidden="1" x14ac:dyDescent="0.3">
      <c r="A40" t="s">
        <v>41</v>
      </c>
      <c r="B40" t="s">
        <v>42</v>
      </c>
      <c r="C40" t="s">
        <v>15</v>
      </c>
      <c r="D40" s="1">
        <v>45777</v>
      </c>
      <c r="E40">
        <v>140.5</v>
      </c>
      <c r="F40" s="2">
        <v>3398.74</v>
      </c>
      <c r="G40" s="2">
        <v>3398.74</v>
      </c>
    </row>
    <row r="41" spans="1:7" hidden="1" x14ac:dyDescent="0.3">
      <c r="A41" t="s">
        <v>41</v>
      </c>
      <c r="B41" t="s">
        <v>42</v>
      </c>
      <c r="C41" t="s">
        <v>15</v>
      </c>
      <c r="D41" s="1">
        <v>45808</v>
      </c>
      <c r="E41">
        <v>120.5</v>
      </c>
      <c r="F41" s="2">
        <v>3160.76</v>
      </c>
      <c r="G41" s="2">
        <v>3160.76</v>
      </c>
    </row>
    <row r="42" spans="1:7" hidden="1" x14ac:dyDescent="0.3">
      <c r="A42" t="s">
        <v>41</v>
      </c>
      <c r="B42" t="s">
        <v>42</v>
      </c>
      <c r="C42" t="s">
        <v>15</v>
      </c>
      <c r="D42" s="1">
        <v>45838</v>
      </c>
      <c r="E42">
        <v>133.75</v>
      </c>
      <c r="F42" s="2">
        <v>3048.8900000000031</v>
      </c>
      <c r="G42" s="2">
        <v>3196.0360000000001</v>
      </c>
    </row>
    <row r="43" spans="1:7" hidden="1" x14ac:dyDescent="0.3">
      <c r="A43" t="s">
        <v>43</v>
      </c>
      <c r="B43" t="s">
        <v>44</v>
      </c>
      <c r="C43" t="s">
        <v>3</v>
      </c>
      <c r="D43" s="1">
        <v>45688</v>
      </c>
      <c r="E43">
        <v>151.5</v>
      </c>
      <c r="F43" s="2">
        <v>3451.51</v>
      </c>
      <c r="G43" s="2">
        <v>3451.51</v>
      </c>
    </row>
    <row r="44" spans="1:7" hidden="1" x14ac:dyDescent="0.3">
      <c r="A44" t="s">
        <v>43</v>
      </c>
      <c r="B44" t="s">
        <v>44</v>
      </c>
      <c r="C44" t="s">
        <v>3</v>
      </c>
      <c r="D44" s="1">
        <v>45716</v>
      </c>
      <c r="E44">
        <v>128.75</v>
      </c>
      <c r="F44" s="2">
        <v>2736.08</v>
      </c>
      <c r="G44" s="2">
        <v>2736.08</v>
      </c>
    </row>
    <row r="45" spans="1:7" hidden="1" x14ac:dyDescent="0.3">
      <c r="A45" t="s">
        <v>43</v>
      </c>
      <c r="B45" t="s">
        <v>44</v>
      </c>
      <c r="C45" t="s">
        <v>3</v>
      </c>
      <c r="D45" s="1">
        <v>45747</v>
      </c>
      <c r="E45">
        <v>148.75</v>
      </c>
      <c r="F45" s="2">
        <v>3106.8099999999995</v>
      </c>
      <c r="G45" s="2">
        <v>3106.8099999999995</v>
      </c>
    </row>
    <row r="46" spans="1:7" hidden="1" x14ac:dyDescent="0.3">
      <c r="A46" t="s">
        <v>43</v>
      </c>
      <c r="B46" t="s">
        <v>44</v>
      </c>
      <c r="C46" t="s">
        <v>3</v>
      </c>
      <c r="D46" s="1">
        <v>45777</v>
      </c>
      <c r="E46">
        <v>152.25</v>
      </c>
      <c r="F46" s="2">
        <v>3623.9200000000019</v>
      </c>
      <c r="G46" s="2">
        <v>3623.9200000000019</v>
      </c>
    </row>
    <row r="47" spans="1:7" hidden="1" x14ac:dyDescent="0.3">
      <c r="A47" t="s">
        <v>43</v>
      </c>
      <c r="B47" t="s">
        <v>44</v>
      </c>
      <c r="C47" t="s">
        <v>3</v>
      </c>
      <c r="D47" s="1">
        <v>45808</v>
      </c>
      <c r="E47">
        <v>138.5</v>
      </c>
      <c r="F47" s="2">
        <v>3024.2599999999984</v>
      </c>
      <c r="G47" s="2">
        <v>3024.2599999999984</v>
      </c>
    </row>
    <row r="48" spans="1:7" hidden="1" x14ac:dyDescent="0.3">
      <c r="A48" t="s">
        <v>43</v>
      </c>
      <c r="B48" t="s">
        <v>44</v>
      </c>
      <c r="C48" t="s">
        <v>3</v>
      </c>
      <c r="D48" s="1">
        <v>45838</v>
      </c>
      <c r="E48">
        <v>144.5</v>
      </c>
      <c r="F48" s="2">
        <v>3416.1299999999992</v>
      </c>
      <c r="G48" s="2">
        <v>3024.2599999999984</v>
      </c>
    </row>
    <row r="49" spans="1:7" hidden="1" x14ac:dyDescent="0.3">
      <c r="A49" t="s">
        <v>45</v>
      </c>
      <c r="B49" t="s">
        <v>46</v>
      </c>
      <c r="C49" t="s">
        <v>3</v>
      </c>
      <c r="D49" s="1">
        <v>45688</v>
      </c>
      <c r="E49">
        <v>159</v>
      </c>
      <c r="F49" s="2">
        <v>3140.28</v>
      </c>
      <c r="G49" s="2">
        <v>3140.28</v>
      </c>
    </row>
    <row r="50" spans="1:7" hidden="1" x14ac:dyDescent="0.3">
      <c r="A50" t="s">
        <v>45</v>
      </c>
      <c r="B50" t="s">
        <v>46</v>
      </c>
      <c r="C50" t="s">
        <v>3</v>
      </c>
      <c r="D50" s="1">
        <v>45716</v>
      </c>
      <c r="E50">
        <v>138.25</v>
      </c>
      <c r="F50" s="2">
        <v>2779.9999999999986</v>
      </c>
      <c r="G50" s="2">
        <v>2779.9999999999986</v>
      </c>
    </row>
    <row r="51" spans="1:7" hidden="1" x14ac:dyDescent="0.3">
      <c r="A51" t="s">
        <v>45</v>
      </c>
      <c r="B51" t="s">
        <v>46</v>
      </c>
      <c r="C51" t="s">
        <v>3</v>
      </c>
      <c r="D51" s="1">
        <v>45747</v>
      </c>
      <c r="E51">
        <v>152.5</v>
      </c>
      <c r="F51" s="2">
        <v>2743.8500000000004</v>
      </c>
      <c r="G51" s="2">
        <v>2743.8500000000004</v>
      </c>
    </row>
    <row r="52" spans="1:7" hidden="1" x14ac:dyDescent="0.3">
      <c r="A52" t="s">
        <v>45</v>
      </c>
      <c r="B52" t="s">
        <v>46</v>
      </c>
      <c r="C52" t="s">
        <v>3</v>
      </c>
      <c r="D52" s="1">
        <v>45777</v>
      </c>
      <c r="E52">
        <v>148</v>
      </c>
      <c r="F52" s="2">
        <v>2927.2799999999988</v>
      </c>
      <c r="G52" s="2">
        <v>2927.2799999999988</v>
      </c>
    </row>
    <row r="53" spans="1:7" hidden="1" x14ac:dyDescent="0.3">
      <c r="A53" t="s">
        <v>45</v>
      </c>
      <c r="B53" t="s">
        <v>46</v>
      </c>
      <c r="C53" t="s">
        <v>3</v>
      </c>
      <c r="D53" s="1">
        <v>45808</v>
      </c>
      <c r="E53">
        <v>140</v>
      </c>
      <c r="F53" s="2">
        <v>2798.5099999999966</v>
      </c>
      <c r="G53" s="2">
        <v>2798.5099999999966</v>
      </c>
    </row>
    <row r="54" spans="1:7" hidden="1" x14ac:dyDescent="0.3">
      <c r="A54" t="s">
        <v>45</v>
      </c>
      <c r="B54" t="s">
        <v>46</v>
      </c>
      <c r="C54" t="s">
        <v>3</v>
      </c>
      <c r="D54" s="1">
        <v>45838</v>
      </c>
      <c r="E54">
        <v>60</v>
      </c>
      <c r="F54" s="2">
        <v>1593.4300000000039</v>
      </c>
      <c r="G54" s="2">
        <v>2798.5099999999966</v>
      </c>
    </row>
    <row r="55" spans="1:7" hidden="1" x14ac:dyDescent="0.3">
      <c r="A55" t="s">
        <v>47</v>
      </c>
      <c r="B55" t="s">
        <v>48</v>
      </c>
      <c r="C55" t="s">
        <v>4</v>
      </c>
      <c r="D55" s="1">
        <v>45688</v>
      </c>
      <c r="E55">
        <v>91.25</v>
      </c>
      <c r="F55" s="2">
        <v>2358.38</v>
      </c>
      <c r="G55" s="2">
        <v>2358.38</v>
      </c>
    </row>
    <row r="56" spans="1:7" hidden="1" x14ac:dyDescent="0.3">
      <c r="A56" t="s">
        <v>47</v>
      </c>
      <c r="B56" t="s">
        <v>48</v>
      </c>
      <c r="C56" t="s">
        <v>4</v>
      </c>
      <c r="D56" s="1">
        <v>45716</v>
      </c>
      <c r="E56">
        <v>134</v>
      </c>
      <c r="F56" s="2">
        <v>2462.4300000000003</v>
      </c>
      <c r="G56" s="2">
        <v>2462.4300000000003</v>
      </c>
    </row>
    <row r="57" spans="1:7" hidden="1" x14ac:dyDescent="0.3">
      <c r="A57" t="s">
        <v>47</v>
      </c>
      <c r="B57" t="s">
        <v>48</v>
      </c>
      <c r="C57" t="s">
        <v>4</v>
      </c>
      <c r="D57" s="1">
        <v>45747</v>
      </c>
      <c r="E57">
        <v>142</v>
      </c>
      <c r="F57" s="2">
        <v>2440.8399999999992</v>
      </c>
      <c r="G57" s="2">
        <v>2440.8399999999992</v>
      </c>
    </row>
    <row r="58" spans="1:7" hidden="1" x14ac:dyDescent="0.3">
      <c r="A58" t="s">
        <v>47</v>
      </c>
      <c r="B58" t="s">
        <v>48</v>
      </c>
      <c r="C58" t="s">
        <v>4</v>
      </c>
      <c r="D58" s="1">
        <v>45777</v>
      </c>
      <c r="E58">
        <v>128.5</v>
      </c>
      <c r="F58" s="2">
        <v>2496.1299999999992</v>
      </c>
      <c r="G58" s="2">
        <v>2496.1299999999992</v>
      </c>
    </row>
    <row r="59" spans="1:7" hidden="1" x14ac:dyDescent="0.3">
      <c r="A59" t="s">
        <v>47</v>
      </c>
      <c r="B59" t="s">
        <v>48</v>
      </c>
      <c r="C59" t="s">
        <v>4</v>
      </c>
      <c r="D59" s="1">
        <v>45808</v>
      </c>
      <c r="E59">
        <v>126.5</v>
      </c>
      <c r="F59" s="2">
        <v>2340.4799999999977</v>
      </c>
      <c r="G59" s="2">
        <v>2340.4799999999977</v>
      </c>
    </row>
    <row r="60" spans="1:7" hidden="1" x14ac:dyDescent="0.3">
      <c r="A60" t="s">
        <v>47</v>
      </c>
      <c r="B60" t="s">
        <v>48</v>
      </c>
      <c r="C60" t="s">
        <v>4</v>
      </c>
      <c r="D60" s="1">
        <v>45838</v>
      </c>
      <c r="E60">
        <v>83</v>
      </c>
      <c r="F60" s="2">
        <v>2302.0700000000015</v>
      </c>
      <c r="G60" s="2">
        <v>2419.6519999999991</v>
      </c>
    </row>
    <row r="61" spans="1:7" hidden="1" x14ac:dyDescent="0.3">
      <c r="A61" t="s">
        <v>49</v>
      </c>
      <c r="B61" t="s">
        <v>50</v>
      </c>
      <c r="C61" t="s">
        <v>4</v>
      </c>
      <c r="D61" s="1">
        <v>45688</v>
      </c>
      <c r="E61">
        <v>127.5</v>
      </c>
      <c r="F61" s="2">
        <v>2270.89</v>
      </c>
      <c r="G61" s="2">
        <v>2270.89</v>
      </c>
    </row>
    <row r="62" spans="1:7" hidden="1" x14ac:dyDescent="0.3">
      <c r="A62" t="s">
        <v>49</v>
      </c>
      <c r="B62" t="s">
        <v>50</v>
      </c>
      <c r="C62" t="s">
        <v>4</v>
      </c>
      <c r="D62" s="1">
        <v>45716</v>
      </c>
      <c r="E62">
        <v>150</v>
      </c>
      <c r="F62" s="2">
        <v>2237.4500000000003</v>
      </c>
      <c r="G62" s="2">
        <v>2237.4500000000003</v>
      </c>
    </row>
    <row r="63" spans="1:7" hidden="1" x14ac:dyDescent="0.3">
      <c r="A63" t="s">
        <v>49</v>
      </c>
      <c r="B63" t="s">
        <v>50</v>
      </c>
      <c r="C63" t="s">
        <v>4</v>
      </c>
      <c r="D63" s="1">
        <v>45747</v>
      </c>
      <c r="E63">
        <v>148</v>
      </c>
      <c r="F63" s="2">
        <v>2206.2899999999991</v>
      </c>
      <c r="G63" s="2">
        <v>2206.2899999999991</v>
      </c>
    </row>
    <row r="64" spans="1:7" hidden="1" x14ac:dyDescent="0.3">
      <c r="A64" t="s">
        <v>49</v>
      </c>
      <c r="B64" t="s">
        <v>50</v>
      </c>
      <c r="C64" t="s">
        <v>4</v>
      </c>
      <c r="D64" s="1">
        <v>45777</v>
      </c>
      <c r="E64">
        <v>121</v>
      </c>
      <c r="F64" s="2">
        <v>2135.9600000000009</v>
      </c>
      <c r="G64" s="2">
        <v>2135.9600000000009</v>
      </c>
    </row>
    <row r="65" spans="1:7" hidden="1" x14ac:dyDescent="0.3">
      <c r="A65" t="s">
        <v>49</v>
      </c>
      <c r="B65" t="s">
        <v>50</v>
      </c>
      <c r="C65" t="s">
        <v>4</v>
      </c>
      <c r="D65" s="1">
        <v>45808</v>
      </c>
      <c r="E65">
        <v>134</v>
      </c>
      <c r="F65" s="2">
        <v>2079.1499999999978</v>
      </c>
      <c r="G65" s="2">
        <v>2079.1499999999978</v>
      </c>
    </row>
    <row r="66" spans="1:7" hidden="1" x14ac:dyDescent="0.3">
      <c r="A66" t="s">
        <v>49</v>
      </c>
      <c r="B66" t="s">
        <v>50</v>
      </c>
      <c r="C66" t="s">
        <v>4</v>
      </c>
      <c r="D66" s="1">
        <v>45838</v>
      </c>
      <c r="E66">
        <v>151</v>
      </c>
      <c r="F66" s="2">
        <v>2255.1100000000006</v>
      </c>
      <c r="G66" s="2">
        <v>2185.9479999999994</v>
      </c>
    </row>
    <row r="67" spans="1:7" x14ac:dyDescent="0.3">
      <c r="A67" t="s">
        <v>51</v>
      </c>
      <c r="B67" t="s">
        <v>52</v>
      </c>
      <c r="C67" t="s">
        <v>13</v>
      </c>
      <c r="D67" s="1">
        <v>45688</v>
      </c>
      <c r="E67">
        <v>117.5</v>
      </c>
      <c r="F67" s="2">
        <v>7620.1600000000008</v>
      </c>
      <c r="G67" s="2">
        <v>7620.1600000000008</v>
      </c>
    </row>
    <row r="68" spans="1:7" x14ac:dyDescent="0.3">
      <c r="A68" t="s">
        <v>51</v>
      </c>
      <c r="B68" t="s">
        <v>52</v>
      </c>
      <c r="C68" t="s">
        <v>13</v>
      </c>
      <c r="D68" s="1">
        <v>45716</v>
      </c>
      <c r="E68">
        <v>112</v>
      </c>
      <c r="F68" s="2">
        <v>6877.5699999999988</v>
      </c>
      <c r="G68" s="2">
        <v>6877.5699999999988</v>
      </c>
    </row>
    <row r="69" spans="1:7" x14ac:dyDescent="0.3">
      <c r="A69" t="s">
        <v>51</v>
      </c>
      <c r="B69" t="s">
        <v>52</v>
      </c>
      <c r="C69" t="s">
        <v>13</v>
      </c>
      <c r="D69" s="1">
        <v>45747</v>
      </c>
      <c r="E69">
        <v>118</v>
      </c>
      <c r="F69" s="2">
        <v>6768.9100000000035</v>
      </c>
      <c r="G69" s="2">
        <v>6768.9100000000035</v>
      </c>
    </row>
    <row r="70" spans="1:7" x14ac:dyDescent="0.3">
      <c r="A70" t="s">
        <v>51</v>
      </c>
      <c r="B70" t="s">
        <v>52</v>
      </c>
      <c r="C70" t="s">
        <v>13</v>
      </c>
      <c r="D70" s="1">
        <v>45777</v>
      </c>
      <c r="E70">
        <v>137.5</v>
      </c>
      <c r="F70" s="2">
        <v>14328.569999999996</v>
      </c>
      <c r="G70" s="2">
        <v>14328.569999999996</v>
      </c>
    </row>
    <row r="71" spans="1:7" x14ac:dyDescent="0.3">
      <c r="A71" t="s">
        <v>51</v>
      </c>
      <c r="B71" t="s">
        <v>52</v>
      </c>
      <c r="C71" t="s">
        <v>13</v>
      </c>
      <c r="D71" s="1">
        <v>45808</v>
      </c>
      <c r="E71">
        <v>121.5</v>
      </c>
      <c r="F71" s="2">
        <v>7143.7099999999919</v>
      </c>
      <c r="G71" s="2">
        <v>7143.7099999999919</v>
      </c>
    </row>
    <row r="72" spans="1:7" x14ac:dyDescent="0.3">
      <c r="A72" t="s">
        <v>51</v>
      </c>
      <c r="B72" t="s">
        <v>52</v>
      </c>
      <c r="C72" t="s">
        <v>13</v>
      </c>
      <c r="D72" s="1">
        <v>45838</v>
      </c>
      <c r="E72">
        <v>152</v>
      </c>
      <c r="F72" s="2">
        <v>8434.1900000000023</v>
      </c>
      <c r="G72" s="2">
        <v>8547.7839999999978</v>
      </c>
    </row>
    <row r="73" spans="1:7" x14ac:dyDescent="0.3">
      <c r="A73" t="s">
        <v>53</v>
      </c>
      <c r="B73" t="s">
        <v>54</v>
      </c>
      <c r="C73" t="s">
        <v>13</v>
      </c>
      <c r="D73" s="1">
        <v>45688</v>
      </c>
      <c r="E73">
        <v>96.5</v>
      </c>
      <c r="F73" s="2">
        <v>2307.41</v>
      </c>
      <c r="G73" s="2">
        <v>2307.41</v>
      </c>
    </row>
    <row r="74" spans="1:7" x14ac:dyDescent="0.3">
      <c r="A74" t="s">
        <v>53</v>
      </c>
      <c r="B74" t="s">
        <v>54</v>
      </c>
      <c r="C74" t="s">
        <v>13</v>
      </c>
      <c r="D74" s="1">
        <v>45716</v>
      </c>
      <c r="E74">
        <v>142.5</v>
      </c>
      <c r="F74" s="2">
        <v>2336.37</v>
      </c>
      <c r="G74" s="2">
        <v>2336.37</v>
      </c>
    </row>
    <row r="75" spans="1:7" x14ac:dyDescent="0.3">
      <c r="A75" t="s">
        <v>55</v>
      </c>
      <c r="B75" t="s">
        <v>56</v>
      </c>
      <c r="C75" t="s">
        <v>11</v>
      </c>
      <c r="D75" s="1">
        <v>45688</v>
      </c>
      <c r="E75">
        <v>135.75</v>
      </c>
      <c r="F75" s="2">
        <v>3310.2400000000007</v>
      </c>
      <c r="G75" s="2">
        <v>0</v>
      </c>
    </row>
    <row r="76" spans="1:7" x14ac:dyDescent="0.3">
      <c r="A76" t="s">
        <v>55</v>
      </c>
      <c r="B76" t="s">
        <v>56</v>
      </c>
      <c r="C76" t="s">
        <v>11</v>
      </c>
      <c r="D76" s="1">
        <v>45716</v>
      </c>
      <c r="E76">
        <v>126.75</v>
      </c>
      <c r="F76" s="2">
        <v>3271.9300000000003</v>
      </c>
      <c r="G76" s="2">
        <v>0</v>
      </c>
    </row>
    <row r="77" spans="1:7" x14ac:dyDescent="0.3">
      <c r="A77" t="s">
        <v>55</v>
      </c>
      <c r="B77" t="s">
        <v>56</v>
      </c>
      <c r="C77" t="s">
        <v>11</v>
      </c>
      <c r="D77" s="1">
        <v>45747</v>
      </c>
      <c r="E77">
        <v>141.75</v>
      </c>
      <c r="F77" s="2">
        <v>3377.1499999999987</v>
      </c>
      <c r="G77" s="2">
        <v>0</v>
      </c>
    </row>
    <row r="78" spans="1:7" x14ac:dyDescent="0.3">
      <c r="A78" t="s">
        <v>55</v>
      </c>
      <c r="B78" t="s">
        <v>56</v>
      </c>
      <c r="C78" t="s">
        <v>11</v>
      </c>
      <c r="D78" s="1">
        <v>45777</v>
      </c>
      <c r="E78">
        <v>120.5</v>
      </c>
      <c r="F78" s="2">
        <v>4142.7900000000045</v>
      </c>
      <c r="G78" s="2">
        <v>0</v>
      </c>
    </row>
    <row r="79" spans="1:7" x14ac:dyDescent="0.3">
      <c r="A79" t="s">
        <v>55</v>
      </c>
      <c r="B79" t="s">
        <v>56</v>
      </c>
      <c r="C79" t="s">
        <v>11</v>
      </c>
      <c r="D79" s="1">
        <v>45808</v>
      </c>
      <c r="E79">
        <v>-524.75</v>
      </c>
      <c r="F79" s="2">
        <v>-14102.110000000004</v>
      </c>
      <c r="G79" s="2">
        <v>0</v>
      </c>
    </row>
    <row r="80" spans="1:7" x14ac:dyDescent="0.3">
      <c r="A80" t="s">
        <v>57</v>
      </c>
      <c r="B80" t="s">
        <v>58</v>
      </c>
      <c r="C80" t="s">
        <v>14</v>
      </c>
      <c r="D80" s="1">
        <v>45688</v>
      </c>
      <c r="E80">
        <v>144</v>
      </c>
      <c r="F80" s="2">
        <v>13418.04</v>
      </c>
      <c r="G80" s="2">
        <v>0</v>
      </c>
    </row>
    <row r="81" spans="1:7" x14ac:dyDescent="0.3">
      <c r="A81" t="s">
        <v>57</v>
      </c>
      <c r="B81" t="s">
        <v>58</v>
      </c>
      <c r="C81" t="s">
        <v>14</v>
      </c>
      <c r="D81" s="1">
        <v>45716</v>
      </c>
      <c r="E81">
        <v>152</v>
      </c>
      <c r="F81" s="2">
        <v>6149.9599999999991</v>
      </c>
      <c r="G81" s="2">
        <v>0</v>
      </c>
    </row>
    <row r="82" spans="1:7" x14ac:dyDescent="0.3">
      <c r="A82" t="s">
        <v>57</v>
      </c>
      <c r="B82" t="s">
        <v>58</v>
      </c>
      <c r="C82" t="s">
        <v>14</v>
      </c>
      <c r="D82" s="1">
        <v>45747</v>
      </c>
      <c r="E82">
        <v>160</v>
      </c>
      <c r="F82" s="2">
        <v>6044.4999999999964</v>
      </c>
      <c r="G82" s="2">
        <v>0</v>
      </c>
    </row>
    <row r="83" spans="1:7" x14ac:dyDescent="0.3">
      <c r="A83" t="s">
        <v>57</v>
      </c>
      <c r="B83" t="s">
        <v>58</v>
      </c>
      <c r="C83" t="s">
        <v>14</v>
      </c>
      <c r="D83" s="1">
        <v>45777</v>
      </c>
      <c r="E83">
        <v>151.5</v>
      </c>
      <c r="F83" s="2">
        <v>6068.0900000000038</v>
      </c>
      <c r="G83" s="2">
        <v>0</v>
      </c>
    </row>
    <row r="84" spans="1:7" x14ac:dyDescent="0.3">
      <c r="A84" t="s">
        <v>57</v>
      </c>
      <c r="B84" t="s">
        <v>58</v>
      </c>
      <c r="C84" t="s">
        <v>14</v>
      </c>
      <c r="D84" s="1">
        <v>45808</v>
      </c>
      <c r="E84">
        <v>159.5</v>
      </c>
      <c r="F84" s="2">
        <v>6030.7299999999923</v>
      </c>
      <c r="G84" s="2">
        <v>0</v>
      </c>
    </row>
    <row r="85" spans="1:7" x14ac:dyDescent="0.3">
      <c r="A85" t="s">
        <v>57</v>
      </c>
      <c r="B85" t="s">
        <v>58</v>
      </c>
      <c r="C85" t="s">
        <v>14</v>
      </c>
      <c r="D85" s="1">
        <v>45838</v>
      </c>
      <c r="E85">
        <v>152</v>
      </c>
      <c r="F85" s="2">
        <v>11654.699999999997</v>
      </c>
      <c r="G85" s="2">
        <v>0</v>
      </c>
    </row>
    <row r="86" spans="1:7" x14ac:dyDescent="0.3">
      <c r="A86" t="s">
        <v>59</v>
      </c>
      <c r="B86" t="s">
        <v>60</v>
      </c>
      <c r="C86" t="s">
        <v>13</v>
      </c>
      <c r="D86" s="1">
        <v>45688</v>
      </c>
      <c r="E86">
        <v>0</v>
      </c>
      <c r="F86" s="2">
        <v>510.83000000000038</v>
      </c>
      <c r="G86" s="2">
        <v>510.83000000000038</v>
      </c>
    </row>
    <row r="87" spans="1:7" x14ac:dyDescent="0.3">
      <c r="A87" t="s">
        <v>59</v>
      </c>
      <c r="B87" t="s">
        <v>60</v>
      </c>
      <c r="C87" t="s">
        <v>13</v>
      </c>
      <c r="D87" s="1">
        <v>45716</v>
      </c>
      <c r="E87">
        <v>0</v>
      </c>
      <c r="F87" s="2">
        <v>498.76999999999953</v>
      </c>
      <c r="G87" s="2">
        <v>498.76999999999953</v>
      </c>
    </row>
    <row r="88" spans="1:7" x14ac:dyDescent="0.3">
      <c r="A88" t="s">
        <v>59</v>
      </c>
      <c r="B88" t="s">
        <v>60</v>
      </c>
      <c r="C88" t="s">
        <v>13</v>
      </c>
      <c r="D88" s="1">
        <v>45747</v>
      </c>
      <c r="E88">
        <v>0</v>
      </c>
      <c r="F88" s="2">
        <v>521.23000000000047</v>
      </c>
      <c r="G88" s="2">
        <v>521.23000000000047</v>
      </c>
    </row>
    <row r="89" spans="1:7" x14ac:dyDescent="0.3">
      <c r="A89" t="s">
        <v>59</v>
      </c>
      <c r="B89" t="s">
        <v>60</v>
      </c>
      <c r="C89" t="s">
        <v>13</v>
      </c>
      <c r="D89" s="1">
        <v>45777</v>
      </c>
      <c r="E89">
        <v>0</v>
      </c>
      <c r="F89" s="2">
        <v>559.75999999999931</v>
      </c>
      <c r="G89" s="2">
        <v>559.75999999999931</v>
      </c>
    </row>
    <row r="90" spans="1:7" x14ac:dyDescent="0.3">
      <c r="A90" t="s">
        <v>59</v>
      </c>
      <c r="B90" t="s">
        <v>60</v>
      </c>
      <c r="C90" t="s">
        <v>13</v>
      </c>
      <c r="D90" s="1">
        <v>45808</v>
      </c>
      <c r="E90">
        <v>0</v>
      </c>
      <c r="F90" s="2">
        <v>584.02000000000044</v>
      </c>
      <c r="G90" s="2">
        <v>584.02000000000044</v>
      </c>
    </row>
    <row r="91" spans="1:7" x14ac:dyDescent="0.3">
      <c r="A91" t="s">
        <v>59</v>
      </c>
      <c r="B91" t="s">
        <v>60</v>
      </c>
      <c r="C91" t="s">
        <v>13</v>
      </c>
      <c r="D91" s="1">
        <v>45838</v>
      </c>
      <c r="E91">
        <v>0</v>
      </c>
      <c r="F91" s="2">
        <v>514.35000000000036</v>
      </c>
      <c r="G91" s="2">
        <v>0</v>
      </c>
    </row>
    <row r="92" spans="1:7" hidden="1" x14ac:dyDescent="0.3">
      <c r="A92" t="s">
        <v>61</v>
      </c>
      <c r="B92" t="s">
        <v>62</v>
      </c>
      <c r="C92" t="s">
        <v>3</v>
      </c>
      <c r="D92" s="1">
        <v>45688</v>
      </c>
      <c r="E92">
        <v>52.75</v>
      </c>
      <c r="F92" s="2">
        <v>1038.51</v>
      </c>
      <c r="G92" s="2">
        <v>1038.51</v>
      </c>
    </row>
    <row r="93" spans="1:7" hidden="1" x14ac:dyDescent="0.3">
      <c r="A93" t="s">
        <v>61</v>
      </c>
      <c r="B93" t="s">
        <v>62</v>
      </c>
      <c r="C93" t="s">
        <v>3</v>
      </c>
      <c r="D93" s="1">
        <v>45716</v>
      </c>
      <c r="E93">
        <v>143</v>
      </c>
      <c r="F93" s="2">
        <v>1846.7700000000002</v>
      </c>
      <c r="G93" s="2">
        <v>1846.7700000000002</v>
      </c>
    </row>
    <row r="94" spans="1:7" hidden="1" x14ac:dyDescent="0.3">
      <c r="A94" t="s">
        <v>61</v>
      </c>
      <c r="B94" t="s">
        <v>62</v>
      </c>
      <c r="C94" t="s">
        <v>3</v>
      </c>
      <c r="D94" s="1">
        <v>45747</v>
      </c>
      <c r="E94">
        <v>146</v>
      </c>
      <c r="F94" s="2">
        <v>1790.8699999999994</v>
      </c>
      <c r="G94" s="2">
        <v>1790.8699999999994</v>
      </c>
    </row>
    <row r="95" spans="1:7" hidden="1" x14ac:dyDescent="0.3">
      <c r="A95" t="s">
        <v>61</v>
      </c>
      <c r="B95" t="s">
        <v>62</v>
      </c>
      <c r="C95" t="s">
        <v>3</v>
      </c>
      <c r="D95" s="1">
        <v>45777</v>
      </c>
      <c r="E95">
        <v>124</v>
      </c>
      <c r="F95" s="2">
        <v>1896.4300000000003</v>
      </c>
      <c r="G95" s="2">
        <v>1896.4300000000003</v>
      </c>
    </row>
    <row r="96" spans="1:7" hidden="1" x14ac:dyDescent="0.3">
      <c r="A96" t="s">
        <v>61</v>
      </c>
      <c r="B96" t="s">
        <v>62</v>
      </c>
      <c r="C96" t="s">
        <v>3</v>
      </c>
      <c r="D96" s="1">
        <v>45808</v>
      </c>
      <c r="E96">
        <v>142.25</v>
      </c>
      <c r="F96" s="2">
        <v>1840.369999999999</v>
      </c>
      <c r="G96" s="2">
        <v>1840.369999999999</v>
      </c>
    </row>
    <row r="97" spans="1:7" hidden="1" x14ac:dyDescent="0.3">
      <c r="A97" t="s">
        <v>61</v>
      </c>
      <c r="B97" t="s">
        <v>62</v>
      </c>
      <c r="C97" t="s">
        <v>3</v>
      </c>
      <c r="D97" s="1">
        <v>45838</v>
      </c>
      <c r="E97">
        <v>135.75</v>
      </c>
      <c r="F97" s="2">
        <v>1791.7100000000009</v>
      </c>
      <c r="G97" s="2">
        <v>1840.369999999999</v>
      </c>
    </row>
    <row r="98" spans="1:7" hidden="1" x14ac:dyDescent="0.3">
      <c r="A98" t="s">
        <v>63</v>
      </c>
      <c r="B98" t="s">
        <v>64</v>
      </c>
      <c r="C98" t="s">
        <v>2</v>
      </c>
      <c r="D98" s="1">
        <v>45688</v>
      </c>
      <c r="E98">
        <v>148.75</v>
      </c>
      <c r="F98" s="2">
        <v>2211.54</v>
      </c>
      <c r="G98" s="2">
        <v>2211.54</v>
      </c>
    </row>
    <row r="99" spans="1:7" hidden="1" x14ac:dyDescent="0.3">
      <c r="A99" t="s">
        <v>63</v>
      </c>
      <c r="B99" t="s">
        <v>64</v>
      </c>
      <c r="C99" t="s">
        <v>2</v>
      </c>
      <c r="D99" s="1">
        <v>45716</v>
      </c>
      <c r="E99">
        <v>152</v>
      </c>
      <c r="F99" s="2">
        <v>2094.1100000000006</v>
      </c>
      <c r="G99" s="2">
        <v>2094.1100000000006</v>
      </c>
    </row>
    <row r="100" spans="1:7" hidden="1" x14ac:dyDescent="0.3">
      <c r="A100" t="s">
        <v>63</v>
      </c>
      <c r="B100" t="s">
        <v>64</v>
      </c>
      <c r="C100" t="s">
        <v>2</v>
      </c>
      <c r="D100" s="1">
        <v>45747</v>
      </c>
      <c r="E100">
        <v>155.5</v>
      </c>
      <c r="F100" s="2">
        <v>2050.4799999999996</v>
      </c>
      <c r="G100" s="2">
        <v>2050.4799999999996</v>
      </c>
    </row>
    <row r="101" spans="1:7" hidden="1" x14ac:dyDescent="0.3">
      <c r="A101" t="s">
        <v>63</v>
      </c>
      <c r="B101" t="s">
        <v>64</v>
      </c>
      <c r="C101" t="s">
        <v>2</v>
      </c>
      <c r="D101" s="1">
        <v>45777</v>
      </c>
      <c r="E101">
        <v>144.5</v>
      </c>
      <c r="F101" s="2">
        <v>2122.3900000000003</v>
      </c>
      <c r="G101" s="2">
        <v>2122.3900000000003</v>
      </c>
    </row>
    <row r="102" spans="1:7" hidden="1" x14ac:dyDescent="0.3">
      <c r="A102" t="s">
        <v>63</v>
      </c>
      <c r="B102" t="s">
        <v>64</v>
      </c>
      <c r="C102" t="s">
        <v>2</v>
      </c>
      <c r="D102" s="1">
        <v>45808</v>
      </c>
      <c r="E102">
        <v>144.5</v>
      </c>
      <c r="F102" s="2">
        <v>2098.1399999999994</v>
      </c>
      <c r="G102" s="2">
        <v>2098.1399999999994</v>
      </c>
    </row>
    <row r="103" spans="1:7" hidden="1" x14ac:dyDescent="0.3">
      <c r="A103" t="s">
        <v>63</v>
      </c>
      <c r="B103" t="s">
        <v>64</v>
      </c>
      <c r="C103" t="s">
        <v>2</v>
      </c>
      <c r="D103" s="1">
        <v>45838</v>
      </c>
      <c r="E103">
        <v>118.5</v>
      </c>
      <c r="F103" s="2">
        <v>1750.8700000000008</v>
      </c>
      <c r="G103" s="2">
        <v>2098.1399999999994</v>
      </c>
    </row>
    <row r="104" spans="1:7" hidden="1" x14ac:dyDescent="0.3">
      <c r="A104" t="s">
        <v>65</v>
      </c>
      <c r="B104" t="s">
        <v>66</v>
      </c>
      <c r="C104" t="s">
        <v>2</v>
      </c>
      <c r="D104" s="1">
        <v>45688</v>
      </c>
      <c r="E104">
        <v>144.75</v>
      </c>
      <c r="F104" s="2">
        <v>1833.45</v>
      </c>
      <c r="G104" s="2">
        <v>1833.45</v>
      </c>
    </row>
    <row r="105" spans="1:7" hidden="1" x14ac:dyDescent="0.3">
      <c r="A105" t="s">
        <v>65</v>
      </c>
      <c r="B105" t="s">
        <v>66</v>
      </c>
      <c r="C105" t="s">
        <v>2</v>
      </c>
      <c r="D105" s="1">
        <v>45716</v>
      </c>
      <c r="E105">
        <v>150</v>
      </c>
      <c r="F105" s="2">
        <v>1815.0399999999997</v>
      </c>
      <c r="G105" s="2">
        <v>1815.0399999999997</v>
      </c>
    </row>
    <row r="106" spans="1:7" hidden="1" x14ac:dyDescent="0.3">
      <c r="A106" t="s">
        <v>65</v>
      </c>
      <c r="B106" t="s">
        <v>66</v>
      </c>
      <c r="C106" t="s">
        <v>2</v>
      </c>
      <c r="D106" s="1">
        <v>45747</v>
      </c>
      <c r="E106">
        <v>147.75</v>
      </c>
      <c r="F106" s="2">
        <v>1780.9000000000005</v>
      </c>
      <c r="G106" s="2">
        <v>1780.9000000000005</v>
      </c>
    </row>
    <row r="107" spans="1:7" hidden="1" x14ac:dyDescent="0.3">
      <c r="A107" t="s">
        <v>65</v>
      </c>
      <c r="B107" t="s">
        <v>66</v>
      </c>
      <c r="C107" t="s">
        <v>2</v>
      </c>
      <c r="D107" s="1">
        <v>45777</v>
      </c>
      <c r="E107">
        <v>133.75</v>
      </c>
      <c r="F107" s="2">
        <v>1744.8899999999994</v>
      </c>
      <c r="G107" s="2">
        <v>1744.8899999999994</v>
      </c>
    </row>
    <row r="108" spans="1:7" hidden="1" x14ac:dyDescent="0.3">
      <c r="A108" t="s">
        <v>65</v>
      </c>
      <c r="B108" t="s">
        <v>66</v>
      </c>
      <c r="C108" t="s">
        <v>2</v>
      </c>
      <c r="D108" s="1">
        <v>45808</v>
      </c>
      <c r="E108">
        <v>142.5</v>
      </c>
      <c r="F108" s="2">
        <v>1724.1100000000015</v>
      </c>
      <c r="G108" s="2">
        <v>1724.1100000000015</v>
      </c>
    </row>
    <row r="109" spans="1:7" hidden="1" x14ac:dyDescent="0.3">
      <c r="A109" t="s">
        <v>65</v>
      </c>
      <c r="B109" t="s">
        <v>66</v>
      </c>
      <c r="C109" t="s">
        <v>2</v>
      </c>
      <c r="D109" s="1">
        <v>45838</v>
      </c>
      <c r="E109">
        <v>145.5</v>
      </c>
      <c r="F109" s="2">
        <v>1783.989999999998</v>
      </c>
      <c r="G109" s="2">
        <v>1724.1100000000015</v>
      </c>
    </row>
    <row r="110" spans="1:7" hidden="1" x14ac:dyDescent="0.3">
      <c r="A110" t="s">
        <v>67</v>
      </c>
      <c r="B110" t="s">
        <v>68</v>
      </c>
      <c r="C110" t="s">
        <v>2</v>
      </c>
      <c r="D110" s="1">
        <v>45688</v>
      </c>
      <c r="E110">
        <v>102.75</v>
      </c>
      <c r="F110" s="2">
        <v>2321.0700000000002</v>
      </c>
      <c r="G110" s="2">
        <v>2321.0700000000002</v>
      </c>
    </row>
    <row r="111" spans="1:7" hidden="1" x14ac:dyDescent="0.3">
      <c r="A111" t="s">
        <v>67</v>
      </c>
      <c r="B111" t="s">
        <v>68</v>
      </c>
      <c r="C111" t="s">
        <v>2</v>
      </c>
      <c r="D111" s="1">
        <v>45716</v>
      </c>
      <c r="E111">
        <v>67.5</v>
      </c>
      <c r="F111" s="2">
        <v>1560.4099999999999</v>
      </c>
      <c r="G111" s="2">
        <v>1560.4099999999999</v>
      </c>
    </row>
    <row r="112" spans="1:7" hidden="1" x14ac:dyDescent="0.3">
      <c r="A112" t="s">
        <v>67</v>
      </c>
      <c r="B112" t="s">
        <v>68</v>
      </c>
      <c r="C112" t="s">
        <v>2</v>
      </c>
      <c r="D112" s="1">
        <v>45747</v>
      </c>
      <c r="E112">
        <v>38</v>
      </c>
      <c r="F112" s="2">
        <v>260.67000000000053</v>
      </c>
      <c r="G112" s="2">
        <v>260.67000000000053</v>
      </c>
    </row>
    <row r="113" spans="1:7" hidden="1" x14ac:dyDescent="0.3">
      <c r="A113" t="s">
        <v>67</v>
      </c>
      <c r="B113" t="s">
        <v>68</v>
      </c>
      <c r="C113" t="s">
        <v>2</v>
      </c>
      <c r="D113" s="1">
        <v>45808</v>
      </c>
      <c r="E113">
        <v>0</v>
      </c>
      <c r="F113" s="2">
        <v>-9.0949470177292824E-13</v>
      </c>
      <c r="G113" s="2">
        <v>0</v>
      </c>
    </row>
    <row r="114" spans="1:7" hidden="1" x14ac:dyDescent="0.3">
      <c r="A114" t="s">
        <v>69</v>
      </c>
      <c r="B114" t="s">
        <v>70</v>
      </c>
      <c r="C114" t="s">
        <v>2</v>
      </c>
      <c r="D114" s="1">
        <v>45688</v>
      </c>
      <c r="E114">
        <v>154.75</v>
      </c>
      <c r="F114" s="2">
        <v>2831.5599999999995</v>
      </c>
      <c r="G114" s="2">
        <v>2831.5599999999995</v>
      </c>
    </row>
    <row r="115" spans="1:7" hidden="1" x14ac:dyDescent="0.3">
      <c r="A115" t="s">
        <v>69</v>
      </c>
      <c r="B115" t="s">
        <v>70</v>
      </c>
      <c r="C115" t="s">
        <v>2</v>
      </c>
      <c r="D115" s="1">
        <v>45716</v>
      </c>
      <c r="E115">
        <v>148.5</v>
      </c>
      <c r="F115" s="2">
        <v>2530.4300000000003</v>
      </c>
      <c r="G115" s="2">
        <v>2530.4300000000003</v>
      </c>
    </row>
    <row r="116" spans="1:7" hidden="1" x14ac:dyDescent="0.3">
      <c r="A116" t="s">
        <v>69</v>
      </c>
      <c r="B116" t="s">
        <v>70</v>
      </c>
      <c r="C116" t="s">
        <v>2</v>
      </c>
      <c r="D116" s="1">
        <v>45747</v>
      </c>
      <c r="E116">
        <v>138</v>
      </c>
      <c r="F116" s="2">
        <v>2510.5000000000009</v>
      </c>
      <c r="G116" s="2">
        <v>2510.5000000000009</v>
      </c>
    </row>
    <row r="117" spans="1:7" hidden="1" x14ac:dyDescent="0.3">
      <c r="A117" t="s">
        <v>69</v>
      </c>
      <c r="B117" t="s">
        <v>70</v>
      </c>
      <c r="C117" t="s">
        <v>2</v>
      </c>
      <c r="D117" s="1">
        <v>45777</v>
      </c>
      <c r="E117">
        <v>155.5</v>
      </c>
      <c r="F117" s="2">
        <v>2743.6099999999997</v>
      </c>
      <c r="G117" s="2">
        <v>2743.6099999999997</v>
      </c>
    </row>
    <row r="118" spans="1:7" hidden="1" x14ac:dyDescent="0.3">
      <c r="A118" t="s">
        <v>69</v>
      </c>
      <c r="B118" t="s">
        <v>70</v>
      </c>
      <c r="C118" t="s">
        <v>2</v>
      </c>
      <c r="D118" s="1">
        <v>45808</v>
      </c>
      <c r="E118">
        <v>155.5</v>
      </c>
      <c r="F118" s="2">
        <v>2629.99</v>
      </c>
      <c r="G118" s="2">
        <v>2629.99</v>
      </c>
    </row>
    <row r="119" spans="1:7" hidden="1" x14ac:dyDescent="0.3">
      <c r="A119" t="s">
        <v>69</v>
      </c>
      <c r="B119" t="s">
        <v>70</v>
      </c>
      <c r="C119" t="s">
        <v>2</v>
      </c>
      <c r="D119" s="1">
        <v>45838</v>
      </c>
      <c r="E119">
        <v>117.25</v>
      </c>
      <c r="F119" s="2">
        <v>2333.0200000000004</v>
      </c>
      <c r="G119" s="2">
        <v>2629.99</v>
      </c>
    </row>
    <row r="120" spans="1:7" hidden="1" x14ac:dyDescent="0.3">
      <c r="A120" t="s">
        <v>71</v>
      </c>
      <c r="B120" t="s">
        <v>72</v>
      </c>
      <c r="C120" t="s">
        <v>2</v>
      </c>
      <c r="D120" s="1">
        <v>45688</v>
      </c>
      <c r="E120">
        <v>0</v>
      </c>
      <c r="F120" s="2">
        <v>11.700000000000017</v>
      </c>
      <c r="G120" s="2">
        <v>11.700000000000017</v>
      </c>
    </row>
    <row r="121" spans="1:7" hidden="1" x14ac:dyDescent="0.3">
      <c r="A121" t="s">
        <v>71</v>
      </c>
      <c r="B121" t="s">
        <v>72</v>
      </c>
      <c r="C121" t="s">
        <v>2</v>
      </c>
      <c r="D121" s="1">
        <v>45716</v>
      </c>
      <c r="E121">
        <v>0</v>
      </c>
      <c r="F121" s="2">
        <v>13.849999999999994</v>
      </c>
      <c r="G121" s="2">
        <v>13.849999999999994</v>
      </c>
    </row>
    <row r="122" spans="1:7" hidden="1" x14ac:dyDescent="0.3">
      <c r="A122" t="s">
        <v>71</v>
      </c>
      <c r="B122" t="s">
        <v>72</v>
      </c>
      <c r="C122" t="s">
        <v>2</v>
      </c>
      <c r="D122" s="1">
        <v>45747</v>
      </c>
      <c r="E122">
        <v>0</v>
      </c>
      <c r="F122" s="2">
        <v>11.289999999999992</v>
      </c>
      <c r="G122" s="2">
        <v>11.289999999999992</v>
      </c>
    </row>
    <row r="123" spans="1:7" hidden="1" x14ac:dyDescent="0.3">
      <c r="A123" t="s">
        <v>71</v>
      </c>
      <c r="B123" t="s">
        <v>72</v>
      </c>
      <c r="C123" t="s">
        <v>2</v>
      </c>
      <c r="D123" s="1">
        <v>45777</v>
      </c>
      <c r="E123">
        <v>0</v>
      </c>
      <c r="F123" s="2">
        <v>11.860000000000014</v>
      </c>
      <c r="G123" s="2">
        <v>11.860000000000014</v>
      </c>
    </row>
    <row r="124" spans="1:7" hidden="1" x14ac:dyDescent="0.3">
      <c r="A124" t="s">
        <v>71</v>
      </c>
      <c r="B124" t="s">
        <v>72</v>
      </c>
      <c r="C124" t="s">
        <v>2</v>
      </c>
      <c r="D124" s="1">
        <v>45808</v>
      </c>
      <c r="E124">
        <v>137</v>
      </c>
      <c r="F124" s="2">
        <v>2219.98</v>
      </c>
      <c r="G124" s="2">
        <v>2219.98</v>
      </c>
    </row>
    <row r="125" spans="1:7" hidden="1" x14ac:dyDescent="0.3">
      <c r="A125" t="s">
        <v>71</v>
      </c>
      <c r="B125" t="s">
        <v>72</v>
      </c>
      <c r="C125" t="s">
        <v>2</v>
      </c>
      <c r="D125" s="1">
        <v>45838</v>
      </c>
      <c r="E125">
        <v>144.5</v>
      </c>
      <c r="F125" s="2">
        <v>2365.9200000000005</v>
      </c>
      <c r="G125" s="2">
        <v>2219.98</v>
      </c>
    </row>
    <row r="126" spans="1:7" hidden="1" x14ac:dyDescent="0.3">
      <c r="A126" t="s">
        <v>73</v>
      </c>
      <c r="B126" t="s">
        <v>74</v>
      </c>
      <c r="C126" t="s">
        <v>2</v>
      </c>
      <c r="D126" s="1">
        <v>45688</v>
      </c>
      <c r="E126">
        <v>142.25</v>
      </c>
      <c r="F126" s="2">
        <v>2612.5</v>
      </c>
      <c r="G126" s="2">
        <v>2612.5</v>
      </c>
    </row>
    <row r="127" spans="1:7" hidden="1" x14ac:dyDescent="0.3">
      <c r="A127" t="s">
        <v>73</v>
      </c>
      <c r="B127" t="s">
        <v>74</v>
      </c>
      <c r="C127" t="s">
        <v>2</v>
      </c>
      <c r="D127" s="1">
        <v>45716</v>
      </c>
      <c r="E127">
        <v>105</v>
      </c>
      <c r="F127" s="2">
        <v>2096.0099999999993</v>
      </c>
      <c r="G127" s="2">
        <v>2096.0099999999993</v>
      </c>
    </row>
    <row r="128" spans="1:7" hidden="1" x14ac:dyDescent="0.3">
      <c r="A128" t="s">
        <v>73</v>
      </c>
      <c r="B128" t="s">
        <v>74</v>
      </c>
      <c r="C128" t="s">
        <v>2</v>
      </c>
      <c r="D128" s="1">
        <v>45747</v>
      </c>
      <c r="E128">
        <v>157</v>
      </c>
      <c r="F128" s="2">
        <v>2374.2200000000003</v>
      </c>
      <c r="G128" s="2">
        <v>2374.2200000000003</v>
      </c>
    </row>
    <row r="129" spans="1:7" hidden="1" x14ac:dyDescent="0.3">
      <c r="A129" t="s">
        <v>73</v>
      </c>
      <c r="B129" t="s">
        <v>74</v>
      </c>
      <c r="C129" t="s">
        <v>2</v>
      </c>
      <c r="D129" s="1">
        <v>45777</v>
      </c>
      <c r="E129">
        <v>154.75</v>
      </c>
      <c r="F129" s="2">
        <v>2543.9899999999998</v>
      </c>
      <c r="G129" s="2">
        <v>2543.9899999999998</v>
      </c>
    </row>
    <row r="130" spans="1:7" hidden="1" x14ac:dyDescent="0.3">
      <c r="A130" t="s">
        <v>73</v>
      </c>
      <c r="B130" t="s">
        <v>74</v>
      </c>
      <c r="C130" t="s">
        <v>2</v>
      </c>
      <c r="D130" s="1">
        <v>45808</v>
      </c>
      <c r="E130">
        <v>159.5</v>
      </c>
      <c r="F130" s="2">
        <v>2559.1800000000021</v>
      </c>
      <c r="G130" s="2">
        <v>2559.1800000000021</v>
      </c>
    </row>
    <row r="131" spans="1:7" hidden="1" x14ac:dyDescent="0.3">
      <c r="A131" t="s">
        <v>73</v>
      </c>
      <c r="B131" t="s">
        <v>74</v>
      </c>
      <c r="C131" t="s">
        <v>2</v>
      </c>
      <c r="D131" s="1">
        <v>45838</v>
      </c>
      <c r="E131">
        <v>129</v>
      </c>
      <c r="F131" s="2">
        <v>2354.9399999999987</v>
      </c>
      <c r="G131" s="2">
        <v>2559.1800000000021</v>
      </c>
    </row>
    <row r="132" spans="1:7" hidden="1" x14ac:dyDescent="0.3">
      <c r="A132" t="s">
        <v>75</v>
      </c>
      <c r="B132" t="s">
        <v>76</v>
      </c>
      <c r="C132" t="s">
        <v>2</v>
      </c>
      <c r="D132" s="1">
        <v>45688</v>
      </c>
      <c r="E132">
        <v>52.5</v>
      </c>
      <c r="F132" s="2">
        <v>949.82</v>
      </c>
      <c r="G132" s="2">
        <v>949.82</v>
      </c>
    </row>
    <row r="133" spans="1:7" hidden="1" x14ac:dyDescent="0.3">
      <c r="A133" t="s">
        <v>75</v>
      </c>
      <c r="B133" t="s">
        <v>76</v>
      </c>
      <c r="C133" t="s">
        <v>2</v>
      </c>
      <c r="D133" s="1">
        <v>45716</v>
      </c>
      <c r="E133">
        <v>64.5</v>
      </c>
      <c r="F133" s="2">
        <v>1069.1799999999998</v>
      </c>
      <c r="G133" s="2">
        <v>1069.1799999999998</v>
      </c>
    </row>
    <row r="134" spans="1:7" hidden="1" x14ac:dyDescent="0.3">
      <c r="A134" t="s">
        <v>75</v>
      </c>
      <c r="B134" t="s">
        <v>76</v>
      </c>
      <c r="C134" t="s">
        <v>2</v>
      </c>
      <c r="D134" s="1">
        <v>45747</v>
      </c>
      <c r="E134">
        <v>68.5</v>
      </c>
      <c r="F134" s="2">
        <v>1070.4299999999998</v>
      </c>
      <c r="G134" s="2">
        <v>1070.4299999999998</v>
      </c>
    </row>
    <row r="135" spans="1:7" hidden="1" x14ac:dyDescent="0.3">
      <c r="A135" t="s">
        <v>75</v>
      </c>
      <c r="B135" t="s">
        <v>76</v>
      </c>
      <c r="C135" t="s">
        <v>2</v>
      </c>
      <c r="D135" s="1">
        <v>45777</v>
      </c>
      <c r="E135">
        <v>52.5</v>
      </c>
      <c r="F135" s="2">
        <v>1020.56</v>
      </c>
      <c r="G135" s="2">
        <v>1020.56</v>
      </c>
    </row>
    <row r="136" spans="1:7" hidden="1" x14ac:dyDescent="0.3">
      <c r="A136" t="s">
        <v>75</v>
      </c>
      <c r="B136" t="s">
        <v>76</v>
      </c>
      <c r="C136" t="s">
        <v>2</v>
      </c>
      <c r="D136" s="1">
        <v>45808</v>
      </c>
      <c r="E136">
        <v>63</v>
      </c>
      <c r="F136" s="2">
        <v>1035.0700000000015</v>
      </c>
      <c r="G136" s="2">
        <v>1035.0700000000015</v>
      </c>
    </row>
    <row r="137" spans="1:7" hidden="1" x14ac:dyDescent="0.3">
      <c r="A137" t="s">
        <v>75</v>
      </c>
      <c r="B137" t="s">
        <v>76</v>
      </c>
      <c r="C137" t="s">
        <v>2</v>
      </c>
      <c r="D137" s="1">
        <v>45838</v>
      </c>
      <c r="E137">
        <v>66.5</v>
      </c>
      <c r="F137" s="2">
        <v>1069.3000000000002</v>
      </c>
      <c r="G137" s="2">
        <v>1035.0700000000015</v>
      </c>
    </row>
    <row r="138" spans="1:7" hidden="1" x14ac:dyDescent="0.3">
      <c r="A138" t="s">
        <v>77</v>
      </c>
      <c r="B138" t="s">
        <v>78</v>
      </c>
      <c r="C138" t="s">
        <v>15</v>
      </c>
      <c r="D138" s="1">
        <v>45688</v>
      </c>
      <c r="E138">
        <v>108.75</v>
      </c>
      <c r="F138" s="2">
        <v>1870.5600000000002</v>
      </c>
      <c r="G138" s="2">
        <v>1870.5600000000002</v>
      </c>
    </row>
    <row r="139" spans="1:7" hidden="1" x14ac:dyDescent="0.3">
      <c r="A139" t="s">
        <v>77</v>
      </c>
      <c r="B139" t="s">
        <v>78</v>
      </c>
      <c r="C139" t="s">
        <v>15</v>
      </c>
      <c r="D139" s="1">
        <v>45716</v>
      </c>
      <c r="E139">
        <v>105.25</v>
      </c>
      <c r="F139" s="2">
        <v>1460.8900000000006</v>
      </c>
      <c r="G139" s="2">
        <v>1460.8900000000006</v>
      </c>
    </row>
    <row r="140" spans="1:7" hidden="1" x14ac:dyDescent="0.3">
      <c r="A140" t="s">
        <v>77</v>
      </c>
      <c r="B140" t="s">
        <v>78</v>
      </c>
      <c r="C140" t="s">
        <v>15</v>
      </c>
      <c r="D140" s="1">
        <v>45747</v>
      </c>
      <c r="E140">
        <v>145.5</v>
      </c>
      <c r="F140" s="2">
        <v>1766.4599999999991</v>
      </c>
      <c r="G140" s="2">
        <v>1766.4599999999991</v>
      </c>
    </row>
    <row r="141" spans="1:7" hidden="1" x14ac:dyDescent="0.3">
      <c r="A141" t="s">
        <v>77</v>
      </c>
      <c r="B141" t="s">
        <v>78</v>
      </c>
      <c r="C141" t="s">
        <v>15</v>
      </c>
      <c r="D141" s="1">
        <v>45777</v>
      </c>
      <c r="E141">
        <v>144</v>
      </c>
      <c r="F141" s="2">
        <v>1959.92</v>
      </c>
      <c r="G141" s="2">
        <v>1959.92</v>
      </c>
    </row>
    <row r="142" spans="1:7" hidden="1" x14ac:dyDescent="0.3">
      <c r="A142" t="s">
        <v>77</v>
      </c>
      <c r="B142" t="s">
        <v>78</v>
      </c>
      <c r="C142" t="s">
        <v>15</v>
      </c>
      <c r="D142" s="1">
        <v>45808</v>
      </c>
      <c r="E142">
        <v>129.25</v>
      </c>
      <c r="F142" s="2">
        <v>1747.67</v>
      </c>
      <c r="G142" s="2">
        <v>1747.67</v>
      </c>
    </row>
    <row r="143" spans="1:7" hidden="1" x14ac:dyDescent="0.3">
      <c r="A143" t="s">
        <v>77</v>
      </c>
      <c r="B143" t="s">
        <v>78</v>
      </c>
      <c r="C143" t="s">
        <v>15</v>
      </c>
      <c r="D143" s="1">
        <v>45838</v>
      </c>
      <c r="E143">
        <v>113.5</v>
      </c>
      <c r="F143" s="2">
        <v>1783.5400000000009</v>
      </c>
      <c r="G143" s="2">
        <v>1761.1</v>
      </c>
    </row>
    <row r="144" spans="1:7" hidden="1" x14ac:dyDescent="0.3">
      <c r="A144" t="s">
        <v>79</v>
      </c>
      <c r="B144" t="s">
        <v>80</v>
      </c>
      <c r="C144" t="s">
        <v>2</v>
      </c>
      <c r="D144" s="1">
        <v>45688</v>
      </c>
      <c r="E144">
        <v>142.75</v>
      </c>
      <c r="F144" s="2">
        <v>2696.85</v>
      </c>
      <c r="G144" s="2">
        <v>2696.85</v>
      </c>
    </row>
    <row r="145" spans="1:7" hidden="1" x14ac:dyDescent="0.3">
      <c r="A145" t="s">
        <v>79</v>
      </c>
      <c r="B145" t="s">
        <v>80</v>
      </c>
      <c r="C145" t="s">
        <v>2</v>
      </c>
      <c r="D145" s="1">
        <v>45716</v>
      </c>
      <c r="E145">
        <v>114</v>
      </c>
      <c r="F145" s="2">
        <v>2552.6099999999992</v>
      </c>
      <c r="G145" s="2">
        <v>2552.6099999999992</v>
      </c>
    </row>
    <row r="146" spans="1:7" hidden="1" x14ac:dyDescent="0.3">
      <c r="A146" t="s">
        <v>79</v>
      </c>
      <c r="B146" t="s">
        <v>80</v>
      </c>
      <c r="C146" t="s">
        <v>2</v>
      </c>
      <c r="D146" s="1">
        <v>45747</v>
      </c>
      <c r="E146">
        <v>30.5</v>
      </c>
      <c r="F146" s="2">
        <v>1816.6000000000022</v>
      </c>
      <c r="G146" s="2">
        <v>1816.6000000000022</v>
      </c>
    </row>
    <row r="147" spans="1:7" hidden="1" x14ac:dyDescent="0.3">
      <c r="A147" t="s">
        <v>79</v>
      </c>
      <c r="B147" t="s">
        <v>80</v>
      </c>
      <c r="C147" t="s">
        <v>2</v>
      </c>
      <c r="D147" s="1">
        <v>45777</v>
      </c>
      <c r="E147">
        <v>0</v>
      </c>
      <c r="F147" s="2">
        <v>1170.7599999999984</v>
      </c>
      <c r="G147" s="2">
        <v>1170.7599999999984</v>
      </c>
    </row>
    <row r="148" spans="1:7" hidden="1" x14ac:dyDescent="0.3">
      <c r="A148" t="s">
        <v>79</v>
      </c>
      <c r="B148" t="s">
        <v>80</v>
      </c>
      <c r="C148" t="s">
        <v>2</v>
      </c>
      <c r="D148" s="1">
        <v>45808</v>
      </c>
      <c r="E148">
        <v>72.25</v>
      </c>
      <c r="F148" s="2">
        <v>1837.6600000000017</v>
      </c>
      <c r="G148" s="2">
        <v>1837.6600000000017</v>
      </c>
    </row>
    <row r="149" spans="1:7" hidden="1" x14ac:dyDescent="0.3">
      <c r="A149" t="s">
        <v>79</v>
      </c>
      <c r="B149" t="s">
        <v>80</v>
      </c>
      <c r="C149" t="s">
        <v>2</v>
      </c>
      <c r="D149" s="1">
        <v>45838</v>
      </c>
      <c r="E149">
        <v>149.25</v>
      </c>
      <c r="F149" s="2">
        <v>2638.0899999999965</v>
      </c>
      <c r="G149" s="2">
        <v>1837.6600000000017</v>
      </c>
    </row>
    <row r="150" spans="1:7" hidden="1" x14ac:dyDescent="0.3">
      <c r="A150" t="s">
        <v>81</v>
      </c>
      <c r="B150" t="s">
        <v>82</v>
      </c>
      <c r="C150" t="s">
        <v>2</v>
      </c>
      <c r="D150" s="1">
        <v>45688</v>
      </c>
      <c r="E150">
        <v>136.5</v>
      </c>
      <c r="F150" s="2">
        <v>3854.0199999999995</v>
      </c>
      <c r="G150" s="2">
        <v>3854.0199999999995</v>
      </c>
    </row>
    <row r="151" spans="1:7" hidden="1" x14ac:dyDescent="0.3">
      <c r="A151" t="s">
        <v>81</v>
      </c>
      <c r="B151" t="s">
        <v>82</v>
      </c>
      <c r="C151" t="s">
        <v>2</v>
      </c>
      <c r="D151" s="1">
        <v>45716</v>
      </c>
      <c r="E151">
        <v>126.25</v>
      </c>
      <c r="F151" s="2">
        <v>2850.3900000000012</v>
      </c>
      <c r="G151" s="2">
        <v>2850.3900000000012</v>
      </c>
    </row>
    <row r="152" spans="1:7" hidden="1" x14ac:dyDescent="0.3">
      <c r="A152" t="s">
        <v>81</v>
      </c>
      <c r="B152" t="s">
        <v>82</v>
      </c>
      <c r="C152" t="s">
        <v>2</v>
      </c>
      <c r="D152" s="1">
        <v>45747</v>
      </c>
      <c r="E152">
        <v>90.5</v>
      </c>
      <c r="F152" s="2">
        <v>2383.3199999999988</v>
      </c>
      <c r="G152" s="2">
        <v>2383.3199999999988</v>
      </c>
    </row>
    <row r="153" spans="1:7" hidden="1" x14ac:dyDescent="0.3">
      <c r="A153" t="s">
        <v>81</v>
      </c>
      <c r="B153" t="s">
        <v>82</v>
      </c>
      <c r="C153" t="s">
        <v>2</v>
      </c>
      <c r="D153" s="1">
        <v>45777</v>
      </c>
      <c r="E153">
        <v>149.5</v>
      </c>
      <c r="F153" s="2">
        <v>3609.0300000000025</v>
      </c>
      <c r="G153" s="2">
        <v>3609.0300000000025</v>
      </c>
    </row>
    <row r="154" spans="1:7" hidden="1" x14ac:dyDescent="0.3">
      <c r="A154" t="s">
        <v>81</v>
      </c>
      <c r="B154" t="s">
        <v>82</v>
      </c>
      <c r="C154" t="s">
        <v>2</v>
      </c>
      <c r="D154" s="1">
        <v>45808</v>
      </c>
      <c r="E154">
        <v>138.75</v>
      </c>
      <c r="F154" s="2">
        <v>3491.7799999999952</v>
      </c>
      <c r="G154" s="2">
        <v>3491.7799999999952</v>
      </c>
    </row>
    <row r="155" spans="1:7" hidden="1" x14ac:dyDescent="0.3">
      <c r="A155" t="s">
        <v>81</v>
      </c>
      <c r="B155" t="s">
        <v>82</v>
      </c>
      <c r="C155" t="s">
        <v>2</v>
      </c>
      <c r="D155" s="1">
        <v>45838</v>
      </c>
      <c r="E155">
        <v>153.25</v>
      </c>
      <c r="F155" s="2">
        <v>3645.8899999999994</v>
      </c>
      <c r="G155" s="2">
        <v>3491.7799999999952</v>
      </c>
    </row>
    <row r="156" spans="1:7" x14ac:dyDescent="0.3">
      <c r="A156" t="s">
        <v>83</v>
      </c>
      <c r="B156" t="s">
        <v>84</v>
      </c>
      <c r="C156" t="s">
        <v>12</v>
      </c>
      <c r="D156" s="1">
        <v>45688</v>
      </c>
      <c r="E156">
        <v>144</v>
      </c>
      <c r="F156" s="2">
        <v>5125.8599999999997</v>
      </c>
      <c r="G156" s="2">
        <v>5125.8599999999997</v>
      </c>
    </row>
    <row r="157" spans="1:7" x14ac:dyDescent="0.3">
      <c r="A157" t="s">
        <v>83</v>
      </c>
      <c r="B157" t="s">
        <v>84</v>
      </c>
      <c r="C157" t="s">
        <v>12</v>
      </c>
      <c r="D157" s="1">
        <v>45716</v>
      </c>
      <c r="E157">
        <v>152</v>
      </c>
      <c r="F157" s="2">
        <v>5560.9699999999984</v>
      </c>
      <c r="G157" s="2">
        <v>5560.9699999999984</v>
      </c>
    </row>
    <row r="158" spans="1:7" x14ac:dyDescent="0.3">
      <c r="A158" t="s">
        <v>83</v>
      </c>
      <c r="B158" t="s">
        <v>84</v>
      </c>
      <c r="C158" t="s">
        <v>12</v>
      </c>
      <c r="D158" s="1">
        <v>45747</v>
      </c>
      <c r="E158">
        <v>160</v>
      </c>
      <c r="F158" s="2">
        <v>5494.8800000000047</v>
      </c>
      <c r="G158" s="2">
        <v>5494.8800000000047</v>
      </c>
    </row>
    <row r="159" spans="1:7" x14ac:dyDescent="0.3">
      <c r="A159" t="s">
        <v>83</v>
      </c>
      <c r="B159" t="s">
        <v>84</v>
      </c>
      <c r="C159" t="s">
        <v>12</v>
      </c>
      <c r="D159" s="1">
        <v>45777</v>
      </c>
      <c r="E159">
        <v>151.5</v>
      </c>
      <c r="F159" s="2">
        <v>5509.6499999999978</v>
      </c>
      <c r="G159" s="2">
        <v>5509.6499999999978</v>
      </c>
    </row>
    <row r="160" spans="1:7" x14ac:dyDescent="0.3">
      <c r="A160" t="s">
        <v>83</v>
      </c>
      <c r="B160" t="s">
        <v>84</v>
      </c>
      <c r="C160" t="s">
        <v>12</v>
      </c>
      <c r="D160" s="1">
        <v>45808</v>
      </c>
      <c r="E160">
        <v>159.5</v>
      </c>
      <c r="F160" s="2">
        <v>5486.260000000002</v>
      </c>
      <c r="G160" s="2">
        <v>5486.260000000002</v>
      </c>
    </row>
    <row r="161" spans="1:7" x14ac:dyDescent="0.3">
      <c r="A161" t="s">
        <v>83</v>
      </c>
      <c r="B161" t="s">
        <v>84</v>
      </c>
      <c r="C161" t="s">
        <v>12</v>
      </c>
      <c r="D161" s="1">
        <v>45838</v>
      </c>
      <c r="E161">
        <v>114</v>
      </c>
      <c r="F161" s="2">
        <v>4533.93</v>
      </c>
      <c r="G161" s="2">
        <v>5435.5240000000003</v>
      </c>
    </row>
    <row r="162" spans="1:7" hidden="1" x14ac:dyDescent="0.3">
      <c r="A162" t="s">
        <v>85</v>
      </c>
      <c r="B162" t="s">
        <v>86</v>
      </c>
      <c r="C162" t="s">
        <v>2</v>
      </c>
      <c r="D162" s="1">
        <v>45688</v>
      </c>
      <c r="E162">
        <v>159</v>
      </c>
      <c r="F162" s="2">
        <v>2574.13</v>
      </c>
      <c r="G162" s="2">
        <v>2574.13</v>
      </c>
    </row>
    <row r="163" spans="1:7" hidden="1" x14ac:dyDescent="0.3">
      <c r="A163" t="s">
        <v>85</v>
      </c>
      <c r="B163" t="s">
        <v>86</v>
      </c>
      <c r="C163" t="s">
        <v>2</v>
      </c>
      <c r="D163" s="1">
        <v>45716</v>
      </c>
      <c r="E163">
        <v>121.5</v>
      </c>
      <c r="F163" s="2">
        <v>2308.2199999999993</v>
      </c>
      <c r="G163" s="2">
        <v>2308.2199999999993</v>
      </c>
    </row>
    <row r="164" spans="1:7" hidden="1" x14ac:dyDescent="0.3">
      <c r="A164" t="s">
        <v>85</v>
      </c>
      <c r="B164" t="s">
        <v>86</v>
      </c>
      <c r="C164" t="s">
        <v>2</v>
      </c>
      <c r="D164" s="1">
        <v>45747</v>
      </c>
      <c r="E164">
        <v>157</v>
      </c>
      <c r="F164" s="2">
        <v>2383.9900000000016</v>
      </c>
      <c r="G164" s="2">
        <v>2383.9900000000016</v>
      </c>
    </row>
    <row r="165" spans="1:7" hidden="1" x14ac:dyDescent="0.3">
      <c r="A165" t="s">
        <v>85</v>
      </c>
      <c r="B165" t="s">
        <v>86</v>
      </c>
      <c r="C165" t="s">
        <v>2</v>
      </c>
      <c r="D165" s="1">
        <v>45777</v>
      </c>
      <c r="E165">
        <v>159</v>
      </c>
      <c r="F165" s="2">
        <v>2589.9599999999982</v>
      </c>
      <c r="G165" s="2">
        <v>2589.9599999999982</v>
      </c>
    </row>
    <row r="166" spans="1:7" hidden="1" x14ac:dyDescent="0.3">
      <c r="A166" t="s">
        <v>85</v>
      </c>
      <c r="B166" t="s">
        <v>86</v>
      </c>
      <c r="C166" t="s">
        <v>2</v>
      </c>
      <c r="D166" s="1">
        <v>45808</v>
      </c>
      <c r="E166">
        <v>162.5</v>
      </c>
      <c r="F166" s="2">
        <v>2540.83</v>
      </c>
      <c r="G166" s="2">
        <v>2540.83</v>
      </c>
    </row>
    <row r="167" spans="1:7" hidden="1" x14ac:dyDescent="0.3">
      <c r="A167" t="s">
        <v>85</v>
      </c>
      <c r="B167" t="s">
        <v>86</v>
      </c>
      <c r="C167" t="s">
        <v>2</v>
      </c>
      <c r="D167" s="1">
        <v>45838</v>
      </c>
      <c r="E167">
        <v>152</v>
      </c>
      <c r="F167" s="2">
        <v>2447.2100000000009</v>
      </c>
      <c r="G167" s="2">
        <v>2540.83</v>
      </c>
    </row>
    <row r="168" spans="1:7" x14ac:dyDescent="0.3">
      <c r="A168" t="s">
        <v>87</v>
      </c>
      <c r="B168" t="s">
        <v>88</v>
      </c>
      <c r="C168" t="s">
        <v>12</v>
      </c>
      <c r="D168" s="1">
        <v>45688</v>
      </c>
      <c r="E168">
        <v>155.5</v>
      </c>
      <c r="F168" s="2">
        <v>3313.11</v>
      </c>
      <c r="G168" s="2">
        <v>3313.11</v>
      </c>
    </row>
    <row r="169" spans="1:7" x14ac:dyDescent="0.3">
      <c r="A169" t="s">
        <v>87</v>
      </c>
      <c r="B169" t="s">
        <v>88</v>
      </c>
      <c r="C169" t="s">
        <v>12</v>
      </c>
      <c r="D169" s="1">
        <v>45716</v>
      </c>
      <c r="E169">
        <v>112.25</v>
      </c>
      <c r="F169" s="2">
        <v>3184.1899999999991</v>
      </c>
      <c r="G169" s="2">
        <v>3184.1899999999991</v>
      </c>
    </row>
    <row r="170" spans="1:7" x14ac:dyDescent="0.3">
      <c r="A170" t="s">
        <v>87</v>
      </c>
      <c r="B170" t="s">
        <v>88</v>
      </c>
      <c r="C170" t="s">
        <v>12</v>
      </c>
      <c r="D170" s="1">
        <v>45747</v>
      </c>
      <c r="E170">
        <v>133.25</v>
      </c>
      <c r="F170" s="2">
        <v>3346.4600000000009</v>
      </c>
      <c r="G170" s="2">
        <v>3346.4600000000009</v>
      </c>
    </row>
    <row r="171" spans="1:7" x14ac:dyDescent="0.3">
      <c r="A171" t="s">
        <v>87</v>
      </c>
      <c r="B171" t="s">
        <v>88</v>
      </c>
      <c r="C171" t="s">
        <v>12</v>
      </c>
      <c r="D171" s="1">
        <v>45777</v>
      </c>
      <c r="E171">
        <v>140</v>
      </c>
      <c r="F171" s="2">
        <v>3194.67</v>
      </c>
      <c r="G171" s="2">
        <v>3194.67</v>
      </c>
    </row>
    <row r="172" spans="1:7" x14ac:dyDescent="0.3">
      <c r="A172" t="s">
        <v>87</v>
      </c>
      <c r="B172" t="s">
        <v>88</v>
      </c>
      <c r="C172" t="s">
        <v>12</v>
      </c>
      <c r="D172" s="1">
        <v>45808</v>
      </c>
      <c r="E172">
        <v>141.75</v>
      </c>
      <c r="F172" s="2">
        <v>3106.5699999999979</v>
      </c>
      <c r="G172" s="2">
        <v>3106.5699999999979</v>
      </c>
    </row>
    <row r="173" spans="1:7" x14ac:dyDescent="0.3">
      <c r="A173" t="s">
        <v>87</v>
      </c>
      <c r="B173" t="s">
        <v>88</v>
      </c>
      <c r="C173" t="s">
        <v>12</v>
      </c>
      <c r="D173" s="1">
        <v>45838</v>
      </c>
      <c r="E173">
        <v>149.5</v>
      </c>
      <c r="F173" s="2">
        <v>3324.7900000000063</v>
      </c>
      <c r="G173" s="2">
        <v>3228.9999999999995</v>
      </c>
    </row>
    <row r="174" spans="1:7" x14ac:dyDescent="0.3">
      <c r="A174" t="s">
        <v>89</v>
      </c>
      <c r="B174" t="s">
        <v>90</v>
      </c>
      <c r="C174" t="s">
        <v>13</v>
      </c>
      <c r="D174" s="1">
        <v>45688</v>
      </c>
      <c r="E174">
        <v>144</v>
      </c>
      <c r="F174" s="2">
        <v>9889.4399999999987</v>
      </c>
      <c r="G174" s="2">
        <v>9889.4399999999987</v>
      </c>
    </row>
    <row r="175" spans="1:7" x14ac:dyDescent="0.3">
      <c r="A175" t="s">
        <v>89</v>
      </c>
      <c r="B175" t="s">
        <v>90</v>
      </c>
      <c r="C175" t="s">
        <v>13</v>
      </c>
      <c r="D175" s="1">
        <v>45716</v>
      </c>
      <c r="E175">
        <v>61</v>
      </c>
      <c r="F175" s="2">
        <v>4529.7200000000012</v>
      </c>
      <c r="G175" s="2">
        <v>4529.7200000000012</v>
      </c>
    </row>
    <row r="176" spans="1:7" x14ac:dyDescent="0.3">
      <c r="A176" t="s">
        <v>89</v>
      </c>
      <c r="B176" t="s">
        <v>90</v>
      </c>
      <c r="C176" t="s">
        <v>13</v>
      </c>
      <c r="D176" s="1">
        <v>45747</v>
      </c>
      <c r="E176">
        <v>160</v>
      </c>
      <c r="F176" s="2">
        <v>5690.1399999999994</v>
      </c>
      <c r="G176" s="2">
        <v>5690.1399999999994</v>
      </c>
    </row>
    <row r="177" spans="1:7" x14ac:dyDescent="0.3">
      <c r="A177" t="s">
        <v>89</v>
      </c>
      <c r="B177" t="s">
        <v>90</v>
      </c>
      <c r="C177" t="s">
        <v>13</v>
      </c>
      <c r="D177" s="1">
        <v>45777</v>
      </c>
      <c r="E177">
        <v>151.5</v>
      </c>
      <c r="F177" s="2">
        <v>5715.8400000000038</v>
      </c>
      <c r="G177" s="2">
        <v>5715.8400000000038</v>
      </c>
    </row>
    <row r="178" spans="1:7" x14ac:dyDescent="0.3">
      <c r="A178" t="s">
        <v>89</v>
      </c>
      <c r="B178" t="s">
        <v>90</v>
      </c>
      <c r="C178" t="s">
        <v>13</v>
      </c>
      <c r="D178" s="1">
        <v>45808</v>
      </c>
      <c r="E178">
        <v>152</v>
      </c>
      <c r="F178" s="2">
        <v>5485.9599999999955</v>
      </c>
      <c r="G178" s="2">
        <v>5485.9599999999955</v>
      </c>
    </row>
    <row r="179" spans="1:7" x14ac:dyDescent="0.3">
      <c r="A179" t="s">
        <v>89</v>
      </c>
      <c r="B179" t="s">
        <v>90</v>
      </c>
      <c r="C179" t="s">
        <v>13</v>
      </c>
      <c r="D179" s="1">
        <v>45838</v>
      </c>
      <c r="E179">
        <v>129.5</v>
      </c>
      <c r="F179" s="2">
        <v>5096.6999999999971</v>
      </c>
      <c r="G179" s="2">
        <v>6262.2199999999993</v>
      </c>
    </row>
    <row r="180" spans="1:7" hidden="1" x14ac:dyDescent="0.3">
      <c r="A180" t="s">
        <v>91</v>
      </c>
      <c r="B180" t="s">
        <v>92</v>
      </c>
      <c r="C180" t="s">
        <v>5</v>
      </c>
      <c r="D180" s="1">
        <v>45688</v>
      </c>
      <c r="E180">
        <v>147</v>
      </c>
      <c r="F180" s="2">
        <v>1735.06</v>
      </c>
      <c r="G180" s="2">
        <v>1735.06</v>
      </c>
    </row>
    <row r="181" spans="1:7" hidden="1" x14ac:dyDescent="0.3">
      <c r="A181" t="s">
        <v>91</v>
      </c>
      <c r="B181" t="s">
        <v>92</v>
      </c>
      <c r="C181" t="s">
        <v>5</v>
      </c>
      <c r="D181" s="1">
        <v>45716</v>
      </c>
      <c r="E181">
        <v>136.5</v>
      </c>
      <c r="F181" s="2">
        <v>1736.29</v>
      </c>
      <c r="G181" s="2">
        <v>1736.29</v>
      </c>
    </row>
    <row r="182" spans="1:7" hidden="1" x14ac:dyDescent="0.3">
      <c r="A182" t="s">
        <v>91</v>
      </c>
      <c r="B182" t="s">
        <v>92</v>
      </c>
      <c r="C182" t="s">
        <v>5</v>
      </c>
      <c r="D182" s="1">
        <v>45747</v>
      </c>
      <c r="E182">
        <v>139.5</v>
      </c>
      <c r="F182" s="2">
        <v>1663.3599999999992</v>
      </c>
      <c r="G182" s="2">
        <v>1663.3599999999992</v>
      </c>
    </row>
    <row r="183" spans="1:7" hidden="1" x14ac:dyDescent="0.3">
      <c r="A183" t="s">
        <v>91</v>
      </c>
      <c r="B183" t="s">
        <v>92</v>
      </c>
      <c r="C183" t="s">
        <v>5</v>
      </c>
      <c r="D183" s="1">
        <v>45777</v>
      </c>
      <c r="E183">
        <v>130.75</v>
      </c>
      <c r="F183" s="2">
        <v>1658.9699999999993</v>
      </c>
      <c r="G183" s="2">
        <v>1658.9699999999993</v>
      </c>
    </row>
    <row r="184" spans="1:7" hidden="1" x14ac:dyDescent="0.3">
      <c r="A184" t="s">
        <v>91</v>
      </c>
      <c r="B184" t="s">
        <v>92</v>
      </c>
      <c r="C184" t="s">
        <v>5</v>
      </c>
      <c r="D184" s="1">
        <v>45808</v>
      </c>
      <c r="E184">
        <v>147</v>
      </c>
      <c r="F184" s="2">
        <v>1724.3800000000047</v>
      </c>
      <c r="G184" s="2">
        <v>1724.3800000000047</v>
      </c>
    </row>
    <row r="185" spans="1:7" hidden="1" x14ac:dyDescent="0.3">
      <c r="A185" t="s">
        <v>91</v>
      </c>
      <c r="B185" t="s">
        <v>92</v>
      </c>
      <c r="C185" t="s">
        <v>5</v>
      </c>
      <c r="D185" s="1">
        <v>45838</v>
      </c>
      <c r="E185">
        <v>138.5</v>
      </c>
      <c r="F185" s="2">
        <v>1708.2099999999955</v>
      </c>
      <c r="G185" s="2">
        <v>1703.6120000000005</v>
      </c>
    </row>
    <row r="186" spans="1:7" hidden="1" x14ac:dyDescent="0.3">
      <c r="A186" t="s">
        <v>93</v>
      </c>
      <c r="B186" t="s">
        <v>94</v>
      </c>
      <c r="C186" t="s">
        <v>2</v>
      </c>
      <c r="D186" s="1">
        <v>45688</v>
      </c>
      <c r="E186">
        <v>83</v>
      </c>
      <c r="F186" s="2">
        <v>1583.91</v>
      </c>
      <c r="G186" s="2">
        <v>1583.91</v>
      </c>
    </row>
    <row r="187" spans="1:7" hidden="1" x14ac:dyDescent="0.3">
      <c r="A187" t="s">
        <v>93</v>
      </c>
      <c r="B187" t="s">
        <v>94</v>
      </c>
      <c r="C187" t="s">
        <v>2</v>
      </c>
      <c r="D187" s="1">
        <v>45716</v>
      </c>
      <c r="E187">
        <v>98.5</v>
      </c>
      <c r="F187" s="2">
        <v>1474.53</v>
      </c>
      <c r="G187" s="2">
        <v>1474.53</v>
      </c>
    </row>
    <row r="188" spans="1:7" hidden="1" x14ac:dyDescent="0.3">
      <c r="A188" t="s">
        <v>93</v>
      </c>
      <c r="B188" t="s">
        <v>94</v>
      </c>
      <c r="C188" t="s">
        <v>2</v>
      </c>
      <c r="D188" s="1">
        <v>45747</v>
      </c>
      <c r="E188">
        <v>111.5</v>
      </c>
      <c r="F188" s="2">
        <v>1413.2199999999998</v>
      </c>
      <c r="G188" s="2">
        <v>1413.2199999999998</v>
      </c>
    </row>
    <row r="189" spans="1:7" hidden="1" x14ac:dyDescent="0.3">
      <c r="A189" t="s">
        <v>93</v>
      </c>
      <c r="B189" t="s">
        <v>94</v>
      </c>
      <c r="C189" t="s">
        <v>2</v>
      </c>
      <c r="D189" s="1">
        <v>45777</v>
      </c>
      <c r="E189">
        <v>106.5</v>
      </c>
      <c r="F189" s="2">
        <v>1517.2300000000005</v>
      </c>
      <c r="G189" s="2">
        <v>1517.2300000000005</v>
      </c>
    </row>
    <row r="190" spans="1:7" hidden="1" x14ac:dyDescent="0.3">
      <c r="A190" t="s">
        <v>93</v>
      </c>
      <c r="B190" t="s">
        <v>94</v>
      </c>
      <c r="C190" t="s">
        <v>2</v>
      </c>
      <c r="D190" s="1">
        <v>45808</v>
      </c>
      <c r="E190">
        <v>91</v>
      </c>
      <c r="F190" s="2">
        <v>1308.1299999999983</v>
      </c>
      <c r="G190" s="2">
        <v>1308.1299999999983</v>
      </c>
    </row>
    <row r="191" spans="1:7" hidden="1" x14ac:dyDescent="0.3">
      <c r="A191" t="s">
        <v>93</v>
      </c>
      <c r="B191" t="s">
        <v>94</v>
      </c>
      <c r="C191" t="s">
        <v>2</v>
      </c>
      <c r="D191" s="1">
        <v>45838</v>
      </c>
      <c r="E191">
        <v>105.5</v>
      </c>
      <c r="F191" s="2">
        <v>1451.8300000000017</v>
      </c>
      <c r="G191" s="2">
        <v>1308.1299999999983</v>
      </c>
    </row>
    <row r="192" spans="1:7" hidden="1" x14ac:dyDescent="0.3">
      <c r="A192" t="s">
        <v>95</v>
      </c>
      <c r="B192" t="s">
        <v>96</v>
      </c>
      <c r="C192" t="s">
        <v>3</v>
      </c>
      <c r="D192" s="1">
        <v>45688</v>
      </c>
      <c r="E192">
        <v>119</v>
      </c>
      <c r="F192" s="2">
        <v>2032.02</v>
      </c>
      <c r="G192" s="2">
        <v>2032.02</v>
      </c>
    </row>
    <row r="193" spans="1:7" hidden="1" x14ac:dyDescent="0.3">
      <c r="A193" t="s">
        <v>95</v>
      </c>
      <c r="B193" t="s">
        <v>96</v>
      </c>
      <c r="C193" t="s">
        <v>3</v>
      </c>
      <c r="D193" s="1">
        <v>45716</v>
      </c>
      <c r="E193">
        <v>152</v>
      </c>
      <c r="F193" s="2">
        <v>2091.3700000000013</v>
      </c>
      <c r="G193" s="2">
        <v>2091.3700000000013</v>
      </c>
    </row>
    <row r="194" spans="1:7" hidden="1" x14ac:dyDescent="0.3">
      <c r="A194" t="s">
        <v>95</v>
      </c>
      <c r="B194" t="s">
        <v>96</v>
      </c>
      <c r="C194" t="s">
        <v>3</v>
      </c>
      <c r="D194" s="1">
        <v>45747</v>
      </c>
      <c r="E194">
        <v>158.75</v>
      </c>
      <c r="F194" s="2">
        <v>2119.0999999999985</v>
      </c>
      <c r="G194" s="2">
        <v>2119.0999999999985</v>
      </c>
    </row>
    <row r="195" spans="1:7" hidden="1" x14ac:dyDescent="0.3">
      <c r="A195" t="s">
        <v>95</v>
      </c>
      <c r="B195" t="s">
        <v>96</v>
      </c>
      <c r="C195" t="s">
        <v>3</v>
      </c>
      <c r="D195" s="1">
        <v>45777</v>
      </c>
      <c r="E195">
        <v>151</v>
      </c>
      <c r="F195" s="2">
        <v>2207.58</v>
      </c>
      <c r="G195" s="2">
        <v>2207.58</v>
      </c>
    </row>
    <row r="196" spans="1:7" hidden="1" x14ac:dyDescent="0.3">
      <c r="A196" t="s">
        <v>95</v>
      </c>
      <c r="B196" t="s">
        <v>96</v>
      </c>
      <c r="C196" t="s">
        <v>3</v>
      </c>
      <c r="D196" s="1">
        <v>45808</v>
      </c>
      <c r="E196">
        <v>150.25</v>
      </c>
      <c r="F196" s="2">
        <v>2149.33</v>
      </c>
      <c r="G196" s="2">
        <v>2149.33</v>
      </c>
    </row>
    <row r="197" spans="1:7" hidden="1" x14ac:dyDescent="0.3">
      <c r="A197" t="s">
        <v>95</v>
      </c>
      <c r="B197" t="s">
        <v>96</v>
      </c>
      <c r="C197" t="s">
        <v>3</v>
      </c>
      <c r="D197" s="1">
        <v>45838</v>
      </c>
      <c r="E197">
        <v>149.5</v>
      </c>
      <c r="F197" s="2">
        <v>2148.3999999999996</v>
      </c>
      <c r="G197" s="2">
        <v>2149.33</v>
      </c>
    </row>
    <row r="198" spans="1:7" hidden="1" x14ac:dyDescent="0.3">
      <c r="A198" t="s">
        <v>97</v>
      </c>
      <c r="B198" t="s">
        <v>98</v>
      </c>
      <c r="C198" t="s">
        <v>2</v>
      </c>
      <c r="D198" s="1">
        <v>45688</v>
      </c>
      <c r="E198">
        <v>151</v>
      </c>
      <c r="F198" s="2">
        <v>2035.75</v>
      </c>
      <c r="G198" s="2">
        <v>2035.75</v>
      </c>
    </row>
    <row r="199" spans="1:7" hidden="1" x14ac:dyDescent="0.3">
      <c r="A199" t="s">
        <v>97</v>
      </c>
      <c r="B199" t="s">
        <v>98</v>
      </c>
      <c r="C199" t="s">
        <v>2</v>
      </c>
      <c r="D199" s="1">
        <v>45716</v>
      </c>
      <c r="E199">
        <v>141.5</v>
      </c>
      <c r="F199" s="2">
        <v>1820.9399999999996</v>
      </c>
      <c r="G199" s="2">
        <v>1820.9399999999996</v>
      </c>
    </row>
    <row r="200" spans="1:7" hidden="1" x14ac:dyDescent="0.3">
      <c r="A200" t="s">
        <v>97</v>
      </c>
      <c r="B200" t="s">
        <v>98</v>
      </c>
      <c r="C200" t="s">
        <v>2</v>
      </c>
      <c r="D200" s="1">
        <v>45747</v>
      </c>
      <c r="E200">
        <v>143.5</v>
      </c>
      <c r="F200" s="2">
        <v>1794.1500000000005</v>
      </c>
      <c r="G200" s="2">
        <v>1794.1500000000005</v>
      </c>
    </row>
    <row r="201" spans="1:7" hidden="1" x14ac:dyDescent="0.3">
      <c r="A201" t="s">
        <v>97</v>
      </c>
      <c r="B201" t="s">
        <v>98</v>
      </c>
      <c r="C201" t="s">
        <v>2</v>
      </c>
      <c r="D201" s="1">
        <v>45777</v>
      </c>
      <c r="E201">
        <v>128</v>
      </c>
      <c r="F201" s="2">
        <v>1996.4300000000003</v>
      </c>
      <c r="G201" s="2">
        <v>1996.4300000000003</v>
      </c>
    </row>
    <row r="202" spans="1:7" hidden="1" x14ac:dyDescent="0.3">
      <c r="A202" t="s">
        <v>97</v>
      </c>
      <c r="B202" t="s">
        <v>98</v>
      </c>
      <c r="C202" t="s">
        <v>2</v>
      </c>
      <c r="D202" s="1">
        <v>45808</v>
      </c>
      <c r="E202">
        <v>136</v>
      </c>
      <c r="F202" s="2">
        <v>1806.7699999999986</v>
      </c>
      <c r="G202" s="2">
        <v>1806.7699999999986</v>
      </c>
    </row>
    <row r="203" spans="1:7" hidden="1" x14ac:dyDescent="0.3">
      <c r="A203" t="s">
        <v>97</v>
      </c>
      <c r="B203" t="s">
        <v>98</v>
      </c>
      <c r="C203" t="s">
        <v>2</v>
      </c>
      <c r="D203" s="1">
        <v>45838</v>
      </c>
      <c r="E203">
        <v>120.5</v>
      </c>
      <c r="F203" s="2">
        <v>1839.0300000000007</v>
      </c>
      <c r="G203" s="2">
        <v>1806.7699999999986</v>
      </c>
    </row>
    <row r="204" spans="1:7" hidden="1" x14ac:dyDescent="0.3">
      <c r="A204" t="s">
        <v>99</v>
      </c>
      <c r="B204" t="s">
        <v>100</v>
      </c>
      <c r="C204" t="s">
        <v>2</v>
      </c>
      <c r="D204" s="1">
        <v>45688</v>
      </c>
      <c r="E204">
        <v>96</v>
      </c>
      <c r="F204" s="2">
        <v>1756.9300000000003</v>
      </c>
      <c r="G204" s="2">
        <v>0</v>
      </c>
    </row>
    <row r="205" spans="1:7" hidden="1" x14ac:dyDescent="0.3">
      <c r="A205" t="s">
        <v>99</v>
      </c>
      <c r="B205" t="s">
        <v>100</v>
      </c>
      <c r="C205" t="s">
        <v>2</v>
      </c>
      <c r="D205" s="1">
        <v>45716</v>
      </c>
      <c r="E205">
        <v>69.75</v>
      </c>
      <c r="F205" s="2">
        <v>1361.1</v>
      </c>
      <c r="G205" s="2">
        <v>0</v>
      </c>
    </row>
    <row r="206" spans="1:7" hidden="1" x14ac:dyDescent="0.3">
      <c r="A206" t="s">
        <v>99</v>
      </c>
      <c r="B206" t="s">
        <v>100</v>
      </c>
      <c r="C206" t="s">
        <v>2</v>
      </c>
      <c r="D206" s="1">
        <v>45747</v>
      </c>
      <c r="E206">
        <v>92.5</v>
      </c>
      <c r="F206" s="2">
        <v>1566.5099999999989</v>
      </c>
      <c r="G206" s="2">
        <v>0</v>
      </c>
    </row>
    <row r="207" spans="1:7" hidden="1" x14ac:dyDescent="0.3">
      <c r="A207" t="s">
        <v>99</v>
      </c>
      <c r="B207" t="s">
        <v>100</v>
      </c>
      <c r="C207" t="s">
        <v>2</v>
      </c>
      <c r="D207" s="1">
        <v>45777</v>
      </c>
      <c r="E207">
        <v>94</v>
      </c>
      <c r="F207" s="2">
        <v>1689.7300000000014</v>
      </c>
      <c r="G207" s="2">
        <v>0</v>
      </c>
    </row>
    <row r="208" spans="1:7" hidden="1" x14ac:dyDescent="0.3">
      <c r="A208" t="s">
        <v>99</v>
      </c>
      <c r="B208" t="s">
        <v>100</v>
      </c>
      <c r="C208" t="s">
        <v>2</v>
      </c>
      <c r="D208" s="1">
        <v>45808</v>
      </c>
      <c r="E208">
        <v>112.25</v>
      </c>
      <c r="F208" s="2">
        <v>1863.7000000000007</v>
      </c>
      <c r="G208" s="2">
        <v>0</v>
      </c>
    </row>
    <row r="209" spans="1:7" hidden="1" x14ac:dyDescent="0.3">
      <c r="A209" t="s">
        <v>99</v>
      </c>
      <c r="B209" t="s">
        <v>100</v>
      </c>
      <c r="C209" t="s">
        <v>2</v>
      </c>
      <c r="D209" s="1">
        <v>45838</v>
      </c>
      <c r="E209">
        <v>78.5</v>
      </c>
      <c r="F209" s="2">
        <v>1378.8100000000013</v>
      </c>
      <c r="G209" s="2">
        <v>0</v>
      </c>
    </row>
    <row r="210" spans="1:7" x14ac:dyDescent="0.3">
      <c r="A210" t="s">
        <v>101</v>
      </c>
      <c r="B210" t="s">
        <v>102</v>
      </c>
      <c r="C210" t="s">
        <v>13</v>
      </c>
      <c r="D210" s="1">
        <v>45688</v>
      </c>
      <c r="E210">
        <v>47.75</v>
      </c>
      <c r="F210" s="2">
        <v>1194.9000000000001</v>
      </c>
      <c r="G210" s="2">
        <v>1194.9000000000001</v>
      </c>
    </row>
    <row r="211" spans="1:7" x14ac:dyDescent="0.3">
      <c r="A211" t="s">
        <v>101</v>
      </c>
      <c r="B211" t="s">
        <v>102</v>
      </c>
      <c r="C211" t="s">
        <v>13</v>
      </c>
      <c r="D211" s="1">
        <v>45716</v>
      </c>
      <c r="E211">
        <v>95.5</v>
      </c>
      <c r="F211" s="2">
        <v>1500.1799999999998</v>
      </c>
      <c r="G211" s="2">
        <v>1500.1799999999998</v>
      </c>
    </row>
    <row r="212" spans="1:7" x14ac:dyDescent="0.3">
      <c r="A212" t="s">
        <v>101</v>
      </c>
      <c r="B212" t="s">
        <v>102</v>
      </c>
      <c r="C212" t="s">
        <v>13</v>
      </c>
      <c r="D212" s="1">
        <v>45747</v>
      </c>
      <c r="E212">
        <v>100.75</v>
      </c>
      <c r="F212" s="2">
        <v>1361.35</v>
      </c>
      <c r="G212" s="2">
        <v>1361.35</v>
      </c>
    </row>
    <row r="213" spans="1:7" x14ac:dyDescent="0.3">
      <c r="A213" t="s">
        <v>101</v>
      </c>
      <c r="B213" t="s">
        <v>102</v>
      </c>
      <c r="C213" t="s">
        <v>13</v>
      </c>
      <c r="D213" s="1">
        <v>45777</v>
      </c>
      <c r="E213">
        <v>100.25</v>
      </c>
      <c r="F213" s="2">
        <v>1395.3300000000004</v>
      </c>
      <c r="G213" s="2">
        <v>1395.3300000000004</v>
      </c>
    </row>
    <row r="214" spans="1:7" x14ac:dyDescent="0.3">
      <c r="A214" t="s">
        <v>101</v>
      </c>
      <c r="B214" t="s">
        <v>102</v>
      </c>
      <c r="C214" t="s">
        <v>13</v>
      </c>
      <c r="D214" s="1">
        <v>45808</v>
      </c>
      <c r="E214">
        <v>113</v>
      </c>
      <c r="F214" s="2">
        <v>1450.6899999999996</v>
      </c>
      <c r="G214" s="2">
        <v>1450.6899999999996</v>
      </c>
    </row>
    <row r="215" spans="1:7" x14ac:dyDescent="0.3">
      <c r="A215" t="s">
        <v>101</v>
      </c>
      <c r="B215" t="s">
        <v>102</v>
      </c>
      <c r="C215" t="s">
        <v>13</v>
      </c>
      <c r="D215" s="1">
        <v>45838</v>
      </c>
      <c r="E215">
        <v>100.25</v>
      </c>
      <c r="F215" s="2">
        <v>1387.9699999999984</v>
      </c>
      <c r="G215" s="2">
        <v>1380.49</v>
      </c>
    </row>
    <row r="216" spans="1:7" hidden="1" x14ac:dyDescent="0.3">
      <c r="A216" t="s">
        <v>103</v>
      </c>
      <c r="B216" t="s">
        <v>104</v>
      </c>
      <c r="C216" t="s">
        <v>2</v>
      </c>
      <c r="D216" s="1">
        <v>45688</v>
      </c>
      <c r="E216">
        <v>21</v>
      </c>
      <c r="F216" s="2">
        <v>621.26000000000022</v>
      </c>
      <c r="G216" s="2">
        <v>0</v>
      </c>
    </row>
    <row r="217" spans="1:7" hidden="1" x14ac:dyDescent="0.3">
      <c r="A217" t="s">
        <v>103</v>
      </c>
      <c r="B217" t="s">
        <v>104</v>
      </c>
      <c r="C217" t="s">
        <v>2</v>
      </c>
      <c r="D217" s="1">
        <v>45716</v>
      </c>
      <c r="E217">
        <v>84</v>
      </c>
      <c r="F217" s="2">
        <v>1114.6100000000001</v>
      </c>
      <c r="G217" s="2">
        <v>0</v>
      </c>
    </row>
    <row r="218" spans="1:7" hidden="1" x14ac:dyDescent="0.3">
      <c r="A218" t="s">
        <v>103</v>
      </c>
      <c r="B218" t="s">
        <v>104</v>
      </c>
      <c r="C218" t="s">
        <v>2</v>
      </c>
      <c r="D218" s="1">
        <v>45747</v>
      </c>
      <c r="E218">
        <v>84</v>
      </c>
      <c r="F218" s="2">
        <v>1074.6199999999994</v>
      </c>
      <c r="G218" s="2">
        <v>0</v>
      </c>
    </row>
    <row r="219" spans="1:7" hidden="1" x14ac:dyDescent="0.3">
      <c r="A219" t="s">
        <v>103</v>
      </c>
      <c r="B219" t="s">
        <v>104</v>
      </c>
      <c r="C219" t="s">
        <v>2</v>
      </c>
      <c r="D219" s="1">
        <v>45777</v>
      </c>
      <c r="E219">
        <v>72.75</v>
      </c>
      <c r="F219" s="2">
        <v>1070.5300000000007</v>
      </c>
      <c r="G219" s="2">
        <v>0</v>
      </c>
    </row>
    <row r="220" spans="1:7" hidden="1" x14ac:dyDescent="0.3">
      <c r="A220" t="s">
        <v>103</v>
      </c>
      <c r="B220" t="s">
        <v>104</v>
      </c>
      <c r="C220" t="s">
        <v>2</v>
      </c>
      <c r="D220" s="1">
        <v>45808</v>
      </c>
      <c r="E220">
        <v>-261.75</v>
      </c>
      <c r="F220" s="2">
        <v>-3881.0200000000004</v>
      </c>
      <c r="G220" s="2">
        <v>0</v>
      </c>
    </row>
    <row r="221" spans="1:7" hidden="1" x14ac:dyDescent="0.3">
      <c r="A221" t="s">
        <v>105</v>
      </c>
      <c r="B221" t="s">
        <v>106</v>
      </c>
      <c r="C221" t="s">
        <v>2</v>
      </c>
      <c r="D221" s="1">
        <v>45688</v>
      </c>
      <c r="E221">
        <v>136.5</v>
      </c>
      <c r="F221" s="2">
        <v>1859.39</v>
      </c>
      <c r="G221" s="2">
        <v>1859.39</v>
      </c>
    </row>
    <row r="222" spans="1:7" hidden="1" x14ac:dyDescent="0.3">
      <c r="A222" t="s">
        <v>105</v>
      </c>
      <c r="B222" t="s">
        <v>106</v>
      </c>
      <c r="C222" t="s">
        <v>2</v>
      </c>
      <c r="D222" s="1">
        <v>45716</v>
      </c>
      <c r="E222">
        <v>136.5</v>
      </c>
      <c r="F222" s="2">
        <v>1739.4999999999998</v>
      </c>
      <c r="G222" s="2">
        <v>1739.4999999999998</v>
      </c>
    </row>
    <row r="223" spans="1:7" hidden="1" x14ac:dyDescent="0.3">
      <c r="A223" t="s">
        <v>105</v>
      </c>
      <c r="B223" t="s">
        <v>106</v>
      </c>
      <c r="C223" t="s">
        <v>2</v>
      </c>
      <c r="D223" s="1">
        <v>45747</v>
      </c>
      <c r="E223">
        <v>148.75</v>
      </c>
      <c r="F223" s="2">
        <v>1830.2599999999998</v>
      </c>
      <c r="G223" s="2">
        <v>1830.2599999999998</v>
      </c>
    </row>
    <row r="224" spans="1:7" hidden="1" x14ac:dyDescent="0.3">
      <c r="A224" t="s">
        <v>105</v>
      </c>
      <c r="B224" t="s">
        <v>106</v>
      </c>
      <c r="C224" t="s">
        <v>2</v>
      </c>
      <c r="D224" s="1">
        <v>45777</v>
      </c>
      <c r="E224">
        <v>136</v>
      </c>
      <c r="F224" s="2">
        <v>1824.1499999999996</v>
      </c>
      <c r="G224" s="2">
        <v>1824.1499999999996</v>
      </c>
    </row>
    <row r="225" spans="1:7" hidden="1" x14ac:dyDescent="0.3">
      <c r="A225" t="s">
        <v>105</v>
      </c>
      <c r="B225" t="s">
        <v>106</v>
      </c>
      <c r="C225" t="s">
        <v>2</v>
      </c>
      <c r="D225" s="1">
        <v>45808</v>
      </c>
      <c r="E225">
        <v>134</v>
      </c>
      <c r="F225" s="2">
        <v>1740.5499999999993</v>
      </c>
      <c r="G225" s="2">
        <v>1740.5499999999993</v>
      </c>
    </row>
    <row r="226" spans="1:7" hidden="1" x14ac:dyDescent="0.3">
      <c r="A226" t="s">
        <v>105</v>
      </c>
      <c r="B226" t="s">
        <v>106</v>
      </c>
      <c r="C226" t="s">
        <v>2</v>
      </c>
      <c r="D226" s="1">
        <v>45838</v>
      </c>
      <c r="E226">
        <v>144.5</v>
      </c>
      <c r="F226" s="2">
        <v>1852.6500000000015</v>
      </c>
      <c r="G226" s="2">
        <v>1740.5499999999993</v>
      </c>
    </row>
    <row r="227" spans="1:7" hidden="1" x14ac:dyDescent="0.3">
      <c r="A227" t="s">
        <v>107</v>
      </c>
      <c r="B227" t="s">
        <v>108</v>
      </c>
      <c r="C227" t="s">
        <v>2</v>
      </c>
      <c r="D227" s="1">
        <v>45688</v>
      </c>
      <c r="E227">
        <v>71</v>
      </c>
      <c r="F227" s="2">
        <v>1123.9099999999999</v>
      </c>
      <c r="G227" s="2">
        <v>1123.9099999999999</v>
      </c>
    </row>
    <row r="228" spans="1:7" hidden="1" x14ac:dyDescent="0.3">
      <c r="A228" t="s">
        <v>107</v>
      </c>
      <c r="B228" t="s">
        <v>108</v>
      </c>
      <c r="C228" t="s">
        <v>2</v>
      </c>
      <c r="D228" s="1">
        <v>45716</v>
      </c>
      <c r="E228">
        <v>34</v>
      </c>
      <c r="F228" s="2">
        <v>983.11999999999989</v>
      </c>
      <c r="G228" s="2">
        <v>983.11999999999989</v>
      </c>
    </row>
    <row r="229" spans="1:7" hidden="1" x14ac:dyDescent="0.3">
      <c r="A229" t="s">
        <v>107</v>
      </c>
      <c r="B229" t="s">
        <v>108</v>
      </c>
      <c r="C229" t="s">
        <v>2</v>
      </c>
      <c r="D229" s="1">
        <v>45747</v>
      </c>
      <c r="E229">
        <v>75.75</v>
      </c>
      <c r="F229" s="2">
        <v>1104.0300000000002</v>
      </c>
      <c r="G229" s="2">
        <v>1104.0300000000002</v>
      </c>
    </row>
    <row r="230" spans="1:7" hidden="1" x14ac:dyDescent="0.3">
      <c r="A230" t="s">
        <v>107</v>
      </c>
      <c r="B230" t="s">
        <v>108</v>
      </c>
      <c r="C230" t="s">
        <v>2</v>
      </c>
      <c r="D230" s="1">
        <v>45777</v>
      </c>
      <c r="E230">
        <v>105.75</v>
      </c>
      <c r="F230" s="2">
        <v>1548.8399999999997</v>
      </c>
      <c r="G230" s="2">
        <v>1548.8399999999997</v>
      </c>
    </row>
    <row r="231" spans="1:7" hidden="1" x14ac:dyDescent="0.3">
      <c r="A231" t="s">
        <v>107</v>
      </c>
      <c r="B231" t="s">
        <v>108</v>
      </c>
      <c r="C231" t="s">
        <v>2</v>
      </c>
      <c r="D231" s="1">
        <v>45808</v>
      </c>
      <c r="E231">
        <v>97</v>
      </c>
      <c r="F231" s="2">
        <v>1574.0699999999997</v>
      </c>
      <c r="G231" s="2">
        <v>1574.0699999999997</v>
      </c>
    </row>
    <row r="232" spans="1:7" hidden="1" x14ac:dyDescent="0.3">
      <c r="A232" t="s">
        <v>107</v>
      </c>
      <c r="B232" t="s">
        <v>108</v>
      </c>
      <c r="C232" t="s">
        <v>2</v>
      </c>
      <c r="D232" s="1">
        <v>45838</v>
      </c>
      <c r="E232">
        <v>98</v>
      </c>
      <c r="F232" s="2">
        <v>1380.4599999999991</v>
      </c>
      <c r="G232" s="2">
        <v>1574.0699999999997</v>
      </c>
    </row>
    <row r="233" spans="1:7" hidden="1" x14ac:dyDescent="0.3">
      <c r="A233" t="s">
        <v>109</v>
      </c>
      <c r="B233" t="s">
        <v>110</v>
      </c>
      <c r="C233" t="s">
        <v>6</v>
      </c>
      <c r="D233" s="1">
        <v>45688</v>
      </c>
      <c r="E233">
        <v>142.75</v>
      </c>
      <c r="F233" s="2">
        <v>4133.84</v>
      </c>
      <c r="G233" s="2">
        <v>4133.84</v>
      </c>
    </row>
    <row r="234" spans="1:7" hidden="1" x14ac:dyDescent="0.3">
      <c r="A234" t="s">
        <v>109</v>
      </c>
      <c r="B234" t="s">
        <v>110</v>
      </c>
      <c r="C234" t="s">
        <v>6</v>
      </c>
      <c r="D234" s="1">
        <v>45716</v>
      </c>
      <c r="E234">
        <v>120</v>
      </c>
      <c r="F234" s="2">
        <v>3832.5999999999985</v>
      </c>
      <c r="G234" s="2">
        <v>3832.5999999999985</v>
      </c>
    </row>
    <row r="235" spans="1:7" hidden="1" x14ac:dyDescent="0.3">
      <c r="A235" t="s">
        <v>109</v>
      </c>
      <c r="B235" t="s">
        <v>110</v>
      </c>
      <c r="C235" t="s">
        <v>6</v>
      </c>
      <c r="D235" s="1">
        <v>45747</v>
      </c>
      <c r="E235">
        <v>159.25</v>
      </c>
      <c r="F235" s="2">
        <v>4461.380000000001</v>
      </c>
      <c r="G235" s="2">
        <v>4461.380000000001</v>
      </c>
    </row>
    <row r="236" spans="1:7" hidden="1" x14ac:dyDescent="0.3">
      <c r="A236" t="s">
        <v>109</v>
      </c>
      <c r="B236" t="s">
        <v>110</v>
      </c>
      <c r="C236" t="s">
        <v>6</v>
      </c>
      <c r="D236" s="1">
        <v>45777</v>
      </c>
      <c r="E236">
        <v>151.5</v>
      </c>
      <c r="F236" s="2">
        <v>4493.1900000000023</v>
      </c>
      <c r="G236" s="2">
        <v>4493.1900000000023</v>
      </c>
    </row>
    <row r="237" spans="1:7" hidden="1" x14ac:dyDescent="0.3">
      <c r="A237" t="s">
        <v>109</v>
      </c>
      <c r="B237" t="s">
        <v>110</v>
      </c>
      <c r="C237" t="s">
        <v>6</v>
      </c>
      <c r="D237" s="1">
        <v>45808</v>
      </c>
      <c r="E237">
        <v>144.5</v>
      </c>
      <c r="F237" s="2">
        <v>4160.6799999999967</v>
      </c>
      <c r="G237" s="2">
        <v>4160.6799999999967</v>
      </c>
    </row>
    <row r="238" spans="1:7" hidden="1" x14ac:dyDescent="0.3">
      <c r="A238" t="s">
        <v>109</v>
      </c>
      <c r="B238" t="s">
        <v>110</v>
      </c>
      <c r="C238" t="s">
        <v>6</v>
      </c>
      <c r="D238" s="1">
        <v>45838</v>
      </c>
      <c r="E238">
        <v>113</v>
      </c>
      <c r="F238" s="2">
        <v>3655.4300000000003</v>
      </c>
      <c r="G238" s="2">
        <v>4216.3379999999997</v>
      </c>
    </row>
    <row r="239" spans="1:7" x14ac:dyDescent="0.3">
      <c r="A239" t="s">
        <v>111</v>
      </c>
      <c r="B239" t="s">
        <v>112</v>
      </c>
      <c r="C239" t="s">
        <v>14</v>
      </c>
      <c r="D239" s="1">
        <v>45688</v>
      </c>
      <c r="E239">
        <v>144</v>
      </c>
      <c r="F239" s="2">
        <v>13457.28</v>
      </c>
      <c r="G239" s="2">
        <v>0</v>
      </c>
    </row>
    <row r="240" spans="1:7" x14ac:dyDescent="0.3">
      <c r="A240" t="s">
        <v>111</v>
      </c>
      <c r="B240" t="s">
        <v>112</v>
      </c>
      <c r="C240" t="s">
        <v>14</v>
      </c>
      <c r="D240" s="1">
        <v>45716</v>
      </c>
      <c r="E240">
        <v>152</v>
      </c>
      <c r="F240" s="2">
        <v>6194.9499999999989</v>
      </c>
      <c r="G240" s="2">
        <v>0</v>
      </c>
    </row>
    <row r="241" spans="1:7" x14ac:dyDescent="0.3">
      <c r="A241" t="s">
        <v>111</v>
      </c>
      <c r="B241" t="s">
        <v>112</v>
      </c>
      <c r="C241" t="s">
        <v>14</v>
      </c>
      <c r="D241" s="1">
        <v>45747</v>
      </c>
      <c r="E241">
        <v>160</v>
      </c>
      <c r="F241" s="2">
        <v>6086.2199999999975</v>
      </c>
      <c r="G241" s="2">
        <v>0</v>
      </c>
    </row>
    <row r="242" spans="1:7" x14ac:dyDescent="0.3">
      <c r="A242" t="s">
        <v>111</v>
      </c>
      <c r="B242" t="s">
        <v>112</v>
      </c>
      <c r="C242" t="s">
        <v>14</v>
      </c>
      <c r="D242" s="1">
        <v>45777</v>
      </c>
      <c r="E242">
        <v>136.5</v>
      </c>
      <c r="F242" s="2">
        <v>5688.9599999999991</v>
      </c>
      <c r="G242" s="2">
        <v>0</v>
      </c>
    </row>
    <row r="243" spans="1:7" x14ac:dyDescent="0.3">
      <c r="A243" t="s">
        <v>111</v>
      </c>
      <c r="B243" t="s">
        <v>112</v>
      </c>
      <c r="C243" t="s">
        <v>14</v>
      </c>
      <c r="D243" s="1">
        <v>45808</v>
      </c>
      <c r="E243">
        <v>159.5</v>
      </c>
      <c r="F243" s="2">
        <v>6072.0399999999936</v>
      </c>
      <c r="G243" s="2">
        <v>0</v>
      </c>
    </row>
    <row r="244" spans="1:7" x14ac:dyDescent="0.3">
      <c r="A244" t="s">
        <v>111</v>
      </c>
      <c r="B244" t="s">
        <v>112</v>
      </c>
      <c r="C244" t="s">
        <v>14</v>
      </c>
      <c r="D244" s="1">
        <v>45838</v>
      </c>
      <c r="E244">
        <v>152</v>
      </c>
      <c r="F244" s="2">
        <v>11979.680000000008</v>
      </c>
      <c r="G244" s="2">
        <v>0</v>
      </c>
    </row>
    <row r="245" spans="1:7" hidden="1" x14ac:dyDescent="0.3">
      <c r="A245" t="s">
        <v>113</v>
      </c>
      <c r="B245" t="s">
        <v>114</v>
      </c>
      <c r="C245" t="s">
        <v>3</v>
      </c>
      <c r="D245" s="1">
        <v>45688</v>
      </c>
      <c r="E245">
        <v>108</v>
      </c>
      <c r="F245" s="2">
        <v>1385.41</v>
      </c>
      <c r="G245" s="2">
        <v>1385.41</v>
      </c>
    </row>
    <row r="246" spans="1:7" hidden="1" x14ac:dyDescent="0.3">
      <c r="A246" t="s">
        <v>113</v>
      </c>
      <c r="B246" t="s">
        <v>114</v>
      </c>
      <c r="C246" t="s">
        <v>3</v>
      </c>
      <c r="D246" s="1">
        <v>45716</v>
      </c>
      <c r="E246">
        <v>119.5</v>
      </c>
      <c r="F246" s="2">
        <v>1418.5599999999997</v>
      </c>
      <c r="G246" s="2">
        <v>1418.5599999999997</v>
      </c>
    </row>
    <row r="247" spans="1:7" hidden="1" x14ac:dyDescent="0.3">
      <c r="A247" t="s">
        <v>113</v>
      </c>
      <c r="B247" t="s">
        <v>114</v>
      </c>
      <c r="C247" t="s">
        <v>3</v>
      </c>
      <c r="D247" s="1">
        <v>45747</v>
      </c>
      <c r="E247">
        <v>117.75</v>
      </c>
      <c r="F247" s="2">
        <v>1353.0000000000005</v>
      </c>
      <c r="G247" s="2">
        <v>1353.0000000000005</v>
      </c>
    </row>
    <row r="248" spans="1:7" hidden="1" x14ac:dyDescent="0.3">
      <c r="A248" t="s">
        <v>113</v>
      </c>
      <c r="B248" t="s">
        <v>114</v>
      </c>
      <c r="C248" t="s">
        <v>3</v>
      </c>
      <c r="D248" s="1">
        <v>45777</v>
      </c>
      <c r="E248">
        <v>113</v>
      </c>
      <c r="F248" s="2">
        <v>1439.0099999999993</v>
      </c>
      <c r="G248" s="2">
        <v>1439.0099999999993</v>
      </c>
    </row>
    <row r="249" spans="1:7" hidden="1" x14ac:dyDescent="0.3">
      <c r="A249" t="s">
        <v>113</v>
      </c>
      <c r="B249" t="s">
        <v>114</v>
      </c>
      <c r="C249" t="s">
        <v>3</v>
      </c>
      <c r="D249" s="1">
        <v>45808</v>
      </c>
      <c r="E249">
        <v>108</v>
      </c>
      <c r="F249" s="2">
        <v>1322.1200000000008</v>
      </c>
      <c r="G249" s="2">
        <v>1322.1200000000008</v>
      </c>
    </row>
    <row r="250" spans="1:7" hidden="1" x14ac:dyDescent="0.3">
      <c r="A250" t="s">
        <v>113</v>
      </c>
      <c r="B250" t="s">
        <v>114</v>
      </c>
      <c r="C250" t="s">
        <v>3</v>
      </c>
      <c r="D250" s="1">
        <v>45838</v>
      </c>
      <c r="E250">
        <v>114</v>
      </c>
      <c r="F250" s="2">
        <v>1402.9400000000005</v>
      </c>
      <c r="G250" s="2">
        <v>1322.1200000000008</v>
      </c>
    </row>
    <row r="251" spans="1:7" hidden="1" x14ac:dyDescent="0.3">
      <c r="A251" t="s">
        <v>115</v>
      </c>
      <c r="B251" t="s">
        <v>116</v>
      </c>
      <c r="C251" t="s">
        <v>2</v>
      </c>
      <c r="D251" s="1">
        <v>45688</v>
      </c>
      <c r="E251">
        <v>63</v>
      </c>
      <c r="F251" s="2">
        <v>1382.38</v>
      </c>
      <c r="G251" s="2">
        <v>1382.38</v>
      </c>
    </row>
    <row r="252" spans="1:7" hidden="1" x14ac:dyDescent="0.3">
      <c r="A252" t="s">
        <v>115</v>
      </c>
      <c r="B252" t="s">
        <v>116</v>
      </c>
      <c r="C252" t="s">
        <v>2</v>
      </c>
      <c r="D252" s="1">
        <v>45716</v>
      </c>
      <c r="E252">
        <v>104.5</v>
      </c>
      <c r="F252" s="2">
        <v>1640.6400000000003</v>
      </c>
      <c r="G252" s="2">
        <v>1640.6400000000003</v>
      </c>
    </row>
    <row r="253" spans="1:7" hidden="1" x14ac:dyDescent="0.3">
      <c r="A253" t="s">
        <v>115</v>
      </c>
      <c r="B253" t="s">
        <v>116</v>
      </c>
      <c r="C253" t="s">
        <v>2</v>
      </c>
      <c r="D253" s="1">
        <v>45747</v>
      </c>
      <c r="E253">
        <v>97.25</v>
      </c>
      <c r="F253" s="2">
        <v>1657.58</v>
      </c>
      <c r="G253" s="2">
        <v>1657.58</v>
      </c>
    </row>
    <row r="254" spans="1:7" hidden="1" x14ac:dyDescent="0.3">
      <c r="A254" t="s">
        <v>115</v>
      </c>
      <c r="B254" t="s">
        <v>116</v>
      </c>
      <c r="C254" t="s">
        <v>2</v>
      </c>
      <c r="D254" s="1">
        <v>45777</v>
      </c>
      <c r="E254">
        <v>104.5</v>
      </c>
      <c r="F254" s="2">
        <v>1765.7599999999993</v>
      </c>
      <c r="G254" s="2">
        <v>1765.7599999999993</v>
      </c>
    </row>
    <row r="255" spans="1:7" hidden="1" x14ac:dyDescent="0.3">
      <c r="A255" t="s">
        <v>115</v>
      </c>
      <c r="B255" t="s">
        <v>116</v>
      </c>
      <c r="C255" t="s">
        <v>2</v>
      </c>
      <c r="D255" s="1">
        <v>45808</v>
      </c>
      <c r="E255">
        <v>94.5</v>
      </c>
      <c r="F255" s="2">
        <v>1698.7400000000007</v>
      </c>
      <c r="G255" s="2">
        <v>1698.7400000000007</v>
      </c>
    </row>
    <row r="256" spans="1:7" hidden="1" x14ac:dyDescent="0.3">
      <c r="A256" t="s">
        <v>115</v>
      </c>
      <c r="B256" t="s">
        <v>116</v>
      </c>
      <c r="C256" t="s">
        <v>2</v>
      </c>
      <c r="D256" s="1">
        <v>45838</v>
      </c>
      <c r="E256">
        <v>99.5</v>
      </c>
      <c r="F256" s="2">
        <v>1636.7999999999993</v>
      </c>
      <c r="G256" s="2">
        <v>1698.7400000000007</v>
      </c>
    </row>
    <row r="257" spans="1:7" hidden="1" x14ac:dyDescent="0.3">
      <c r="A257" t="s">
        <v>117</v>
      </c>
      <c r="B257" t="s">
        <v>118</v>
      </c>
      <c r="C257" t="s">
        <v>2</v>
      </c>
      <c r="D257" s="1">
        <v>45688</v>
      </c>
      <c r="E257">
        <v>89.75</v>
      </c>
      <c r="F257" s="2">
        <v>1843.62</v>
      </c>
      <c r="G257" s="2">
        <v>1843.62</v>
      </c>
    </row>
    <row r="258" spans="1:7" hidden="1" x14ac:dyDescent="0.3">
      <c r="A258" t="s">
        <v>117</v>
      </c>
      <c r="B258" t="s">
        <v>118</v>
      </c>
      <c r="C258" t="s">
        <v>2</v>
      </c>
      <c r="D258" s="1">
        <v>45716</v>
      </c>
      <c r="E258">
        <v>122</v>
      </c>
      <c r="F258" s="2">
        <v>1922.7000000000003</v>
      </c>
      <c r="G258" s="2">
        <v>1922.7000000000003</v>
      </c>
    </row>
    <row r="259" spans="1:7" hidden="1" x14ac:dyDescent="0.3">
      <c r="A259" t="s">
        <v>117</v>
      </c>
      <c r="B259" t="s">
        <v>118</v>
      </c>
      <c r="C259" t="s">
        <v>2</v>
      </c>
      <c r="D259" s="1">
        <v>45747</v>
      </c>
      <c r="E259">
        <v>120</v>
      </c>
      <c r="F259" s="2">
        <v>1836.0499999999997</v>
      </c>
      <c r="G259" s="2">
        <v>1836.0499999999997</v>
      </c>
    </row>
    <row r="260" spans="1:7" hidden="1" x14ac:dyDescent="0.3">
      <c r="A260" t="s">
        <v>117</v>
      </c>
      <c r="B260" t="s">
        <v>118</v>
      </c>
      <c r="C260" t="s">
        <v>2</v>
      </c>
      <c r="D260" s="1">
        <v>45777</v>
      </c>
      <c r="E260">
        <v>123.25</v>
      </c>
      <c r="F260" s="2">
        <v>2032.6900000000005</v>
      </c>
      <c r="G260" s="2">
        <v>2032.6900000000005</v>
      </c>
    </row>
    <row r="261" spans="1:7" hidden="1" x14ac:dyDescent="0.3">
      <c r="A261" t="s">
        <v>117</v>
      </c>
      <c r="B261" t="s">
        <v>118</v>
      </c>
      <c r="C261" t="s">
        <v>2</v>
      </c>
      <c r="D261" s="1">
        <v>45808</v>
      </c>
      <c r="E261">
        <v>128.75</v>
      </c>
      <c r="F261" s="2">
        <v>1872.3399999999974</v>
      </c>
      <c r="G261" s="2">
        <v>1872.3399999999974</v>
      </c>
    </row>
    <row r="262" spans="1:7" hidden="1" x14ac:dyDescent="0.3">
      <c r="A262" t="s">
        <v>117</v>
      </c>
      <c r="B262" t="s">
        <v>118</v>
      </c>
      <c r="C262" t="s">
        <v>2</v>
      </c>
      <c r="D262" s="1">
        <v>45838</v>
      </c>
      <c r="E262">
        <v>132</v>
      </c>
      <c r="F262" s="2">
        <v>1880.5200000000041</v>
      </c>
      <c r="G262" s="2">
        <v>1872.3399999999974</v>
      </c>
    </row>
    <row r="263" spans="1:7" hidden="1" x14ac:dyDescent="0.3">
      <c r="A263" t="s">
        <v>119</v>
      </c>
      <c r="B263" t="s">
        <v>120</v>
      </c>
      <c r="C263" t="s">
        <v>2</v>
      </c>
      <c r="D263" s="1">
        <v>45688</v>
      </c>
      <c r="E263">
        <v>144</v>
      </c>
      <c r="F263" s="2">
        <v>2694.7999999999993</v>
      </c>
      <c r="G263" s="2">
        <v>2694.7999999999993</v>
      </c>
    </row>
    <row r="264" spans="1:7" hidden="1" x14ac:dyDescent="0.3">
      <c r="A264" t="s">
        <v>119</v>
      </c>
      <c r="B264" t="s">
        <v>120</v>
      </c>
      <c r="C264" t="s">
        <v>2</v>
      </c>
      <c r="D264" s="1">
        <v>45716</v>
      </c>
      <c r="E264">
        <v>146</v>
      </c>
      <c r="F264" s="2">
        <v>2501.0800000000008</v>
      </c>
      <c r="G264" s="2">
        <v>2501.0800000000008</v>
      </c>
    </row>
    <row r="265" spans="1:7" hidden="1" x14ac:dyDescent="0.3">
      <c r="A265" t="s">
        <v>119</v>
      </c>
      <c r="B265" t="s">
        <v>120</v>
      </c>
      <c r="C265" t="s">
        <v>2</v>
      </c>
      <c r="D265" s="1">
        <v>45747</v>
      </c>
      <c r="E265">
        <v>157</v>
      </c>
      <c r="F265" s="2">
        <v>2677.9400000000005</v>
      </c>
      <c r="G265" s="2">
        <v>2677.9400000000005</v>
      </c>
    </row>
    <row r="266" spans="1:7" hidden="1" x14ac:dyDescent="0.3">
      <c r="A266" t="s">
        <v>119</v>
      </c>
      <c r="B266" t="s">
        <v>120</v>
      </c>
      <c r="C266" t="s">
        <v>2</v>
      </c>
      <c r="D266" s="1">
        <v>45777</v>
      </c>
      <c r="E266">
        <v>155.5</v>
      </c>
      <c r="F266" s="2">
        <v>2823.0899999999992</v>
      </c>
      <c r="G266" s="2">
        <v>2823.0899999999992</v>
      </c>
    </row>
    <row r="267" spans="1:7" hidden="1" x14ac:dyDescent="0.3">
      <c r="A267" t="s">
        <v>119</v>
      </c>
      <c r="B267" t="s">
        <v>120</v>
      </c>
      <c r="C267" t="s">
        <v>2</v>
      </c>
      <c r="D267" s="1">
        <v>45808</v>
      </c>
      <c r="E267">
        <v>111</v>
      </c>
      <c r="F267" s="2">
        <v>2134.5200000000041</v>
      </c>
      <c r="G267" s="2">
        <v>2134.5200000000041</v>
      </c>
    </row>
    <row r="268" spans="1:7" hidden="1" x14ac:dyDescent="0.3">
      <c r="A268" t="s">
        <v>119</v>
      </c>
      <c r="B268" t="s">
        <v>120</v>
      </c>
      <c r="C268" t="s">
        <v>2</v>
      </c>
      <c r="D268" s="1">
        <v>45838</v>
      </c>
      <c r="E268">
        <v>152</v>
      </c>
      <c r="F268" s="2">
        <v>2727.2099999999991</v>
      </c>
      <c r="G268" s="2">
        <v>2134.5200000000041</v>
      </c>
    </row>
    <row r="269" spans="1:7" hidden="1" x14ac:dyDescent="0.3">
      <c r="A269" t="s">
        <v>121</v>
      </c>
      <c r="B269" t="s">
        <v>122</v>
      </c>
      <c r="C269" t="s">
        <v>3</v>
      </c>
      <c r="D269" s="1">
        <v>45688</v>
      </c>
      <c r="E269">
        <v>153.5</v>
      </c>
      <c r="F269" s="2">
        <v>3006.72</v>
      </c>
      <c r="G269" s="2">
        <v>3006.72</v>
      </c>
    </row>
    <row r="270" spans="1:7" hidden="1" x14ac:dyDescent="0.3">
      <c r="A270" t="s">
        <v>121</v>
      </c>
      <c r="B270" t="s">
        <v>122</v>
      </c>
      <c r="C270" t="s">
        <v>3</v>
      </c>
      <c r="D270" s="1">
        <v>45716</v>
      </c>
      <c r="E270">
        <v>91</v>
      </c>
      <c r="F270" s="2">
        <v>2207.0700000000011</v>
      </c>
      <c r="G270" s="2">
        <v>2207.0700000000011</v>
      </c>
    </row>
    <row r="271" spans="1:7" hidden="1" x14ac:dyDescent="0.3">
      <c r="A271" t="s">
        <v>121</v>
      </c>
      <c r="B271" t="s">
        <v>122</v>
      </c>
      <c r="C271" t="s">
        <v>3</v>
      </c>
      <c r="D271" s="1">
        <v>45747</v>
      </c>
      <c r="E271">
        <v>141.5</v>
      </c>
      <c r="F271" s="2">
        <v>2454.67</v>
      </c>
      <c r="G271" s="2">
        <v>2454.67</v>
      </c>
    </row>
    <row r="272" spans="1:7" hidden="1" x14ac:dyDescent="0.3">
      <c r="A272" t="s">
        <v>121</v>
      </c>
      <c r="B272" t="s">
        <v>122</v>
      </c>
      <c r="C272" t="s">
        <v>3</v>
      </c>
      <c r="D272" s="1">
        <v>45777</v>
      </c>
      <c r="E272">
        <v>151.5</v>
      </c>
      <c r="F272" s="2">
        <v>2798.6800000000003</v>
      </c>
      <c r="G272" s="2">
        <v>2798.6800000000003</v>
      </c>
    </row>
    <row r="273" spans="1:7" hidden="1" x14ac:dyDescent="0.3">
      <c r="A273" t="s">
        <v>121</v>
      </c>
      <c r="B273" t="s">
        <v>122</v>
      </c>
      <c r="C273" t="s">
        <v>3</v>
      </c>
      <c r="D273" s="1">
        <v>45808</v>
      </c>
      <c r="E273">
        <v>144.5</v>
      </c>
      <c r="F273" s="2">
        <v>2705.51</v>
      </c>
      <c r="G273" s="2">
        <v>2705.51</v>
      </c>
    </row>
    <row r="274" spans="1:7" hidden="1" x14ac:dyDescent="0.3">
      <c r="A274" t="s">
        <v>121</v>
      </c>
      <c r="B274" t="s">
        <v>122</v>
      </c>
      <c r="C274" t="s">
        <v>3</v>
      </c>
      <c r="D274" s="1">
        <v>45838</v>
      </c>
      <c r="E274">
        <v>137</v>
      </c>
      <c r="F274" s="2">
        <v>2552.559999999994</v>
      </c>
      <c r="G274" s="2">
        <v>2705.51</v>
      </c>
    </row>
    <row r="275" spans="1:7" hidden="1" x14ac:dyDescent="0.3">
      <c r="A275" t="s">
        <v>123</v>
      </c>
      <c r="B275" t="s">
        <v>124</v>
      </c>
      <c r="C275" t="s">
        <v>5</v>
      </c>
      <c r="D275" s="1">
        <v>45688</v>
      </c>
      <c r="E275">
        <v>111.5</v>
      </c>
      <c r="F275" s="2">
        <v>1385.31</v>
      </c>
      <c r="G275" s="2">
        <v>1385.31</v>
      </c>
    </row>
    <row r="276" spans="1:7" hidden="1" x14ac:dyDescent="0.3">
      <c r="A276" t="s">
        <v>123</v>
      </c>
      <c r="B276" t="s">
        <v>124</v>
      </c>
      <c r="C276" t="s">
        <v>5</v>
      </c>
      <c r="D276" s="1">
        <v>45716</v>
      </c>
      <c r="E276">
        <v>55.25</v>
      </c>
      <c r="F276" s="2">
        <v>1205.5999999999999</v>
      </c>
      <c r="G276" s="2">
        <v>1205.5999999999999</v>
      </c>
    </row>
    <row r="277" spans="1:7" hidden="1" x14ac:dyDescent="0.3">
      <c r="A277" t="s">
        <v>123</v>
      </c>
      <c r="B277" t="s">
        <v>124</v>
      </c>
      <c r="C277" t="s">
        <v>5</v>
      </c>
      <c r="D277" s="1">
        <v>45747</v>
      </c>
      <c r="E277">
        <v>99.75</v>
      </c>
      <c r="F277" s="2">
        <v>1339.2000000000003</v>
      </c>
      <c r="G277" s="2">
        <v>1339.2000000000003</v>
      </c>
    </row>
    <row r="278" spans="1:7" hidden="1" x14ac:dyDescent="0.3">
      <c r="A278" t="s">
        <v>123</v>
      </c>
      <c r="B278" t="s">
        <v>124</v>
      </c>
      <c r="C278" t="s">
        <v>5</v>
      </c>
      <c r="D278" s="1">
        <v>45777</v>
      </c>
      <c r="E278">
        <v>105.75</v>
      </c>
      <c r="F278" s="2">
        <v>1312.9199999999996</v>
      </c>
      <c r="G278" s="2">
        <v>1312.9199999999996</v>
      </c>
    </row>
    <row r="279" spans="1:7" hidden="1" x14ac:dyDescent="0.3">
      <c r="A279" t="s">
        <v>123</v>
      </c>
      <c r="B279" t="s">
        <v>124</v>
      </c>
      <c r="C279" t="s">
        <v>5</v>
      </c>
      <c r="D279" s="1">
        <v>45808</v>
      </c>
      <c r="E279">
        <v>106.5</v>
      </c>
      <c r="F279" s="2">
        <v>1298.8900000000003</v>
      </c>
      <c r="G279" s="2">
        <v>1298.8900000000003</v>
      </c>
    </row>
    <row r="280" spans="1:7" hidden="1" x14ac:dyDescent="0.3">
      <c r="A280" t="s">
        <v>123</v>
      </c>
      <c r="B280" t="s">
        <v>124</v>
      </c>
      <c r="C280" t="s">
        <v>5</v>
      </c>
      <c r="D280" s="1">
        <v>45838</v>
      </c>
      <c r="E280">
        <v>0</v>
      </c>
      <c r="F280" s="2">
        <v>5.0499999999992724</v>
      </c>
      <c r="G280" s="2">
        <v>0</v>
      </c>
    </row>
    <row r="281" spans="1:7" hidden="1" x14ac:dyDescent="0.3">
      <c r="A281" t="s">
        <v>125</v>
      </c>
      <c r="B281" t="s">
        <v>126</v>
      </c>
      <c r="C281" t="s">
        <v>2</v>
      </c>
      <c r="D281" s="1">
        <v>45688</v>
      </c>
      <c r="E281">
        <v>135.5</v>
      </c>
      <c r="F281" s="2">
        <v>3047.43</v>
      </c>
      <c r="G281" s="2">
        <v>3047.43</v>
      </c>
    </row>
    <row r="282" spans="1:7" hidden="1" x14ac:dyDescent="0.3">
      <c r="A282" t="s">
        <v>125</v>
      </c>
      <c r="B282" t="s">
        <v>126</v>
      </c>
      <c r="C282" t="s">
        <v>2</v>
      </c>
      <c r="D282" s="1">
        <v>45716</v>
      </c>
      <c r="E282">
        <v>137</v>
      </c>
      <c r="F282" s="2">
        <v>2867.7100000000005</v>
      </c>
      <c r="G282" s="2">
        <v>2867.7100000000005</v>
      </c>
    </row>
    <row r="283" spans="1:7" hidden="1" x14ac:dyDescent="0.3">
      <c r="A283" t="s">
        <v>125</v>
      </c>
      <c r="B283" t="s">
        <v>126</v>
      </c>
      <c r="C283" t="s">
        <v>2</v>
      </c>
      <c r="D283" s="1">
        <v>45747</v>
      </c>
      <c r="E283">
        <v>151.5</v>
      </c>
      <c r="F283" s="2">
        <v>2839.3300000000008</v>
      </c>
      <c r="G283" s="2">
        <v>2839.3300000000008</v>
      </c>
    </row>
    <row r="284" spans="1:7" hidden="1" x14ac:dyDescent="0.3">
      <c r="A284" t="s">
        <v>125</v>
      </c>
      <c r="B284" t="s">
        <v>126</v>
      </c>
      <c r="C284" t="s">
        <v>2</v>
      </c>
      <c r="D284" s="1">
        <v>45777</v>
      </c>
      <c r="E284">
        <v>159.5</v>
      </c>
      <c r="F284" s="2">
        <v>3186.9199999999983</v>
      </c>
      <c r="G284" s="2">
        <v>3186.9199999999983</v>
      </c>
    </row>
    <row r="285" spans="1:7" hidden="1" x14ac:dyDescent="0.3">
      <c r="A285" t="s">
        <v>125</v>
      </c>
      <c r="B285" t="s">
        <v>126</v>
      </c>
      <c r="C285" t="s">
        <v>2</v>
      </c>
      <c r="D285" s="1">
        <v>45808</v>
      </c>
      <c r="E285">
        <v>144.5</v>
      </c>
      <c r="F285" s="2">
        <v>2884.83</v>
      </c>
      <c r="G285" s="2">
        <v>2884.83</v>
      </c>
    </row>
    <row r="286" spans="1:7" hidden="1" x14ac:dyDescent="0.3">
      <c r="A286" t="s">
        <v>125</v>
      </c>
      <c r="B286" t="s">
        <v>126</v>
      </c>
      <c r="C286" t="s">
        <v>2</v>
      </c>
      <c r="D286" s="1">
        <v>45838</v>
      </c>
      <c r="E286">
        <v>144</v>
      </c>
      <c r="F286" s="2">
        <v>2842.0800000000036</v>
      </c>
      <c r="G286" s="2">
        <v>2884.83</v>
      </c>
    </row>
    <row r="287" spans="1:7" hidden="1" x14ac:dyDescent="0.3">
      <c r="A287" t="s">
        <v>127</v>
      </c>
      <c r="B287" t="s">
        <v>128</v>
      </c>
      <c r="C287" t="s">
        <v>2</v>
      </c>
      <c r="D287" s="1">
        <v>45688</v>
      </c>
      <c r="E287">
        <v>140.5</v>
      </c>
      <c r="F287" s="2">
        <v>2576.4299999999998</v>
      </c>
      <c r="G287" s="2">
        <v>2576.4299999999998</v>
      </c>
    </row>
    <row r="288" spans="1:7" hidden="1" x14ac:dyDescent="0.3">
      <c r="A288" t="s">
        <v>127</v>
      </c>
      <c r="B288" t="s">
        <v>128</v>
      </c>
      <c r="C288" t="s">
        <v>2</v>
      </c>
      <c r="D288" s="1">
        <v>45716</v>
      </c>
      <c r="E288">
        <v>148.5</v>
      </c>
      <c r="F288" s="2">
        <v>2458.6700000000005</v>
      </c>
      <c r="G288" s="2">
        <v>2458.6700000000005</v>
      </c>
    </row>
    <row r="289" spans="1:7" hidden="1" x14ac:dyDescent="0.3">
      <c r="A289" t="s">
        <v>127</v>
      </c>
      <c r="B289" t="s">
        <v>128</v>
      </c>
      <c r="C289" t="s">
        <v>2</v>
      </c>
      <c r="D289" s="1">
        <v>45747</v>
      </c>
      <c r="E289">
        <v>119</v>
      </c>
      <c r="F289" s="2">
        <v>2319.5299999999988</v>
      </c>
      <c r="G289" s="2">
        <v>2319.5299999999988</v>
      </c>
    </row>
    <row r="290" spans="1:7" hidden="1" x14ac:dyDescent="0.3">
      <c r="A290" t="s">
        <v>127</v>
      </c>
      <c r="B290" t="s">
        <v>128</v>
      </c>
      <c r="C290" t="s">
        <v>2</v>
      </c>
      <c r="D290" s="1">
        <v>45777</v>
      </c>
      <c r="E290">
        <v>98.5</v>
      </c>
      <c r="F290" s="2">
        <v>2121.3899999999994</v>
      </c>
      <c r="G290" s="2">
        <v>2121.3899999999994</v>
      </c>
    </row>
    <row r="291" spans="1:7" hidden="1" x14ac:dyDescent="0.3">
      <c r="A291" t="s">
        <v>127</v>
      </c>
      <c r="B291" t="s">
        <v>128</v>
      </c>
      <c r="C291" t="s">
        <v>2</v>
      </c>
      <c r="D291" s="1">
        <v>45808</v>
      </c>
      <c r="E291">
        <v>137</v>
      </c>
      <c r="F291" s="2">
        <v>2464.16</v>
      </c>
      <c r="G291" s="2">
        <v>2464.16</v>
      </c>
    </row>
    <row r="292" spans="1:7" hidden="1" x14ac:dyDescent="0.3">
      <c r="A292" t="s">
        <v>127</v>
      </c>
      <c r="B292" t="s">
        <v>128</v>
      </c>
      <c r="C292" t="s">
        <v>2</v>
      </c>
      <c r="D292" s="1">
        <v>45838</v>
      </c>
      <c r="E292">
        <v>128.5</v>
      </c>
      <c r="F292" s="2">
        <v>2501.1299999999992</v>
      </c>
      <c r="G292" s="2">
        <v>2464.16</v>
      </c>
    </row>
    <row r="293" spans="1:7" x14ac:dyDescent="0.3">
      <c r="A293" t="s">
        <v>129</v>
      </c>
      <c r="B293" t="s">
        <v>130</v>
      </c>
      <c r="C293" t="s">
        <v>11</v>
      </c>
      <c r="D293" s="1">
        <v>45688</v>
      </c>
      <c r="E293">
        <v>137.75</v>
      </c>
      <c r="F293" s="2">
        <v>6073.03</v>
      </c>
      <c r="G293" s="2">
        <v>6073.03</v>
      </c>
    </row>
    <row r="294" spans="1:7" x14ac:dyDescent="0.3">
      <c r="A294" t="s">
        <v>129</v>
      </c>
      <c r="B294" t="s">
        <v>130</v>
      </c>
      <c r="C294" t="s">
        <v>11</v>
      </c>
      <c r="D294" s="1">
        <v>45716</v>
      </c>
      <c r="E294">
        <v>111.75</v>
      </c>
      <c r="F294" s="2">
        <v>5301.81</v>
      </c>
      <c r="G294" s="2">
        <v>5301.81</v>
      </c>
    </row>
    <row r="295" spans="1:7" x14ac:dyDescent="0.3">
      <c r="A295" t="s">
        <v>129</v>
      </c>
      <c r="B295" t="s">
        <v>130</v>
      </c>
      <c r="C295" t="s">
        <v>11</v>
      </c>
      <c r="D295" s="1">
        <v>45747</v>
      </c>
      <c r="E295">
        <v>160.5</v>
      </c>
      <c r="F295" s="2">
        <v>5390.41</v>
      </c>
      <c r="G295" s="2">
        <v>5390.41</v>
      </c>
    </row>
    <row r="296" spans="1:7" x14ac:dyDescent="0.3">
      <c r="A296" t="s">
        <v>129</v>
      </c>
      <c r="B296" t="s">
        <v>130</v>
      </c>
      <c r="C296" t="s">
        <v>11</v>
      </c>
      <c r="D296" s="1">
        <v>45777</v>
      </c>
      <c r="E296">
        <v>128</v>
      </c>
      <c r="F296" s="2">
        <v>6841.59</v>
      </c>
      <c r="G296" s="2">
        <v>6841.59</v>
      </c>
    </row>
    <row r="297" spans="1:7" x14ac:dyDescent="0.3">
      <c r="A297" t="s">
        <v>129</v>
      </c>
      <c r="B297" t="s">
        <v>130</v>
      </c>
      <c r="C297" t="s">
        <v>11</v>
      </c>
      <c r="D297" s="1">
        <v>45808</v>
      </c>
      <c r="E297">
        <v>152</v>
      </c>
      <c r="F297" s="2">
        <v>5200.9300000000039</v>
      </c>
      <c r="G297" s="2">
        <v>5200.9300000000039</v>
      </c>
    </row>
    <row r="298" spans="1:7" x14ac:dyDescent="0.3">
      <c r="A298" t="s">
        <v>129</v>
      </c>
      <c r="B298" t="s">
        <v>130</v>
      </c>
      <c r="C298" t="s">
        <v>11</v>
      </c>
      <c r="D298" s="1">
        <v>45838</v>
      </c>
      <c r="E298">
        <v>105.5</v>
      </c>
      <c r="F298" s="2">
        <v>4203.8899999999994</v>
      </c>
      <c r="G298" s="2">
        <v>5761.554000000001</v>
      </c>
    </row>
    <row r="299" spans="1:7" hidden="1" x14ac:dyDescent="0.3">
      <c r="A299" t="s">
        <v>131</v>
      </c>
      <c r="B299" t="s">
        <v>132</v>
      </c>
      <c r="C299" t="s">
        <v>2</v>
      </c>
      <c r="D299" s="1">
        <v>45688</v>
      </c>
      <c r="E299">
        <v>136</v>
      </c>
      <c r="F299" s="2">
        <v>2502.9800000000005</v>
      </c>
      <c r="G299" s="2">
        <v>2502.9800000000005</v>
      </c>
    </row>
    <row r="300" spans="1:7" hidden="1" x14ac:dyDescent="0.3">
      <c r="A300" t="s">
        <v>131</v>
      </c>
      <c r="B300" t="s">
        <v>132</v>
      </c>
      <c r="C300" t="s">
        <v>2</v>
      </c>
      <c r="D300" s="1">
        <v>45716</v>
      </c>
      <c r="E300">
        <v>68.5</v>
      </c>
      <c r="F300" s="2">
        <v>2015.79</v>
      </c>
      <c r="G300" s="2">
        <v>2015.79</v>
      </c>
    </row>
    <row r="301" spans="1:7" hidden="1" x14ac:dyDescent="0.3">
      <c r="A301" t="s">
        <v>131</v>
      </c>
      <c r="B301" t="s">
        <v>132</v>
      </c>
      <c r="C301" t="s">
        <v>2</v>
      </c>
      <c r="D301" s="1">
        <v>45747</v>
      </c>
      <c r="E301">
        <v>30.5</v>
      </c>
      <c r="F301" s="2">
        <v>1565.6699999999992</v>
      </c>
      <c r="G301" s="2">
        <v>1565.6699999999992</v>
      </c>
    </row>
    <row r="302" spans="1:7" hidden="1" x14ac:dyDescent="0.3">
      <c r="A302" t="s">
        <v>131</v>
      </c>
      <c r="B302" t="s">
        <v>132</v>
      </c>
      <c r="C302" t="s">
        <v>2</v>
      </c>
      <c r="D302" s="1">
        <v>45777</v>
      </c>
      <c r="E302">
        <v>0</v>
      </c>
      <c r="F302" s="2">
        <v>1093.6000000000013</v>
      </c>
      <c r="G302" s="2">
        <v>1093.6000000000013</v>
      </c>
    </row>
    <row r="303" spans="1:7" hidden="1" x14ac:dyDescent="0.3">
      <c r="A303" t="s">
        <v>131</v>
      </c>
      <c r="B303" t="s">
        <v>132</v>
      </c>
      <c r="C303" t="s">
        <v>2</v>
      </c>
      <c r="D303" s="1">
        <v>45808</v>
      </c>
      <c r="E303">
        <v>96.25</v>
      </c>
      <c r="F303" s="2">
        <v>494.41000000000167</v>
      </c>
      <c r="G303" s="2">
        <v>494.41000000000167</v>
      </c>
    </row>
    <row r="304" spans="1:7" hidden="1" x14ac:dyDescent="0.3">
      <c r="A304" t="s">
        <v>131</v>
      </c>
      <c r="B304" t="s">
        <v>132</v>
      </c>
      <c r="C304" t="s">
        <v>2</v>
      </c>
      <c r="D304" s="1">
        <v>45838</v>
      </c>
      <c r="E304">
        <v>129.25</v>
      </c>
      <c r="F304" s="2">
        <v>1824.9699999999975</v>
      </c>
      <c r="G304" s="2">
        <v>494.41000000000167</v>
      </c>
    </row>
    <row r="305" spans="1:7" hidden="1" x14ac:dyDescent="0.3">
      <c r="A305" t="s">
        <v>133</v>
      </c>
      <c r="B305" t="s">
        <v>134</v>
      </c>
      <c r="C305" t="s">
        <v>2</v>
      </c>
      <c r="D305" s="1">
        <v>45688</v>
      </c>
      <c r="E305">
        <v>105.5</v>
      </c>
      <c r="F305" s="2">
        <v>2610.4900000000002</v>
      </c>
      <c r="G305" s="2">
        <v>2610.4900000000002</v>
      </c>
    </row>
    <row r="306" spans="1:7" hidden="1" x14ac:dyDescent="0.3">
      <c r="A306" t="s">
        <v>133</v>
      </c>
      <c r="B306" t="s">
        <v>134</v>
      </c>
      <c r="C306" t="s">
        <v>2</v>
      </c>
      <c r="D306" s="1">
        <v>45716</v>
      </c>
      <c r="E306">
        <v>0</v>
      </c>
      <c r="F306" s="2">
        <v>618.01000000000022</v>
      </c>
      <c r="G306" s="2">
        <v>618.01000000000022</v>
      </c>
    </row>
    <row r="307" spans="1:7" hidden="1" x14ac:dyDescent="0.3">
      <c r="A307" t="s">
        <v>133</v>
      </c>
      <c r="B307" t="s">
        <v>134</v>
      </c>
      <c r="C307" t="s">
        <v>2</v>
      </c>
      <c r="D307" s="1">
        <v>45747</v>
      </c>
      <c r="E307">
        <v>41.5</v>
      </c>
      <c r="F307" s="2">
        <v>1081.7199999999989</v>
      </c>
      <c r="G307" s="2">
        <v>1081.7199999999989</v>
      </c>
    </row>
    <row r="308" spans="1:7" hidden="1" x14ac:dyDescent="0.3">
      <c r="A308" t="s">
        <v>133</v>
      </c>
      <c r="B308" t="s">
        <v>134</v>
      </c>
      <c r="C308" t="s">
        <v>2</v>
      </c>
      <c r="D308" s="1">
        <v>45777</v>
      </c>
      <c r="E308">
        <v>143.5</v>
      </c>
      <c r="F308" s="2">
        <v>2513.2600000000002</v>
      </c>
      <c r="G308" s="2">
        <v>2513.2600000000002</v>
      </c>
    </row>
    <row r="309" spans="1:7" hidden="1" x14ac:dyDescent="0.3">
      <c r="A309" t="s">
        <v>133</v>
      </c>
      <c r="B309" t="s">
        <v>134</v>
      </c>
      <c r="C309" t="s">
        <v>2</v>
      </c>
      <c r="D309" s="1">
        <v>45808</v>
      </c>
      <c r="E309">
        <v>140.75</v>
      </c>
      <c r="F309" s="2">
        <v>2382.1000000000004</v>
      </c>
      <c r="G309" s="2">
        <v>2382.1000000000004</v>
      </c>
    </row>
    <row r="310" spans="1:7" hidden="1" x14ac:dyDescent="0.3">
      <c r="A310" t="s">
        <v>133</v>
      </c>
      <c r="B310" t="s">
        <v>134</v>
      </c>
      <c r="C310" t="s">
        <v>2</v>
      </c>
      <c r="D310" s="1">
        <v>45838</v>
      </c>
      <c r="E310">
        <v>146.5</v>
      </c>
      <c r="F310" s="2">
        <v>2465.4799999999996</v>
      </c>
      <c r="G310" s="2">
        <v>2382.1000000000004</v>
      </c>
    </row>
    <row r="311" spans="1:7" hidden="1" x14ac:dyDescent="0.3">
      <c r="A311" t="s">
        <v>135</v>
      </c>
      <c r="B311" t="s">
        <v>136</v>
      </c>
      <c r="C311" t="s">
        <v>3</v>
      </c>
      <c r="D311" s="1">
        <v>45688</v>
      </c>
      <c r="E311">
        <v>0</v>
      </c>
      <c r="F311" s="2">
        <v>457.77999999999986</v>
      </c>
      <c r="G311" s="2">
        <v>457.77999999999986</v>
      </c>
    </row>
    <row r="312" spans="1:7" hidden="1" x14ac:dyDescent="0.3">
      <c r="A312" t="s">
        <v>135</v>
      </c>
      <c r="B312" t="s">
        <v>136</v>
      </c>
      <c r="C312" t="s">
        <v>3</v>
      </c>
      <c r="D312" s="1">
        <v>45716</v>
      </c>
      <c r="E312">
        <v>0</v>
      </c>
      <c r="F312" s="2">
        <v>504.75000000000023</v>
      </c>
      <c r="G312" s="2">
        <v>504.75000000000023</v>
      </c>
    </row>
    <row r="313" spans="1:7" hidden="1" x14ac:dyDescent="0.3">
      <c r="A313" t="s">
        <v>135</v>
      </c>
      <c r="B313" t="s">
        <v>136</v>
      </c>
      <c r="C313" t="s">
        <v>3</v>
      </c>
      <c r="D313" s="1">
        <v>45747</v>
      </c>
      <c r="E313">
        <v>0</v>
      </c>
      <c r="F313" s="2">
        <v>471.3099999999996</v>
      </c>
      <c r="G313" s="2">
        <v>471.3099999999996</v>
      </c>
    </row>
    <row r="314" spans="1:7" hidden="1" x14ac:dyDescent="0.3">
      <c r="A314" t="s">
        <v>135</v>
      </c>
      <c r="B314" t="s">
        <v>136</v>
      </c>
      <c r="C314" t="s">
        <v>3</v>
      </c>
      <c r="D314" s="1">
        <v>45777</v>
      </c>
      <c r="E314">
        <v>0</v>
      </c>
      <c r="F314" s="2">
        <v>467.38000000000011</v>
      </c>
      <c r="G314" s="2">
        <v>467.38000000000011</v>
      </c>
    </row>
    <row r="315" spans="1:7" hidden="1" x14ac:dyDescent="0.3">
      <c r="A315" t="s">
        <v>135</v>
      </c>
      <c r="B315" t="s">
        <v>136</v>
      </c>
      <c r="C315" t="s">
        <v>3</v>
      </c>
      <c r="D315" s="1">
        <v>45808</v>
      </c>
      <c r="E315">
        <v>0</v>
      </c>
      <c r="F315" s="2">
        <v>447.40999999999985</v>
      </c>
      <c r="G315" s="2">
        <v>447.40999999999985</v>
      </c>
    </row>
    <row r="316" spans="1:7" hidden="1" x14ac:dyDescent="0.3">
      <c r="A316" t="s">
        <v>135</v>
      </c>
      <c r="B316" t="s">
        <v>136</v>
      </c>
      <c r="C316" t="s">
        <v>3</v>
      </c>
      <c r="D316" s="1">
        <v>45838</v>
      </c>
      <c r="E316">
        <v>0</v>
      </c>
      <c r="F316" s="2">
        <v>459.52000000000044</v>
      </c>
      <c r="G316" s="2">
        <v>447.40999999999985</v>
      </c>
    </row>
    <row r="317" spans="1:7" hidden="1" x14ac:dyDescent="0.3">
      <c r="A317" t="s">
        <v>137</v>
      </c>
      <c r="B317" t="s">
        <v>138</v>
      </c>
      <c r="C317" t="s">
        <v>2</v>
      </c>
      <c r="D317" s="1">
        <v>45688</v>
      </c>
      <c r="E317">
        <v>104.5</v>
      </c>
      <c r="F317" s="2">
        <v>2100.77</v>
      </c>
      <c r="G317" s="2">
        <v>2100.77</v>
      </c>
    </row>
    <row r="318" spans="1:7" hidden="1" x14ac:dyDescent="0.3">
      <c r="A318" t="s">
        <v>137</v>
      </c>
      <c r="B318" t="s">
        <v>138</v>
      </c>
      <c r="C318" t="s">
        <v>2</v>
      </c>
      <c r="D318" s="1">
        <v>45716</v>
      </c>
      <c r="E318">
        <v>140.5</v>
      </c>
      <c r="F318" s="2">
        <v>2225.8200000000002</v>
      </c>
      <c r="G318" s="2">
        <v>2225.8200000000002</v>
      </c>
    </row>
    <row r="319" spans="1:7" hidden="1" x14ac:dyDescent="0.3">
      <c r="A319" t="s">
        <v>137</v>
      </c>
      <c r="B319" t="s">
        <v>138</v>
      </c>
      <c r="C319" t="s">
        <v>2</v>
      </c>
      <c r="D319" s="1">
        <v>45747</v>
      </c>
      <c r="E319">
        <v>72.75</v>
      </c>
      <c r="F319" s="2">
        <v>2008.5500000000002</v>
      </c>
      <c r="G319" s="2">
        <v>2008.5500000000002</v>
      </c>
    </row>
    <row r="320" spans="1:7" hidden="1" x14ac:dyDescent="0.3">
      <c r="A320" t="s">
        <v>137</v>
      </c>
      <c r="B320" t="s">
        <v>138</v>
      </c>
      <c r="C320" t="s">
        <v>2</v>
      </c>
      <c r="D320" s="1">
        <v>45777</v>
      </c>
      <c r="E320">
        <v>130</v>
      </c>
      <c r="F320" s="2">
        <v>2228.3099999999986</v>
      </c>
      <c r="G320" s="2">
        <v>2228.3099999999986</v>
      </c>
    </row>
    <row r="321" spans="1:7" hidden="1" x14ac:dyDescent="0.3">
      <c r="A321" t="s">
        <v>137</v>
      </c>
      <c r="B321" t="s">
        <v>138</v>
      </c>
      <c r="C321" t="s">
        <v>2</v>
      </c>
      <c r="D321" s="1">
        <v>45808</v>
      </c>
      <c r="E321">
        <v>140</v>
      </c>
      <c r="F321" s="2">
        <v>2213.9400000000005</v>
      </c>
      <c r="G321" s="2">
        <v>2213.9400000000005</v>
      </c>
    </row>
    <row r="322" spans="1:7" hidden="1" x14ac:dyDescent="0.3">
      <c r="A322" t="s">
        <v>137</v>
      </c>
      <c r="B322" t="s">
        <v>138</v>
      </c>
      <c r="C322" t="s">
        <v>2</v>
      </c>
      <c r="D322" s="1">
        <v>45838</v>
      </c>
      <c r="E322">
        <v>135</v>
      </c>
      <c r="F322" s="2">
        <v>2403.5999999999985</v>
      </c>
      <c r="G322" s="2">
        <v>2213.9400000000005</v>
      </c>
    </row>
    <row r="323" spans="1:7" x14ac:dyDescent="0.3">
      <c r="A323" t="s">
        <v>139</v>
      </c>
      <c r="B323" t="s">
        <v>140</v>
      </c>
      <c r="C323" t="s">
        <v>13</v>
      </c>
      <c r="D323" s="1">
        <v>45688</v>
      </c>
      <c r="E323">
        <v>160.75</v>
      </c>
      <c r="F323" s="2">
        <v>3176.65</v>
      </c>
      <c r="G323" s="2">
        <v>0</v>
      </c>
    </row>
    <row r="324" spans="1:7" x14ac:dyDescent="0.3">
      <c r="A324" t="s">
        <v>139</v>
      </c>
      <c r="B324" t="s">
        <v>140</v>
      </c>
      <c r="C324" t="s">
        <v>13</v>
      </c>
      <c r="D324" s="1">
        <v>45716</v>
      </c>
      <c r="E324">
        <v>142.75</v>
      </c>
      <c r="F324" s="2">
        <v>3050.43</v>
      </c>
      <c r="G324" s="2">
        <v>0</v>
      </c>
    </row>
    <row r="325" spans="1:7" x14ac:dyDescent="0.3">
      <c r="A325" t="s">
        <v>139</v>
      </c>
      <c r="B325" t="s">
        <v>140</v>
      </c>
      <c r="C325" t="s">
        <v>13</v>
      </c>
      <c r="D325" s="1">
        <v>45747</v>
      </c>
      <c r="E325">
        <v>170</v>
      </c>
      <c r="F325" s="2">
        <v>3368.5500000000011</v>
      </c>
      <c r="G325" s="2">
        <v>0</v>
      </c>
    </row>
    <row r="326" spans="1:7" x14ac:dyDescent="0.3">
      <c r="A326" t="s">
        <v>139</v>
      </c>
      <c r="B326" t="s">
        <v>140</v>
      </c>
      <c r="C326" t="s">
        <v>13</v>
      </c>
      <c r="D326" s="1">
        <v>45777</v>
      </c>
      <c r="E326">
        <v>171</v>
      </c>
      <c r="F326" s="2">
        <v>3394.8299999999981</v>
      </c>
      <c r="G326" s="2">
        <v>0</v>
      </c>
    </row>
    <row r="327" spans="1:7" x14ac:dyDescent="0.3">
      <c r="A327" t="s">
        <v>139</v>
      </c>
      <c r="B327" t="s">
        <v>140</v>
      </c>
      <c r="C327" t="s">
        <v>13</v>
      </c>
      <c r="D327" s="1">
        <v>45808</v>
      </c>
      <c r="E327">
        <v>144.75</v>
      </c>
      <c r="F327" s="2">
        <v>2940.6299999999992</v>
      </c>
      <c r="G327" s="2">
        <v>0</v>
      </c>
    </row>
    <row r="328" spans="1:7" x14ac:dyDescent="0.3">
      <c r="A328" t="s">
        <v>139</v>
      </c>
      <c r="B328" t="s">
        <v>140</v>
      </c>
      <c r="C328" t="s">
        <v>13</v>
      </c>
      <c r="D328" s="1">
        <v>45838</v>
      </c>
      <c r="E328">
        <v>126.25</v>
      </c>
      <c r="F328" s="2">
        <v>2692.0400000000027</v>
      </c>
      <c r="G328" s="2">
        <v>0</v>
      </c>
    </row>
    <row r="329" spans="1:7" x14ac:dyDescent="0.3">
      <c r="A329" t="s">
        <v>141</v>
      </c>
      <c r="B329" t="s">
        <v>142</v>
      </c>
      <c r="C329" t="s">
        <v>11</v>
      </c>
      <c r="D329" s="1">
        <v>45688</v>
      </c>
      <c r="E329">
        <v>70.5</v>
      </c>
      <c r="F329" s="2">
        <v>923.81000000000017</v>
      </c>
      <c r="G329" s="2">
        <v>923.81000000000017</v>
      </c>
    </row>
    <row r="330" spans="1:7" x14ac:dyDescent="0.3">
      <c r="A330" t="s">
        <v>141</v>
      </c>
      <c r="B330" t="s">
        <v>142</v>
      </c>
      <c r="C330" t="s">
        <v>11</v>
      </c>
      <c r="D330" s="1">
        <v>45716</v>
      </c>
      <c r="E330">
        <v>75</v>
      </c>
      <c r="F330" s="2">
        <v>1099.6200000000001</v>
      </c>
      <c r="G330" s="2">
        <v>1099.6200000000001</v>
      </c>
    </row>
    <row r="331" spans="1:7" x14ac:dyDescent="0.3">
      <c r="A331" t="s">
        <v>141</v>
      </c>
      <c r="B331" t="s">
        <v>142</v>
      </c>
      <c r="C331" t="s">
        <v>11</v>
      </c>
      <c r="D331" s="1">
        <v>45747</v>
      </c>
      <c r="E331">
        <v>60.25</v>
      </c>
      <c r="F331" s="2">
        <v>941.97999999999956</v>
      </c>
      <c r="G331" s="2">
        <v>941.97999999999956</v>
      </c>
    </row>
    <row r="332" spans="1:7" x14ac:dyDescent="0.3">
      <c r="A332" t="s">
        <v>141</v>
      </c>
      <c r="B332" t="s">
        <v>142</v>
      </c>
      <c r="C332" t="s">
        <v>11</v>
      </c>
      <c r="D332" s="1">
        <v>45777</v>
      </c>
      <c r="E332">
        <v>57.5</v>
      </c>
      <c r="F332" s="2">
        <v>952.56</v>
      </c>
      <c r="G332" s="2">
        <v>952.56</v>
      </c>
    </row>
    <row r="333" spans="1:7" x14ac:dyDescent="0.3">
      <c r="A333" t="s">
        <v>141</v>
      </c>
      <c r="B333" t="s">
        <v>142</v>
      </c>
      <c r="C333" t="s">
        <v>11</v>
      </c>
      <c r="D333" s="1">
        <v>45808</v>
      </c>
      <c r="E333">
        <v>58.5</v>
      </c>
      <c r="F333" s="2">
        <v>923.32000000000107</v>
      </c>
      <c r="G333" s="2">
        <v>923.32000000000107</v>
      </c>
    </row>
    <row r="334" spans="1:7" x14ac:dyDescent="0.3">
      <c r="A334" t="s">
        <v>141</v>
      </c>
      <c r="B334" t="s">
        <v>142</v>
      </c>
      <c r="C334" t="s">
        <v>11</v>
      </c>
      <c r="D334" s="1">
        <v>45838</v>
      </c>
      <c r="E334">
        <v>69.5</v>
      </c>
      <c r="F334" s="2">
        <v>995.23999999999978</v>
      </c>
      <c r="G334" s="2">
        <v>968.25800000000015</v>
      </c>
    </row>
    <row r="335" spans="1:7" hidden="1" x14ac:dyDescent="0.3">
      <c r="A335" t="s">
        <v>143</v>
      </c>
      <c r="B335" t="s">
        <v>144</v>
      </c>
      <c r="C335" t="s">
        <v>2</v>
      </c>
      <c r="D335" s="1">
        <v>45688</v>
      </c>
      <c r="E335">
        <v>135.25</v>
      </c>
      <c r="F335" s="2">
        <v>1696.77</v>
      </c>
      <c r="G335" s="2">
        <v>1696.77</v>
      </c>
    </row>
    <row r="336" spans="1:7" hidden="1" x14ac:dyDescent="0.3">
      <c r="A336" t="s">
        <v>143</v>
      </c>
      <c r="B336" t="s">
        <v>144</v>
      </c>
      <c r="C336" t="s">
        <v>2</v>
      </c>
      <c r="D336" s="1">
        <v>45716</v>
      </c>
      <c r="E336">
        <v>112</v>
      </c>
      <c r="F336" s="2">
        <v>1389.5599999999995</v>
      </c>
      <c r="G336" s="2">
        <v>1389.5599999999995</v>
      </c>
    </row>
    <row r="337" spans="1:7" hidden="1" x14ac:dyDescent="0.3">
      <c r="A337" t="s">
        <v>143</v>
      </c>
      <c r="B337" t="s">
        <v>144</v>
      </c>
      <c r="C337" t="s">
        <v>2</v>
      </c>
      <c r="D337" s="1">
        <v>45747</v>
      </c>
      <c r="E337">
        <v>116.25</v>
      </c>
      <c r="F337" s="2">
        <v>1440.8300000000004</v>
      </c>
      <c r="G337" s="2">
        <v>1440.8300000000004</v>
      </c>
    </row>
    <row r="338" spans="1:7" hidden="1" x14ac:dyDescent="0.3">
      <c r="A338" t="s">
        <v>143</v>
      </c>
      <c r="B338" t="s">
        <v>144</v>
      </c>
      <c r="C338" t="s">
        <v>2</v>
      </c>
      <c r="D338" s="1">
        <v>45777</v>
      </c>
      <c r="E338">
        <v>120.25</v>
      </c>
      <c r="F338" s="2">
        <v>1564.4899999999998</v>
      </c>
      <c r="G338" s="2">
        <v>1564.4899999999998</v>
      </c>
    </row>
    <row r="339" spans="1:7" hidden="1" x14ac:dyDescent="0.3">
      <c r="A339" t="s">
        <v>143</v>
      </c>
      <c r="B339" t="s">
        <v>144</v>
      </c>
      <c r="C339" t="s">
        <v>2</v>
      </c>
      <c r="D339" s="1">
        <v>45808</v>
      </c>
      <c r="E339">
        <v>75.25</v>
      </c>
      <c r="F339" s="2">
        <v>1106.5900000000001</v>
      </c>
      <c r="G339" s="2">
        <v>1106.5900000000001</v>
      </c>
    </row>
    <row r="340" spans="1:7" hidden="1" x14ac:dyDescent="0.3">
      <c r="A340" t="s">
        <v>143</v>
      </c>
      <c r="B340" t="s">
        <v>144</v>
      </c>
      <c r="C340" t="s">
        <v>2</v>
      </c>
      <c r="D340" s="1">
        <v>45838</v>
      </c>
      <c r="E340">
        <v>79.75</v>
      </c>
      <c r="F340" s="2">
        <v>1162.1200000000008</v>
      </c>
      <c r="G340" s="2">
        <v>1106.5900000000001</v>
      </c>
    </row>
    <row r="341" spans="1:7" hidden="1" x14ac:dyDescent="0.3">
      <c r="A341" t="s">
        <v>145</v>
      </c>
      <c r="B341" t="s">
        <v>146</v>
      </c>
      <c r="C341" t="s">
        <v>6</v>
      </c>
      <c r="D341" s="1">
        <v>45688</v>
      </c>
      <c r="E341">
        <v>106</v>
      </c>
      <c r="F341" s="2">
        <v>2411.5300000000002</v>
      </c>
      <c r="G341" s="2">
        <v>2411.5300000000002</v>
      </c>
    </row>
    <row r="342" spans="1:7" hidden="1" x14ac:dyDescent="0.3">
      <c r="A342" t="s">
        <v>145</v>
      </c>
      <c r="B342" t="s">
        <v>146</v>
      </c>
      <c r="C342" t="s">
        <v>6</v>
      </c>
      <c r="D342" s="1">
        <v>45716</v>
      </c>
      <c r="E342">
        <v>95</v>
      </c>
      <c r="F342" s="2">
        <v>2434.4499999999994</v>
      </c>
      <c r="G342" s="2">
        <v>2434.4499999999994</v>
      </c>
    </row>
    <row r="343" spans="1:7" hidden="1" x14ac:dyDescent="0.3">
      <c r="A343" t="s">
        <v>145</v>
      </c>
      <c r="B343" t="s">
        <v>146</v>
      </c>
      <c r="C343" t="s">
        <v>6</v>
      </c>
      <c r="D343" s="1">
        <v>45747</v>
      </c>
      <c r="E343">
        <v>115</v>
      </c>
      <c r="F343" s="2">
        <v>2354.9300000000003</v>
      </c>
      <c r="G343" s="2">
        <v>2354.9300000000003</v>
      </c>
    </row>
    <row r="344" spans="1:7" hidden="1" x14ac:dyDescent="0.3">
      <c r="A344" t="s">
        <v>145</v>
      </c>
      <c r="B344" t="s">
        <v>146</v>
      </c>
      <c r="C344" t="s">
        <v>6</v>
      </c>
      <c r="D344" s="1">
        <v>45777</v>
      </c>
      <c r="E344">
        <v>72.75</v>
      </c>
      <c r="F344" s="2">
        <v>1946.83</v>
      </c>
      <c r="G344" s="2">
        <v>1946.83</v>
      </c>
    </row>
    <row r="345" spans="1:7" hidden="1" x14ac:dyDescent="0.3">
      <c r="A345" t="s">
        <v>145</v>
      </c>
      <c r="B345" t="s">
        <v>146</v>
      </c>
      <c r="C345" t="s">
        <v>6</v>
      </c>
      <c r="D345" s="1">
        <v>45808</v>
      </c>
      <c r="E345">
        <v>116.25</v>
      </c>
      <c r="F345" s="2">
        <v>2456.2399999999998</v>
      </c>
      <c r="G345" s="2">
        <v>2456.2399999999998</v>
      </c>
    </row>
    <row r="346" spans="1:7" hidden="1" x14ac:dyDescent="0.3">
      <c r="A346" t="s">
        <v>145</v>
      </c>
      <c r="B346" t="s">
        <v>146</v>
      </c>
      <c r="C346" t="s">
        <v>6</v>
      </c>
      <c r="D346" s="1">
        <v>45838</v>
      </c>
      <c r="E346">
        <v>134.5</v>
      </c>
      <c r="F346" s="2">
        <v>2750.489999999998</v>
      </c>
      <c r="G346" s="2">
        <v>2320.7959999999998</v>
      </c>
    </row>
    <row r="347" spans="1:7" hidden="1" x14ac:dyDescent="0.3">
      <c r="A347" t="s">
        <v>147</v>
      </c>
      <c r="B347" t="s">
        <v>148</v>
      </c>
      <c r="C347" t="s">
        <v>8</v>
      </c>
      <c r="D347" s="1">
        <v>45688</v>
      </c>
      <c r="E347">
        <v>141.5</v>
      </c>
      <c r="F347" s="2">
        <v>4212.38</v>
      </c>
      <c r="G347" s="2">
        <v>4212.38</v>
      </c>
    </row>
    <row r="348" spans="1:7" hidden="1" x14ac:dyDescent="0.3">
      <c r="A348" t="s">
        <v>147</v>
      </c>
      <c r="B348" t="s">
        <v>148</v>
      </c>
      <c r="C348" t="s">
        <v>8</v>
      </c>
      <c r="D348" s="1">
        <v>45716</v>
      </c>
      <c r="E348">
        <v>136.75</v>
      </c>
      <c r="F348" s="2">
        <v>2973.8499999999995</v>
      </c>
      <c r="G348" s="2">
        <v>2973.8499999999995</v>
      </c>
    </row>
    <row r="349" spans="1:7" hidden="1" x14ac:dyDescent="0.3">
      <c r="A349" t="s">
        <v>147</v>
      </c>
      <c r="B349" t="s">
        <v>148</v>
      </c>
      <c r="C349" t="s">
        <v>8</v>
      </c>
      <c r="D349" s="1">
        <v>45747</v>
      </c>
      <c r="E349">
        <v>152</v>
      </c>
      <c r="F349" s="2">
        <v>2820.7300000000014</v>
      </c>
      <c r="G349" s="2">
        <v>2820.7300000000014</v>
      </c>
    </row>
    <row r="350" spans="1:7" hidden="1" x14ac:dyDescent="0.3">
      <c r="A350" t="s">
        <v>147</v>
      </c>
      <c r="B350" t="s">
        <v>148</v>
      </c>
      <c r="C350" t="s">
        <v>8</v>
      </c>
      <c r="D350" s="1">
        <v>45777</v>
      </c>
      <c r="E350">
        <v>111.5</v>
      </c>
      <c r="F350" s="2">
        <v>2410.1299999999992</v>
      </c>
      <c r="G350" s="2">
        <v>2410.1299999999992</v>
      </c>
    </row>
    <row r="351" spans="1:7" hidden="1" x14ac:dyDescent="0.3">
      <c r="A351" t="s">
        <v>147</v>
      </c>
      <c r="B351" t="s">
        <v>148</v>
      </c>
      <c r="C351" t="s">
        <v>8</v>
      </c>
      <c r="D351" s="1">
        <v>45808</v>
      </c>
      <c r="E351">
        <v>144</v>
      </c>
      <c r="F351" s="2">
        <v>2822.9699999999993</v>
      </c>
      <c r="G351" s="2">
        <v>2822.9699999999993</v>
      </c>
    </row>
    <row r="352" spans="1:7" hidden="1" x14ac:dyDescent="0.3">
      <c r="A352" t="s">
        <v>147</v>
      </c>
      <c r="B352" t="s">
        <v>148</v>
      </c>
      <c r="C352" t="s">
        <v>8</v>
      </c>
      <c r="D352" s="1">
        <v>45838</v>
      </c>
      <c r="E352">
        <v>146.5</v>
      </c>
      <c r="F352" s="2">
        <v>2862.58</v>
      </c>
      <c r="G352" s="2">
        <v>3048.0119999999997</v>
      </c>
    </row>
    <row r="353" spans="1:7" hidden="1" x14ac:dyDescent="0.3">
      <c r="A353" t="s">
        <v>149</v>
      </c>
      <c r="B353" t="s">
        <v>150</v>
      </c>
      <c r="C353" t="s">
        <v>10</v>
      </c>
      <c r="D353" s="1">
        <v>45716</v>
      </c>
      <c r="E353">
        <v>0</v>
      </c>
      <c r="F353" s="2">
        <v>6.7200000000000273</v>
      </c>
      <c r="G353" s="2">
        <v>0</v>
      </c>
    </row>
    <row r="354" spans="1:7" hidden="1" x14ac:dyDescent="0.3">
      <c r="A354" t="s">
        <v>149</v>
      </c>
      <c r="B354" t="s">
        <v>150</v>
      </c>
      <c r="C354" t="s">
        <v>10</v>
      </c>
      <c r="D354" s="1">
        <v>45808</v>
      </c>
      <c r="E354">
        <v>0</v>
      </c>
      <c r="F354" s="2">
        <v>-1.1368683772161603E-13</v>
      </c>
      <c r="G354" s="2">
        <v>0</v>
      </c>
    </row>
    <row r="355" spans="1:7" hidden="1" x14ac:dyDescent="0.3">
      <c r="A355" t="s">
        <v>151</v>
      </c>
      <c r="B355" t="s">
        <v>152</v>
      </c>
      <c r="C355" t="s">
        <v>3</v>
      </c>
      <c r="D355" s="1">
        <v>45688</v>
      </c>
      <c r="E355">
        <v>125</v>
      </c>
      <c r="F355" s="2">
        <v>1495.2100000000003</v>
      </c>
      <c r="G355" s="2">
        <v>1495.2100000000003</v>
      </c>
    </row>
    <row r="356" spans="1:7" hidden="1" x14ac:dyDescent="0.3">
      <c r="A356" t="s">
        <v>151</v>
      </c>
      <c r="B356" t="s">
        <v>152</v>
      </c>
      <c r="C356" t="s">
        <v>3</v>
      </c>
      <c r="D356" s="1">
        <v>45716</v>
      </c>
      <c r="E356">
        <v>116.25</v>
      </c>
      <c r="F356" s="2">
        <v>1309.6399999999996</v>
      </c>
      <c r="G356" s="2">
        <v>1309.6399999999996</v>
      </c>
    </row>
    <row r="357" spans="1:7" hidden="1" x14ac:dyDescent="0.3">
      <c r="A357" t="s">
        <v>151</v>
      </c>
      <c r="B357" t="s">
        <v>152</v>
      </c>
      <c r="C357" t="s">
        <v>3</v>
      </c>
      <c r="D357" s="1">
        <v>45747</v>
      </c>
      <c r="E357">
        <v>116</v>
      </c>
      <c r="F357" s="2">
        <v>1382.5099999999998</v>
      </c>
      <c r="G357" s="2">
        <v>1382.5099999999998</v>
      </c>
    </row>
    <row r="358" spans="1:7" hidden="1" x14ac:dyDescent="0.3">
      <c r="A358" t="s">
        <v>151</v>
      </c>
      <c r="B358" t="s">
        <v>152</v>
      </c>
      <c r="C358" t="s">
        <v>3</v>
      </c>
      <c r="D358" s="1">
        <v>45777</v>
      </c>
      <c r="E358">
        <v>57.5</v>
      </c>
      <c r="F358" s="2">
        <v>1277.4700000000003</v>
      </c>
      <c r="G358" s="2">
        <v>1277.4700000000003</v>
      </c>
    </row>
    <row r="359" spans="1:7" hidden="1" x14ac:dyDescent="0.3">
      <c r="A359" t="s">
        <v>151</v>
      </c>
      <c r="B359" t="s">
        <v>152</v>
      </c>
      <c r="C359" t="s">
        <v>3</v>
      </c>
      <c r="D359" s="1">
        <v>45808</v>
      </c>
      <c r="E359">
        <v>88</v>
      </c>
      <c r="F359" s="2">
        <v>1196.0800000000008</v>
      </c>
      <c r="G359" s="2">
        <v>1196.0800000000008</v>
      </c>
    </row>
    <row r="360" spans="1:7" hidden="1" x14ac:dyDescent="0.3">
      <c r="A360" t="s">
        <v>151</v>
      </c>
      <c r="B360" t="s">
        <v>152</v>
      </c>
      <c r="C360" t="s">
        <v>3</v>
      </c>
      <c r="D360" s="1">
        <v>45838</v>
      </c>
      <c r="E360">
        <v>105.75</v>
      </c>
      <c r="F360" s="2">
        <v>1335.9100000000008</v>
      </c>
      <c r="G360" s="2">
        <v>1196.0800000000008</v>
      </c>
    </row>
    <row r="361" spans="1:7" hidden="1" x14ac:dyDescent="0.3">
      <c r="A361" t="s">
        <v>153</v>
      </c>
      <c r="B361" t="s">
        <v>154</v>
      </c>
      <c r="C361" t="s">
        <v>2</v>
      </c>
      <c r="D361" s="1">
        <v>45688</v>
      </c>
      <c r="E361">
        <v>136.75</v>
      </c>
      <c r="F361" s="2">
        <v>2186.15</v>
      </c>
      <c r="G361" s="2">
        <v>2186.15</v>
      </c>
    </row>
    <row r="362" spans="1:7" hidden="1" x14ac:dyDescent="0.3">
      <c r="A362" t="s">
        <v>153</v>
      </c>
      <c r="B362" t="s">
        <v>154</v>
      </c>
      <c r="C362" t="s">
        <v>2</v>
      </c>
      <c r="D362" s="1">
        <v>45716</v>
      </c>
      <c r="E362">
        <v>148.5</v>
      </c>
      <c r="F362" s="2">
        <v>2219.9099999999994</v>
      </c>
      <c r="G362" s="2">
        <v>2219.9099999999994</v>
      </c>
    </row>
    <row r="363" spans="1:7" hidden="1" x14ac:dyDescent="0.3">
      <c r="A363" t="s">
        <v>153</v>
      </c>
      <c r="B363" t="s">
        <v>154</v>
      </c>
      <c r="C363" t="s">
        <v>2</v>
      </c>
      <c r="D363" s="1">
        <v>45747</v>
      </c>
      <c r="E363">
        <v>107.75</v>
      </c>
      <c r="F363" s="2">
        <v>1972.4700000000003</v>
      </c>
      <c r="G363" s="2">
        <v>1972.4700000000003</v>
      </c>
    </row>
    <row r="364" spans="1:7" hidden="1" x14ac:dyDescent="0.3">
      <c r="A364" t="s">
        <v>153</v>
      </c>
      <c r="B364" t="s">
        <v>154</v>
      </c>
      <c r="C364" t="s">
        <v>2</v>
      </c>
      <c r="D364" s="1">
        <v>45777</v>
      </c>
      <c r="E364">
        <v>112.5</v>
      </c>
      <c r="F364" s="2">
        <v>1974.37</v>
      </c>
      <c r="G364" s="2">
        <v>1974.37</v>
      </c>
    </row>
    <row r="365" spans="1:7" hidden="1" x14ac:dyDescent="0.3">
      <c r="A365" t="s">
        <v>153</v>
      </c>
      <c r="B365" t="s">
        <v>154</v>
      </c>
      <c r="C365" t="s">
        <v>2</v>
      </c>
      <c r="D365" s="1">
        <v>45808</v>
      </c>
      <c r="E365">
        <v>125.25</v>
      </c>
      <c r="F365" s="2">
        <v>1975.7600000000002</v>
      </c>
      <c r="G365" s="2">
        <v>1975.7600000000002</v>
      </c>
    </row>
    <row r="366" spans="1:7" hidden="1" x14ac:dyDescent="0.3">
      <c r="A366" t="s">
        <v>153</v>
      </c>
      <c r="B366" t="s">
        <v>154</v>
      </c>
      <c r="C366" t="s">
        <v>2</v>
      </c>
      <c r="D366" s="1">
        <v>45838</v>
      </c>
      <c r="E366">
        <v>144.75</v>
      </c>
      <c r="F366" s="2">
        <v>2154.0800000000017</v>
      </c>
      <c r="G366" s="2">
        <v>1975.7600000000002</v>
      </c>
    </row>
    <row r="367" spans="1:7" hidden="1" x14ac:dyDescent="0.3">
      <c r="A367" t="s">
        <v>155</v>
      </c>
      <c r="B367" t="s">
        <v>156</v>
      </c>
      <c r="C367" t="s">
        <v>7</v>
      </c>
      <c r="D367" s="1">
        <v>45688</v>
      </c>
      <c r="E367">
        <v>132</v>
      </c>
      <c r="F367" s="2">
        <v>1967.5899999999997</v>
      </c>
      <c r="G367" s="2">
        <v>1967.5899999999997</v>
      </c>
    </row>
    <row r="368" spans="1:7" hidden="1" x14ac:dyDescent="0.3">
      <c r="A368" t="s">
        <v>155</v>
      </c>
      <c r="B368" t="s">
        <v>156</v>
      </c>
      <c r="C368" t="s">
        <v>7</v>
      </c>
      <c r="D368" s="1">
        <v>45716</v>
      </c>
      <c r="E368">
        <v>112.25</v>
      </c>
      <c r="F368" s="2">
        <v>1617.87</v>
      </c>
      <c r="G368" s="2">
        <v>1617.87</v>
      </c>
    </row>
    <row r="369" spans="1:7" hidden="1" x14ac:dyDescent="0.3">
      <c r="A369" t="s">
        <v>155</v>
      </c>
      <c r="B369" t="s">
        <v>156</v>
      </c>
      <c r="C369" t="s">
        <v>7</v>
      </c>
      <c r="D369" s="1">
        <v>45747</v>
      </c>
      <c r="E369">
        <v>115.25</v>
      </c>
      <c r="F369" s="2">
        <v>1694.7500000000014</v>
      </c>
      <c r="G369" s="2">
        <v>1694.7500000000014</v>
      </c>
    </row>
    <row r="370" spans="1:7" hidden="1" x14ac:dyDescent="0.3">
      <c r="A370" t="s">
        <v>155</v>
      </c>
      <c r="B370" t="s">
        <v>156</v>
      </c>
      <c r="C370" t="s">
        <v>7</v>
      </c>
      <c r="D370" s="1">
        <v>45777</v>
      </c>
      <c r="E370">
        <v>93</v>
      </c>
      <c r="F370" s="2">
        <v>1816.3999999999978</v>
      </c>
      <c r="G370" s="2">
        <v>1816.3999999999978</v>
      </c>
    </row>
    <row r="371" spans="1:7" hidden="1" x14ac:dyDescent="0.3">
      <c r="A371" t="s">
        <v>155</v>
      </c>
      <c r="B371" t="s">
        <v>156</v>
      </c>
      <c r="C371" t="s">
        <v>7</v>
      </c>
      <c r="D371" s="1">
        <v>45808</v>
      </c>
      <c r="E371">
        <v>75.25</v>
      </c>
      <c r="F371" s="2">
        <v>1307.9600000000009</v>
      </c>
      <c r="G371" s="2">
        <v>1307.9600000000009</v>
      </c>
    </row>
    <row r="372" spans="1:7" hidden="1" x14ac:dyDescent="0.3">
      <c r="A372" t="s">
        <v>155</v>
      </c>
      <c r="B372" t="s">
        <v>156</v>
      </c>
      <c r="C372" t="s">
        <v>7</v>
      </c>
      <c r="D372" s="1">
        <v>45838</v>
      </c>
      <c r="E372">
        <v>91.5</v>
      </c>
      <c r="F372" s="2">
        <v>1547.2499999999982</v>
      </c>
      <c r="G372" s="2">
        <v>1680.914</v>
      </c>
    </row>
    <row r="373" spans="1:7" hidden="1" x14ac:dyDescent="0.3">
      <c r="A373" t="s">
        <v>157</v>
      </c>
      <c r="B373" t="s">
        <v>158</v>
      </c>
      <c r="C373" t="s">
        <v>3</v>
      </c>
      <c r="D373" s="1">
        <v>45688</v>
      </c>
      <c r="E373">
        <v>129</v>
      </c>
      <c r="F373" s="2">
        <v>2172.2600000000002</v>
      </c>
      <c r="G373" s="2">
        <v>0</v>
      </c>
    </row>
    <row r="374" spans="1:7" hidden="1" x14ac:dyDescent="0.3">
      <c r="A374" t="s">
        <v>157</v>
      </c>
      <c r="B374" t="s">
        <v>158</v>
      </c>
      <c r="C374" t="s">
        <v>3</v>
      </c>
      <c r="D374" s="1">
        <v>45716</v>
      </c>
      <c r="E374">
        <v>139.5</v>
      </c>
      <c r="F374" s="2">
        <v>2117.88</v>
      </c>
      <c r="G374" s="2">
        <v>0</v>
      </c>
    </row>
    <row r="375" spans="1:7" hidden="1" x14ac:dyDescent="0.3">
      <c r="A375" t="s">
        <v>157</v>
      </c>
      <c r="B375" t="s">
        <v>158</v>
      </c>
      <c r="C375" t="s">
        <v>3</v>
      </c>
      <c r="D375" s="1">
        <v>45747</v>
      </c>
      <c r="E375">
        <v>125</v>
      </c>
      <c r="F375" s="2">
        <v>2157.75</v>
      </c>
      <c r="G375" s="2">
        <v>0</v>
      </c>
    </row>
    <row r="376" spans="1:7" hidden="1" x14ac:dyDescent="0.3">
      <c r="A376" t="s">
        <v>157</v>
      </c>
      <c r="B376" t="s">
        <v>158</v>
      </c>
      <c r="C376" t="s">
        <v>3</v>
      </c>
      <c r="D376" s="1">
        <v>45777</v>
      </c>
      <c r="E376">
        <v>91</v>
      </c>
      <c r="F376" s="2">
        <v>2015.63</v>
      </c>
      <c r="G376" s="2">
        <v>0</v>
      </c>
    </row>
    <row r="377" spans="1:7" hidden="1" x14ac:dyDescent="0.3">
      <c r="A377" t="s">
        <v>157</v>
      </c>
      <c r="B377" t="s">
        <v>158</v>
      </c>
      <c r="C377" t="s">
        <v>3</v>
      </c>
      <c r="D377" s="1">
        <v>45808</v>
      </c>
      <c r="E377">
        <v>-484.5</v>
      </c>
      <c r="F377" s="2">
        <v>-8463.52</v>
      </c>
      <c r="G377" s="2">
        <v>0</v>
      </c>
    </row>
    <row r="378" spans="1:7" hidden="1" x14ac:dyDescent="0.3">
      <c r="A378" t="s">
        <v>159</v>
      </c>
      <c r="B378" t="s">
        <v>160</v>
      </c>
      <c r="C378" t="s">
        <v>3</v>
      </c>
      <c r="D378" s="1">
        <v>45688</v>
      </c>
      <c r="E378">
        <v>121.5</v>
      </c>
      <c r="F378" s="2">
        <v>2332.25</v>
      </c>
      <c r="G378" s="2">
        <v>2332.25</v>
      </c>
    </row>
    <row r="379" spans="1:7" hidden="1" x14ac:dyDescent="0.3">
      <c r="A379" t="s">
        <v>159</v>
      </c>
      <c r="B379" t="s">
        <v>160</v>
      </c>
      <c r="C379" t="s">
        <v>3</v>
      </c>
      <c r="D379" s="1">
        <v>45716</v>
      </c>
      <c r="E379">
        <v>143.5</v>
      </c>
      <c r="F379" s="2">
        <v>2221.33</v>
      </c>
      <c r="G379" s="2">
        <v>2221.33</v>
      </c>
    </row>
    <row r="380" spans="1:7" hidden="1" x14ac:dyDescent="0.3">
      <c r="A380" t="s">
        <v>159</v>
      </c>
      <c r="B380" t="s">
        <v>160</v>
      </c>
      <c r="C380" t="s">
        <v>3</v>
      </c>
      <c r="D380" s="1">
        <v>45747</v>
      </c>
      <c r="E380">
        <v>134</v>
      </c>
      <c r="F380" s="2">
        <v>2170.2600000000002</v>
      </c>
      <c r="G380" s="2">
        <v>2170.2600000000002</v>
      </c>
    </row>
    <row r="381" spans="1:7" hidden="1" x14ac:dyDescent="0.3">
      <c r="A381" t="s">
        <v>159</v>
      </c>
      <c r="B381" t="s">
        <v>160</v>
      </c>
      <c r="C381" t="s">
        <v>3</v>
      </c>
      <c r="D381" s="1">
        <v>45777</v>
      </c>
      <c r="E381">
        <v>129.25</v>
      </c>
      <c r="F381" s="2">
        <v>2411.09</v>
      </c>
      <c r="G381" s="2">
        <v>2411.09</v>
      </c>
    </row>
    <row r="382" spans="1:7" hidden="1" x14ac:dyDescent="0.3">
      <c r="A382" t="s">
        <v>159</v>
      </c>
      <c r="B382" t="s">
        <v>160</v>
      </c>
      <c r="C382" t="s">
        <v>3</v>
      </c>
      <c r="D382" s="1">
        <v>45808</v>
      </c>
      <c r="E382">
        <v>118.5</v>
      </c>
      <c r="F382" s="2">
        <v>2283.5200000000004</v>
      </c>
      <c r="G382" s="2">
        <v>2283.5200000000004</v>
      </c>
    </row>
    <row r="383" spans="1:7" hidden="1" x14ac:dyDescent="0.3">
      <c r="A383" t="s">
        <v>159</v>
      </c>
      <c r="B383" t="s">
        <v>160</v>
      </c>
      <c r="C383" t="s">
        <v>3</v>
      </c>
      <c r="D383" s="1">
        <v>45838</v>
      </c>
      <c r="E383">
        <v>144.5</v>
      </c>
      <c r="F383" s="2">
        <v>2376.4499999999989</v>
      </c>
      <c r="G383" s="2">
        <v>2283.5200000000004</v>
      </c>
    </row>
    <row r="384" spans="1:7" x14ac:dyDescent="0.3">
      <c r="A384" t="s">
        <v>161</v>
      </c>
      <c r="B384" t="s">
        <v>162</v>
      </c>
      <c r="C384" t="s">
        <v>13</v>
      </c>
      <c r="D384" s="1">
        <v>45688</v>
      </c>
      <c r="E384">
        <v>119.75</v>
      </c>
      <c r="F384" s="2">
        <v>2037.94</v>
      </c>
      <c r="G384" s="2">
        <v>2037.94</v>
      </c>
    </row>
    <row r="385" spans="1:7" x14ac:dyDescent="0.3">
      <c r="A385" t="s">
        <v>161</v>
      </c>
      <c r="B385" t="s">
        <v>162</v>
      </c>
      <c r="C385" t="s">
        <v>13</v>
      </c>
      <c r="D385" s="1">
        <v>45716</v>
      </c>
      <c r="E385">
        <v>144.5</v>
      </c>
      <c r="F385" s="2">
        <v>2274.4699999999998</v>
      </c>
      <c r="G385" s="2">
        <v>2274.4699999999998</v>
      </c>
    </row>
    <row r="386" spans="1:7" x14ac:dyDescent="0.3">
      <c r="A386" t="s">
        <v>161</v>
      </c>
      <c r="B386" t="s">
        <v>162</v>
      </c>
      <c r="C386" t="s">
        <v>13</v>
      </c>
      <c r="D386" s="1">
        <v>45747</v>
      </c>
      <c r="E386">
        <v>156</v>
      </c>
      <c r="F386" s="2">
        <v>2280.8000000000011</v>
      </c>
      <c r="G386" s="2">
        <v>2280.8000000000011</v>
      </c>
    </row>
    <row r="387" spans="1:7" x14ac:dyDescent="0.3">
      <c r="A387" t="s">
        <v>161</v>
      </c>
      <c r="B387" t="s">
        <v>162</v>
      </c>
      <c r="C387" t="s">
        <v>13</v>
      </c>
      <c r="D387" s="1">
        <v>45777</v>
      </c>
      <c r="E387">
        <v>151.5</v>
      </c>
      <c r="F387" s="2">
        <v>2811.3999999999996</v>
      </c>
      <c r="G387" s="2">
        <v>2811.3999999999996</v>
      </c>
    </row>
    <row r="388" spans="1:7" x14ac:dyDescent="0.3">
      <c r="A388" t="s">
        <v>161</v>
      </c>
      <c r="B388" t="s">
        <v>162</v>
      </c>
      <c r="C388" t="s">
        <v>13</v>
      </c>
      <c r="D388" s="1">
        <v>45808</v>
      </c>
      <c r="E388">
        <v>165.75</v>
      </c>
      <c r="F388" s="2">
        <v>2573.6699999999964</v>
      </c>
      <c r="G388" s="2">
        <v>2573.6699999999964</v>
      </c>
    </row>
    <row r="389" spans="1:7" x14ac:dyDescent="0.3">
      <c r="A389" t="s">
        <v>161</v>
      </c>
      <c r="B389" t="s">
        <v>162</v>
      </c>
      <c r="C389" t="s">
        <v>13</v>
      </c>
      <c r="D389" s="1">
        <v>45838</v>
      </c>
      <c r="E389">
        <v>127.75</v>
      </c>
      <c r="F389" s="2">
        <v>1958.1800000000021</v>
      </c>
      <c r="G389" s="2">
        <v>2395.6559999999995</v>
      </c>
    </row>
    <row r="390" spans="1:7" hidden="1" x14ac:dyDescent="0.3">
      <c r="A390" t="s">
        <v>163</v>
      </c>
      <c r="B390" t="s">
        <v>164</v>
      </c>
      <c r="C390" t="s">
        <v>8</v>
      </c>
      <c r="D390" s="1">
        <v>45688</v>
      </c>
      <c r="E390">
        <v>139.5</v>
      </c>
      <c r="F390" s="2">
        <v>4084.72</v>
      </c>
      <c r="G390" s="2">
        <v>4084.72</v>
      </c>
    </row>
    <row r="391" spans="1:7" hidden="1" x14ac:dyDescent="0.3">
      <c r="A391" t="s">
        <v>163</v>
      </c>
      <c r="B391" t="s">
        <v>164</v>
      </c>
      <c r="C391" t="s">
        <v>8</v>
      </c>
      <c r="D391" s="1">
        <v>45716</v>
      </c>
      <c r="E391">
        <v>121.5</v>
      </c>
      <c r="F391" s="2">
        <v>2807.2600000000016</v>
      </c>
      <c r="G391" s="2">
        <v>2807.2600000000016</v>
      </c>
    </row>
    <row r="392" spans="1:7" hidden="1" x14ac:dyDescent="0.3">
      <c r="A392" t="s">
        <v>163</v>
      </c>
      <c r="B392" t="s">
        <v>164</v>
      </c>
      <c r="C392" t="s">
        <v>8</v>
      </c>
      <c r="D392" s="1">
        <v>45747</v>
      </c>
      <c r="E392">
        <v>160</v>
      </c>
      <c r="F392" s="2">
        <v>3007.6499999999996</v>
      </c>
      <c r="G392" s="2">
        <v>3007.6499999999996</v>
      </c>
    </row>
    <row r="393" spans="1:7" hidden="1" x14ac:dyDescent="0.3">
      <c r="A393" t="s">
        <v>163</v>
      </c>
      <c r="B393" t="s">
        <v>164</v>
      </c>
      <c r="C393" t="s">
        <v>8</v>
      </c>
      <c r="D393" s="1">
        <v>45777</v>
      </c>
      <c r="E393">
        <v>149.5</v>
      </c>
      <c r="F393" s="2">
        <v>2886.1099999999988</v>
      </c>
      <c r="G393" s="2">
        <v>2886.1099999999988</v>
      </c>
    </row>
    <row r="394" spans="1:7" hidden="1" x14ac:dyDescent="0.3">
      <c r="A394" t="s">
        <v>163</v>
      </c>
      <c r="B394" t="s">
        <v>164</v>
      </c>
      <c r="C394" t="s">
        <v>8</v>
      </c>
      <c r="D394" s="1">
        <v>45808</v>
      </c>
      <c r="E394">
        <v>147.75</v>
      </c>
      <c r="F394" s="2">
        <v>2794.8600000000006</v>
      </c>
      <c r="G394" s="2">
        <v>2794.8600000000006</v>
      </c>
    </row>
    <row r="395" spans="1:7" hidden="1" x14ac:dyDescent="0.3">
      <c r="A395" t="s">
        <v>163</v>
      </c>
      <c r="B395" t="s">
        <v>164</v>
      </c>
      <c r="C395" t="s">
        <v>8</v>
      </c>
      <c r="D395" s="1">
        <v>45838</v>
      </c>
      <c r="E395">
        <v>126.75</v>
      </c>
      <c r="F395" s="2">
        <v>2558.5000000000018</v>
      </c>
      <c r="G395" s="2">
        <v>3116.12</v>
      </c>
    </row>
    <row r="396" spans="1:7" hidden="1" x14ac:dyDescent="0.3">
      <c r="A396" t="s">
        <v>165</v>
      </c>
      <c r="B396" t="s">
        <v>166</v>
      </c>
      <c r="C396" t="s">
        <v>3</v>
      </c>
      <c r="D396" s="1">
        <v>45688</v>
      </c>
      <c r="E396">
        <v>92.5</v>
      </c>
      <c r="F396" s="2">
        <v>1639.6300000000003</v>
      </c>
      <c r="G396" s="2">
        <v>1639.6300000000003</v>
      </c>
    </row>
    <row r="397" spans="1:7" hidden="1" x14ac:dyDescent="0.3">
      <c r="A397" t="s">
        <v>165</v>
      </c>
      <c r="B397" t="s">
        <v>166</v>
      </c>
      <c r="C397" t="s">
        <v>3</v>
      </c>
      <c r="D397" s="1">
        <v>45716</v>
      </c>
      <c r="E397">
        <v>131.5</v>
      </c>
      <c r="F397" s="2">
        <v>1783.7999999999995</v>
      </c>
      <c r="G397" s="2">
        <v>1783.7999999999995</v>
      </c>
    </row>
    <row r="398" spans="1:7" hidden="1" x14ac:dyDescent="0.3">
      <c r="A398" t="s">
        <v>165</v>
      </c>
      <c r="B398" t="s">
        <v>166</v>
      </c>
      <c r="C398" t="s">
        <v>3</v>
      </c>
      <c r="D398" s="1">
        <v>45747</v>
      </c>
      <c r="E398">
        <v>124.25</v>
      </c>
      <c r="F398" s="2">
        <v>1827.6300000000006</v>
      </c>
      <c r="G398" s="2">
        <v>1827.6300000000006</v>
      </c>
    </row>
    <row r="399" spans="1:7" hidden="1" x14ac:dyDescent="0.3">
      <c r="A399" t="s">
        <v>165</v>
      </c>
      <c r="B399" t="s">
        <v>166</v>
      </c>
      <c r="C399" t="s">
        <v>3</v>
      </c>
      <c r="D399" s="1">
        <v>45777</v>
      </c>
      <c r="E399">
        <v>114</v>
      </c>
      <c r="F399" s="2">
        <v>2057.6900000000005</v>
      </c>
      <c r="G399" s="2">
        <v>2057.6900000000005</v>
      </c>
    </row>
    <row r="400" spans="1:7" hidden="1" x14ac:dyDescent="0.3">
      <c r="A400" t="s">
        <v>165</v>
      </c>
      <c r="B400" t="s">
        <v>166</v>
      </c>
      <c r="C400" t="s">
        <v>3</v>
      </c>
      <c r="D400" s="1">
        <v>45808</v>
      </c>
      <c r="E400">
        <v>128.5</v>
      </c>
      <c r="F400" s="2">
        <v>1845.8900000000003</v>
      </c>
      <c r="G400" s="2">
        <v>1845.8900000000003</v>
      </c>
    </row>
    <row r="401" spans="1:7" hidden="1" x14ac:dyDescent="0.3">
      <c r="A401" t="s">
        <v>165</v>
      </c>
      <c r="B401" t="s">
        <v>166</v>
      </c>
      <c r="C401" t="s">
        <v>3</v>
      </c>
      <c r="D401" s="1">
        <v>45838</v>
      </c>
      <c r="E401">
        <v>145.5</v>
      </c>
      <c r="F401" s="2">
        <v>1971.8700000000008</v>
      </c>
      <c r="G401" s="2">
        <v>1845.8900000000003</v>
      </c>
    </row>
    <row r="402" spans="1:7" hidden="1" x14ac:dyDescent="0.3">
      <c r="A402" t="s">
        <v>167</v>
      </c>
      <c r="B402" t="s">
        <v>168</v>
      </c>
      <c r="C402" t="s">
        <v>3</v>
      </c>
      <c r="D402" s="1">
        <v>45688</v>
      </c>
      <c r="E402">
        <v>116.25</v>
      </c>
      <c r="F402" s="2">
        <v>2139.92</v>
      </c>
      <c r="G402" s="2">
        <v>2139.92</v>
      </c>
    </row>
    <row r="403" spans="1:7" hidden="1" x14ac:dyDescent="0.3">
      <c r="A403" t="s">
        <v>167</v>
      </c>
      <c r="B403" t="s">
        <v>168</v>
      </c>
      <c r="C403" t="s">
        <v>3</v>
      </c>
      <c r="D403" s="1">
        <v>45716</v>
      </c>
      <c r="E403">
        <v>129</v>
      </c>
      <c r="F403" s="2">
        <v>2077.13</v>
      </c>
      <c r="G403" s="2">
        <v>2077.13</v>
      </c>
    </row>
    <row r="404" spans="1:7" hidden="1" x14ac:dyDescent="0.3">
      <c r="A404" t="s">
        <v>167</v>
      </c>
      <c r="B404" t="s">
        <v>168</v>
      </c>
      <c r="C404" t="s">
        <v>3</v>
      </c>
      <c r="D404" s="1">
        <v>45747</v>
      </c>
      <c r="E404">
        <v>116</v>
      </c>
      <c r="F404" s="2">
        <v>2047.5500000000002</v>
      </c>
      <c r="G404" s="2">
        <v>2047.5500000000002</v>
      </c>
    </row>
    <row r="405" spans="1:7" hidden="1" x14ac:dyDescent="0.3">
      <c r="A405" t="s">
        <v>167</v>
      </c>
      <c r="B405" t="s">
        <v>168</v>
      </c>
      <c r="C405" t="s">
        <v>3</v>
      </c>
      <c r="D405" s="1">
        <v>45777</v>
      </c>
      <c r="E405">
        <v>119.5</v>
      </c>
      <c r="F405" s="2">
        <v>2090.9400000000005</v>
      </c>
      <c r="G405" s="2">
        <v>2090.9400000000005</v>
      </c>
    </row>
    <row r="406" spans="1:7" hidden="1" x14ac:dyDescent="0.3">
      <c r="A406" t="s">
        <v>167</v>
      </c>
      <c r="B406" t="s">
        <v>168</v>
      </c>
      <c r="C406" t="s">
        <v>3</v>
      </c>
      <c r="D406" s="1">
        <v>45808</v>
      </c>
      <c r="E406">
        <v>101</v>
      </c>
      <c r="F406" s="2">
        <v>2012.8899999999994</v>
      </c>
      <c r="G406" s="2">
        <v>2012.8899999999994</v>
      </c>
    </row>
    <row r="407" spans="1:7" hidden="1" x14ac:dyDescent="0.3">
      <c r="A407" t="s">
        <v>167</v>
      </c>
      <c r="B407" t="s">
        <v>168</v>
      </c>
      <c r="C407" t="s">
        <v>3</v>
      </c>
      <c r="D407" s="1">
        <v>45838</v>
      </c>
      <c r="E407">
        <v>101.75</v>
      </c>
      <c r="F407" s="2">
        <v>1782.4599999999991</v>
      </c>
      <c r="G407" s="2">
        <v>2012.8899999999994</v>
      </c>
    </row>
    <row r="408" spans="1:7" hidden="1" x14ac:dyDescent="0.3">
      <c r="A408" t="s">
        <v>169</v>
      </c>
      <c r="B408" t="s">
        <v>170</v>
      </c>
      <c r="C408" t="s">
        <v>2</v>
      </c>
      <c r="D408" s="1">
        <v>45688</v>
      </c>
      <c r="E408">
        <v>147.75</v>
      </c>
      <c r="F408" s="2">
        <v>2076.8000000000002</v>
      </c>
      <c r="G408" s="2">
        <v>2076.8000000000002</v>
      </c>
    </row>
    <row r="409" spans="1:7" hidden="1" x14ac:dyDescent="0.3">
      <c r="A409" t="s">
        <v>169</v>
      </c>
      <c r="B409" t="s">
        <v>170</v>
      </c>
      <c r="C409" t="s">
        <v>2</v>
      </c>
      <c r="D409" s="1">
        <v>45716</v>
      </c>
      <c r="E409">
        <v>152</v>
      </c>
      <c r="F409" s="2">
        <v>2004.4299999999994</v>
      </c>
      <c r="G409" s="2">
        <v>2004.4299999999994</v>
      </c>
    </row>
    <row r="410" spans="1:7" hidden="1" x14ac:dyDescent="0.3">
      <c r="A410" t="s">
        <v>169</v>
      </c>
      <c r="B410" t="s">
        <v>170</v>
      </c>
      <c r="C410" t="s">
        <v>2</v>
      </c>
      <c r="D410" s="1">
        <v>45747</v>
      </c>
      <c r="E410">
        <v>152.5</v>
      </c>
      <c r="F410" s="2">
        <v>1988.8700000000008</v>
      </c>
      <c r="G410" s="2">
        <v>1988.8700000000008</v>
      </c>
    </row>
    <row r="411" spans="1:7" hidden="1" x14ac:dyDescent="0.3">
      <c r="A411" t="s">
        <v>169</v>
      </c>
      <c r="B411" t="s">
        <v>170</v>
      </c>
      <c r="C411" t="s">
        <v>2</v>
      </c>
      <c r="D411" s="1">
        <v>45777</v>
      </c>
      <c r="E411">
        <v>139.5</v>
      </c>
      <c r="F411" s="2">
        <v>2009.1099999999997</v>
      </c>
      <c r="G411" s="2">
        <v>2009.1099999999997</v>
      </c>
    </row>
    <row r="412" spans="1:7" hidden="1" x14ac:dyDescent="0.3">
      <c r="A412" t="s">
        <v>169</v>
      </c>
      <c r="B412" t="s">
        <v>170</v>
      </c>
      <c r="C412" t="s">
        <v>2</v>
      </c>
      <c r="D412" s="1">
        <v>45808</v>
      </c>
      <c r="E412">
        <v>137.5</v>
      </c>
      <c r="F412" s="2">
        <v>1980.2400000000007</v>
      </c>
      <c r="G412" s="2">
        <v>1980.2400000000007</v>
      </c>
    </row>
    <row r="413" spans="1:7" hidden="1" x14ac:dyDescent="0.3">
      <c r="A413" t="s">
        <v>169</v>
      </c>
      <c r="B413" t="s">
        <v>170</v>
      </c>
      <c r="C413" t="s">
        <v>2</v>
      </c>
      <c r="D413" s="1">
        <v>45838</v>
      </c>
      <c r="E413">
        <v>151.25</v>
      </c>
      <c r="F413" s="2">
        <v>2033.6899999999987</v>
      </c>
      <c r="G413" s="2">
        <v>1980.2400000000007</v>
      </c>
    </row>
    <row r="414" spans="1:7" hidden="1" x14ac:dyDescent="0.3">
      <c r="A414" t="s">
        <v>171</v>
      </c>
      <c r="B414" t="s">
        <v>172</v>
      </c>
      <c r="C414" t="s">
        <v>3</v>
      </c>
      <c r="D414" s="1">
        <v>45688</v>
      </c>
      <c r="E414">
        <v>132</v>
      </c>
      <c r="F414" s="2">
        <v>1634.64</v>
      </c>
      <c r="G414" s="2">
        <v>1634.64</v>
      </c>
    </row>
    <row r="415" spans="1:7" hidden="1" x14ac:dyDescent="0.3">
      <c r="A415" t="s">
        <v>171</v>
      </c>
      <c r="B415" t="s">
        <v>172</v>
      </c>
      <c r="C415" t="s">
        <v>3</v>
      </c>
      <c r="D415" s="1">
        <v>45716</v>
      </c>
      <c r="E415">
        <v>133.5</v>
      </c>
      <c r="F415" s="2">
        <v>1536.59</v>
      </c>
      <c r="G415" s="2">
        <v>1536.59</v>
      </c>
    </row>
    <row r="416" spans="1:7" hidden="1" x14ac:dyDescent="0.3">
      <c r="A416" t="s">
        <v>171</v>
      </c>
      <c r="B416" t="s">
        <v>172</v>
      </c>
      <c r="C416" t="s">
        <v>3</v>
      </c>
      <c r="D416" s="1">
        <v>45747</v>
      </c>
      <c r="E416">
        <v>149</v>
      </c>
      <c r="F416" s="2">
        <v>1665.8100000000009</v>
      </c>
      <c r="G416" s="2">
        <v>1665.8100000000009</v>
      </c>
    </row>
    <row r="417" spans="1:7" hidden="1" x14ac:dyDescent="0.3">
      <c r="A417" t="s">
        <v>171</v>
      </c>
      <c r="B417" t="s">
        <v>172</v>
      </c>
      <c r="C417" t="s">
        <v>3</v>
      </c>
      <c r="D417" s="1">
        <v>45777</v>
      </c>
      <c r="E417">
        <v>140.5</v>
      </c>
      <c r="F417" s="2">
        <v>1749.7399999999998</v>
      </c>
      <c r="G417" s="2">
        <v>1749.7399999999998</v>
      </c>
    </row>
    <row r="418" spans="1:7" hidden="1" x14ac:dyDescent="0.3">
      <c r="A418" t="s">
        <v>171</v>
      </c>
      <c r="B418" t="s">
        <v>172</v>
      </c>
      <c r="C418" t="s">
        <v>3</v>
      </c>
      <c r="D418" s="1">
        <v>45808</v>
      </c>
      <c r="E418">
        <v>124.5</v>
      </c>
      <c r="F418" s="2">
        <v>1492.88</v>
      </c>
      <c r="G418" s="2">
        <v>1492.88</v>
      </c>
    </row>
    <row r="419" spans="1:7" hidden="1" x14ac:dyDescent="0.3">
      <c r="A419" t="s">
        <v>171</v>
      </c>
      <c r="B419" t="s">
        <v>172</v>
      </c>
      <c r="C419" t="s">
        <v>3</v>
      </c>
      <c r="D419" s="1">
        <v>45838</v>
      </c>
      <c r="E419">
        <v>134.5</v>
      </c>
      <c r="F419" s="2">
        <v>1573.8699999999981</v>
      </c>
      <c r="G419" s="2">
        <v>1492.88</v>
      </c>
    </row>
    <row r="420" spans="1:7" hidden="1" x14ac:dyDescent="0.3">
      <c r="A420" t="s">
        <v>173</v>
      </c>
      <c r="B420" t="s">
        <v>174</v>
      </c>
      <c r="C420" t="s">
        <v>3</v>
      </c>
      <c r="D420" s="1">
        <v>45688</v>
      </c>
      <c r="E420">
        <v>74</v>
      </c>
      <c r="F420" s="2">
        <v>1242.1000000000001</v>
      </c>
      <c r="G420" s="2">
        <v>1242.1000000000001</v>
      </c>
    </row>
    <row r="421" spans="1:7" hidden="1" x14ac:dyDescent="0.3">
      <c r="A421" t="s">
        <v>173</v>
      </c>
      <c r="B421" t="s">
        <v>174</v>
      </c>
      <c r="C421" t="s">
        <v>3</v>
      </c>
      <c r="D421" s="1">
        <v>45716</v>
      </c>
      <c r="E421">
        <v>71</v>
      </c>
      <c r="F421" s="2">
        <v>1080.7699999999998</v>
      </c>
      <c r="G421" s="2">
        <v>1080.7699999999998</v>
      </c>
    </row>
    <row r="422" spans="1:7" hidden="1" x14ac:dyDescent="0.3">
      <c r="A422" t="s">
        <v>173</v>
      </c>
      <c r="B422" t="s">
        <v>174</v>
      </c>
      <c r="C422" t="s">
        <v>3</v>
      </c>
      <c r="D422" s="1">
        <v>45747</v>
      </c>
      <c r="E422">
        <v>79.75</v>
      </c>
      <c r="F422" s="2">
        <v>1192.1100000000006</v>
      </c>
      <c r="G422" s="2">
        <v>1192.1100000000006</v>
      </c>
    </row>
    <row r="423" spans="1:7" hidden="1" x14ac:dyDescent="0.3">
      <c r="A423" t="s">
        <v>173</v>
      </c>
      <c r="B423" t="s">
        <v>174</v>
      </c>
      <c r="C423" t="s">
        <v>3</v>
      </c>
      <c r="D423" s="1">
        <v>45777</v>
      </c>
      <c r="E423">
        <v>81</v>
      </c>
      <c r="F423" s="2">
        <v>1315.4999999999991</v>
      </c>
      <c r="G423" s="2">
        <v>1315.4999999999991</v>
      </c>
    </row>
    <row r="424" spans="1:7" hidden="1" x14ac:dyDescent="0.3">
      <c r="A424" t="s">
        <v>173</v>
      </c>
      <c r="B424" t="s">
        <v>174</v>
      </c>
      <c r="C424" t="s">
        <v>3</v>
      </c>
      <c r="D424" s="1">
        <v>45808</v>
      </c>
      <c r="E424">
        <v>72</v>
      </c>
      <c r="F424" s="2">
        <v>1166.9800000000014</v>
      </c>
      <c r="G424" s="2">
        <v>1166.9800000000014</v>
      </c>
    </row>
    <row r="425" spans="1:7" hidden="1" x14ac:dyDescent="0.3">
      <c r="A425" t="s">
        <v>173</v>
      </c>
      <c r="B425" t="s">
        <v>174</v>
      </c>
      <c r="C425" t="s">
        <v>3</v>
      </c>
      <c r="D425" s="1">
        <v>45838</v>
      </c>
      <c r="E425">
        <v>63</v>
      </c>
      <c r="F425" s="2">
        <v>1081.2799999999997</v>
      </c>
      <c r="G425" s="2">
        <v>1166.9800000000014</v>
      </c>
    </row>
    <row r="426" spans="1:7" x14ac:dyDescent="0.3">
      <c r="A426" t="s">
        <v>175</v>
      </c>
      <c r="B426" t="s">
        <v>176</v>
      </c>
      <c r="C426" t="s">
        <v>12</v>
      </c>
      <c r="D426" s="1">
        <v>45688</v>
      </c>
      <c r="E426">
        <v>132</v>
      </c>
      <c r="F426" s="2">
        <v>2956.87</v>
      </c>
      <c r="G426" s="2">
        <v>2956.87</v>
      </c>
    </row>
    <row r="427" spans="1:7" x14ac:dyDescent="0.3">
      <c r="A427" t="s">
        <v>175</v>
      </c>
      <c r="B427" t="s">
        <v>176</v>
      </c>
      <c r="C427" t="s">
        <v>12</v>
      </c>
      <c r="D427" s="1">
        <v>45716</v>
      </c>
      <c r="E427">
        <v>133.5</v>
      </c>
      <c r="F427" s="2">
        <v>2934.24</v>
      </c>
      <c r="G427" s="2">
        <v>2934.24</v>
      </c>
    </row>
    <row r="428" spans="1:7" x14ac:dyDescent="0.3">
      <c r="A428" t="s">
        <v>175</v>
      </c>
      <c r="B428" t="s">
        <v>176</v>
      </c>
      <c r="C428" t="s">
        <v>12</v>
      </c>
      <c r="D428" s="1">
        <v>45747</v>
      </c>
      <c r="E428">
        <v>144.5</v>
      </c>
      <c r="F428" s="2">
        <v>2956.95</v>
      </c>
      <c r="G428" s="2">
        <v>2956.95</v>
      </c>
    </row>
    <row r="429" spans="1:7" x14ac:dyDescent="0.3">
      <c r="A429" t="s">
        <v>175</v>
      </c>
      <c r="B429" t="s">
        <v>176</v>
      </c>
      <c r="C429" t="s">
        <v>12</v>
      </c>
      <c r="D429" s="1">
        <v>45777</v>
      </c>
      <c r="E429">
        <v>99.5</v>
      </c>
      <c r="F429" s="2">
        <v>2627.0699999999997</v>
      </c>
      <c r="G429" s="2">
        <v>2627.0699999999997</v>
      </c>
    </row>
    <row r="430" spans="1:7" x14ac:dyDescent="0.3">
      <c r="A430" t="s">
        <v>175</v>
      </c>
      <c r="B430" t="s">
        <v>176</v>
      </c>
      <c r="C430" t="s">
        <v>12</v>
      </c>
      <c r="D430" s="1">
        <v>45808</v>
      </c>
      <c r="E430">
        <v>141.5</v>
      </c>
      <c r="F430" s="2">
        <v>3064.9199999999983</v>
      </c>
      <c r="G430" s="2">
        <v>3064.9199999999983</v>
      </c>
    </row>
    <row r="431" spans="1:7" x14ac:dyDescent="0.3">
      <c r="A431" t="s">
        <v>175</v>
      </c>
      <c r="B431" t="s">
        <v>176</v>
      </c>
      <c r="C431" t="s">
        <v>12</v>
      </c>
      <c r="D431" s="1">
        <v>45838</v>
      </c>
      <c r="E431">
        <v>137.75</v>
      </c>
      <c r="F431" s="2">
        <v>3145.9699999999993</v>
      </c>
      <c r="G431" s="2">
        <v>2908.0099999999993</v>
      </c>
    </row>
    <row r="432" spans="1:7" hidden="1" x14ac:dyDescent="0.3">
      <c r="A432" t="s">
        <v>177</v>
      </c>
      <c r="B432" t="s">
        <v>178</v>
      </c>
      <c r="C432" t="s">
        <v>2</v>
      </c>
      <c r="D432" s="1">
        <v>45688</v>
      </c>
      <c r="E432">
        <v>0</v>
      </c>
      <c r="F432" s="2">
        <v>158.96000000000004</v>
      </c>
      <c r="G432" s="2">
        <v>158.96000000000004</v>
      </c>
    </row>
    <row r="433" spans="1:7" hidden="1" x14ac:dyDescent="0.3">
      <c r="A433" t="s">
        <v>177</v>
      </c>
      <c r="B433" t="s">
        <v>178</v>
      </c>
      <c r="C433" t="s">
        <v>2</v>
      </c>
      <c r="D433" s="1">
        <v>45716</v>
      </c>
      <c r="E433">
        <v>0</v>
      </c>
      <c r="F433" s="2">
        <v>176.70999999999958</v>
      </c>
      <c r="G433" s="2">
        <v>176.70999999999958</v>
      </c>
    </row>
    <row r="434" spans="1:7" hidden="1" x14ac:dyDescent="0.3">
      <c r="A434" t="s">
        <v>177</v>
      </c>
      <c r="B434" t="s">
        <v>178</v>
      </c>
      <c r="C434" t="s">
        <v>2</v>
      </c>
      <c r="D434" s="1">
        <v>45747</v>
      </c>
      <c r="E434">
        <v>0</v>
      </c>
      <c r="F434" s="2">
        <v>158.41000000000031</v>
      </c>
      <c r="G434" s="2">
        <v>158.41000000000031</v>
      </c>
    </row>
    <row r="435" spans="1:7" hidden="1" x14ac:dyDescent="0.3">
      <c r="A435" t="s">
        <v>177</v>
      </c>
      <c r="B435" t="s">
        <v>178</v>
      </c>
      <c r="C435" t="s">
        <v>2</v>
      </c>
      <c r="D435" s="1">
        <v>45777</v>
      </c>
      <c r="E435">
        <v>0</v>
      </c>
      <c r="F435" s="2">
        <v>162.50999999999976</v>
      </c>
      <c r="G435" s="2">
        <v>162.50999999999976</v>
      </c>
    </row>
    <row r="436" spans="1:7" hidden="1" x14ac:dyDescent="0.3">
      <c r="A436" t="s">
        <v>177</v>
      </c>
      <c r="B436" t="s">
        <v>178</v>
      </c>
      <c r="C436" t="s">
        <v>2</v>
      </c>
      <c r="D436" s="1">
        <v>45808</v>
      </c>
      <c r="E436">
        <v>0</v>
      </c>
      <c r="F436" s="2">
        <v>156.02999999999975</v>
      </c>
      <c r="G436" s="2">
        <v>156.02999999999975</v>
      </c>
    </row>
    <row r="437" spans="1:7" hidden="1" x14ac:dyDescent="0.3">
      <c r="A437" t="s">
        <v>177</v>
      </c>
      <c r="B437" t="s">
        <v>178</v>
      </c>
      <c r="C437" t="s">
        <v>2</v>
      </c>
      <c r="D437" s="1">
        <v>45838</v>
      </c>
      <c r="E437">
        <v>0</v>
      </c>
      <c r="F437" s="2">
        <v>-618.56999999999925</v>
      </c>
      <c r="G437" s="2">
        <v>156.02999999999975</v>
      </c>
    </row>
    <row r="438" spans="1:7" hidden="1" x14ac:dyDescent="0.3">
      <c r="A438" t="s">
        <v>179</v>
      </c>
      <c r="B438" t="s">
        <v>180</v>
      </c>
      <c r="C438" t="s">
        <v>2</v>
      </c>
      <c r="D438" s="1">
        <v>45688</v>
      </c>
      <c r="E438">
        <v>151.5</v>
      </c>
      <c r="F438" s="2">
        <v>2454.4199999999996</v>
      </c>
      <c r="G438" s="2">
        <v>2454.4199999999996</v>
      </c>
    </row>
    <row r="439" spans="1:7" hidden="1" x14ac:dyDescent="0.3">
      <c r="A439" t="s">
        <v>179</v>
      </c>
      <c r="B439" t="s">
        <v>180</v>
      </c>
      <c r="C439" t="s">
        <v>2</v>
      </c>
      <c r="D439" s="1">
        <v>45716</v>
      </c>
      <c r="E439">
        <v>137</v>
      </c>
      <c r="F439" s="2">
        <v>2160.2099999999996</v>
      </c>
      <c r="G439" s="2">
        <v>2160.2099999999996</v>
      </c>
    </row>
    <row r="440" spans="1:7" hidden="1" x14ac:dyDescent="0.3">
      <c r="A440" t="s">
        <v>179</v>
      </c>
      <c r="B440" t="s">
        <v>180</v>
      </c>
      <c r="C440" t="s">
        <v>2</v>
      </c>
      <c r="D440" s="1">
        <v>45747</v>
      </c>
      <c r="E440">
        <v>141.25</v>
      </c>
      <c r="F440" s="2">
        <v>2208.1000000000004</v>
      </c>
      <c r="G440" s="2">
        <v>2208.1000000000004</v>
      </c>
    </row>
    <row r="441" spans="1:7" hidden="1" x14ac:dyDescent="0.3">
      <c r="A441" t="s">
        <v>179</v>
      </c>
      <c r="B441" t="s">
        <v>180</v>
      </c>
      <c r="C441" t="s">
        <v>2</v>
      </c>
      <c r="D441" s="1">
        <v>45777</v>
      </c>
      <c r="E441">
        <v>144</v>
      </c>
      <c r="F441" s="2">
        <v>2361.2400000000016</v>
      </c>
      <c r="G441" s="2">
        <v>2361.2400000000016</v>
      </c>
    </row>
    <row r="442" spans="1:7" hidden="1" x14ac:dyDescent="0.3">
      <c r="A442" t="s">
        <v>179</v>
      </c>
      <c r="B442" t="s">
        <v>180</v>
      </c>
      <c r="C442" t="s">
        <v>2</v>
      </c>
      <c r="D442" s="1">
        <v>45808</v>
      </c>
      <c r="E442">
        <v>144.5</v>
      </c>
      <c r="F442" s="2">
        <v>2373.4699999999975</v>
      </c>
      <c r="G442" s="2">
        <v>2373.4699999999975</v>
      </c>
    </row>
    <row r="443" spans="1:7" hidden="1" x14ac:dyDescent="0.3">
      <c r="A443" t="s">
        <v>179</v>
      </c>
      <c r="B443" t="s">
        <v>180</v>
      </c>
      <c r="C443" t="s">
        <v>2</v>
      </c>
      <c r="D443" s="1">
        <v>45838</v>
      </c>
      <c r="E443">
        <v>23</v>
      </c>
      <c r="F443" s="2">
        <v>1147.7399999999998</v>
      </c>
      <c r="G443" s="2">
        <v>2373.4699999999975</v>
      </c>
    </row>
    <row r="444" spans="1:7" hidden="1" x14ac:dyDescent="0.3">
      <c r="A444" t="s">
        <v>181</v>
      </c>
      <c r="B444" t="s">
        <v>182</v>
      </c>
      <c r="C444" t="s">
        <v>2</v>
      </c>
      <c r="D444" s="1">
        <v>45688</v>
      </c>
      <c r="E444">
        <v>60</v>
      </c>
      <c r="F444" s="2">
        <v>1084.08</v>
      </c>
      <c r="G444" s="2">
        <v>1084.08</v>
      </c>
    </row>
    <row r="445" spans="1:7" hidden="1" x14ac:dyDescent="0.3">
      <c r="A445" t="s">
        <v>181</v>
      </c>
      <c r="B445" t="s">
        <v>182</v>
      </c>
      <c r="C445" t="s">
        <v>2</v>
      </c>
      <c r="D445" s="1">
        <v>45716</v>
      </c>
      <c r="E445">
        <v>84</v>
      </c>
      <c r="F445" s="2">
        <v>1264.7599999999998</v>
      </c>
      <c r="G445" s="2">
        <v>1264.7599999999998</v>
      </c>
    </row>
    <row r="446" spans="1:7" hidden="1" x14ac:dyDescent="0.3">
      <c r="A446" t="s">
        <v>181</v>
      </c>
      <c r="B446" t="s">
        <v>182</v>
      </c>
      <c r="C446" t="s">
        <v>2</v>
      </c>
      <c r="D446" s="1">
        <v>45747</v>
      </c>
      <c r="E446">
        <v>118</v>
      </c>
      <c r="F446" s="2">
        <v>1325.8100000000009</v>
      </c>
      <c r="G446" s="2">
        <v>1325.8100000000009</v>
      </c>
    </row>
    <row r="447" spans="1:7" hidden="1" x14ac:dyDescent="0.3">
      <c r="A447" t="s">
        <v>181</v>
      </c>
      <c r="B447" t="s">
        <v>182</v>
      </c>
      <c r="C447" t="s">
        <v>2</v>
      </c>
      <c r="D447" s="1">
        <v>45777</v>
      </c>
      <c r="E447">
        <v>83.5</v>
      </c>
      <c r="F447" s="2">
        <v>1354.5599999999995</v>
      </c>
      <c r="G447" s="2">
        <v>1354.5599999999995</v>
      </c>
    </row>
    <row r="448" spans="1:7" hidden="1" x14ac:dyDescent="0.3">
      <c r="A448" t="s">
        <v>181</v>
      </c>
      <c r="B448" t="s">
        <v>182</v>
      </c>
      <c r="C448" t="s">
        <v>2</v>
      </c>
      <c r="D448" s="1">
        <v>45808</v>
      </c>
      <c r="E448">
        <v>108</v>
      </c>
      <c r="F448" s="2">
        <v>1297.5300000000007</v>
      </c>
      <c r="G448" s="2">
        <v>1297.5300000000007</v>
      </c>
    </row>
    <row r="449" spans="1:7" hidden="1" x14ac:dyDescent="0.3">
      <c r="A449" t="s">
        <v>181</v>
      </c>
      <c r="B449" t="s">
        <v>182</v>
      </c>
      <c r="C449" t="s">
        <v>2</v>
      </c>
      <c r="D449" s="1">
        <v>45838</v>
      </c>
      <c r="E449">
        <v>120</v>
      </c>
      <c r="F449" s="2">
        <v>1398.1799999999985</v>
      </c>
      <c r="G449" s="2">
        <v>1297.5300000000007</v>
      </c>
    </row>
    <row r="450" spans="1:7" hidden="1" x14ac:dyDescent="0.3">
      <c r="A450" t="s">
        <v>183</v>
      </c>
      <c r="B450" t="s">
        <v>184</v>
      </c>
      <c r="C450" t="s">
        <v>2</v>
      </c>
      <c r="D450" s="1">
        <v>45688</v>
      </c>
      <c r="E450">
        <v>151</v>
      </c>
      <c r="F450" s="2">
        <v>2901.9600000000005</v>
      </c>
      <c r="G450" s="2">
        <v>2901.9600000000005</v>
      </c>
    </row>
    <row r="451" spans="1:7" hidden="1" x14ac:dyDescent="0.3">
      <c r="A451" t="s">
        <v>183</v>
      </c>
      <c r="B451" t="s">
        <v>184</v>
      </c>
      <c r="C451" t="s">
        <v>2</v>
      </c>
      <c r="D451" s="1">
        <v>45716</v>
      </c>
      <c r="E451">
        <v>129</v>
      </c>
      <c r="F451" s="2">
        <v>2373.9499999999994</v>
      </c>
      <c r="G451" s="2">
        <v>2373.9499999999994</v>
      </c>
    </row>
    <row r="452" spans="1:7" hidden="1" x14ac:dyDescent="0.3">
      <c r="A452" t="s">
        <v>183</v>
      </c>
      <c r="B452" t="s">
        <v>184</v>
      </c>
      <c r="C452" t="s">
        <v>2</v>
      </c>
      <c r="D452" s="1">
        <v>45747</v>
      </c>
      <c r="E452">
        <v>150.75</v>
      </c>
      <c r="F452" s="2">
        <v>2403.9300000000003</v>
      </c>
      <c r="G452" s="2">
        <v>2403.9300000000003</v>
      </c>
    </row>
    <row r="453" spans="1:7" hidden="1" x14ac:dyDescent="0.3">
      <c r="A453" t="s">
        <v>183</v>
      </c>
      <c r="B453" t="s">
        <v>184</v>
      </c>
      <c r="C453" t="s">
        <v>2</v>
      </c>
      <c r="D453" s="1">
        <v>45777</v>
      </c>
      <c r="E453">
        <v>151.5</v>
      </c>
      <c r="F453" s="2">
        <v>2924.4400000000005</v>
      </c>
      <c r="G453" s="2">
        <v>2924.4400000000005</v>
      </c>
    </row>
    <row r="454" spans="1:7" hidden="1" x14ac:dyDescent="0.3">
      <c r="A454" t="s">
        <v>183</v>
      </c>
      <c r="B454" t="s">
        <v>184</v>
      </c>
      <c r="C454" t="s">
        <v>2</v>
      </c>
      <c r="D454" s="1">
        <v>45808</v>
      </c>
      <c r="E454">
        <v>76.5</v>
      </c>
      <c r="F454" s="2">
        <v>1734.1599999999999</v>
      </c>
      <c r="G454" s="2">
        <v>1734.1599999999999</v>
      </c>
    </row>
    <row r="455" spans="1:7" hidden="1" x14ac:dyDescent="0.3">
      <c r="A455" t="s">
        <v>183</v>
      </c>
      <c r="B455" t="s">
        <v>184</v>
      </c>
      <c r="C455" t="s">
        <v>2</v>
      </c>
      <c r="D455" s="1">
        <v>45838</v>
      </c>
      <c r="E455">
        <v>38.5</v>
      </c>
      <c r="F455" s="2">
        <v>1204.7199999999975</v>
      </c>
      <c r="G455" s="2">
        <v>1734.1599999999999</v>
      </c>
    </row>
    <row r="456" spans="1:7" hidden="1" x14ac:dyDescent="0.3">
      <c r="A456" t="s">
        <v>185</v>
      </c>
      <c r="B456" t="s">
        <v>186</v>
      </c>
      <c r="C456" t="s">
        <v>10</v>
      </c>
      <c r="D456" s="1">
        <v>45688</v>
      </c>
      <c r="E456">
        <v>159</v>
      </c>
      <c r="F456" s="2">
        <v>3329.6299999999997</v>
      </c>
      <c r="G456" s="2">
        <v>3329.6299999999997</v>
      </c>
    </row>
    <row r="457" spans="1:7" hidden="1" x14ac:dyDescent="0.3">
      <c r="A457" t="s">
        <v>185</v>
      </c>
      <c r="B457" t="s">
        <v>186</v>
      </c>
      <c r="C457" t="s">
        <v>10</v>
      </c>
      <c r="D457" s="1">
        <v>45716</v>
      </c>
      <c r="E457">
        <v>152</v>
      </c>
      <c r="F457" s="2">
        <v>2990.7100000000005</v>
      </c>
      <c r="G457" s="2">
        <v>2990.7100000000005</v>
      </c>
    </row>
    <row r="458" spans="1:7" hidden="1" x14ac:dyDescent="0.3">
      <c r="A458" t="s">
        <v>185</v>
      </c>
      <c r="B458" t="s">
        <v>186</v>
      </c>
      <c r="C458" t="s">
        <v>10</v>
      </c>
      <c r="D458" s="1">
        <v>45747</v>
      </c>
      <c r="E458">
        <v>160</v>
      </c>
      <c r="F458" s="2">
        <v>3107.5299999999988</v>
      </c>
      <c r="G458" s="2">
        <v>3107.5299999999988</v>
      </c>
    </row>
    <row r="459" spans="1:7" hidden="1" x14ac:dyDescent="0.3">
      <c r="A459" t="s">
        <v>185</v>
      </c>
      <c r="B459" t="s">
        <v>186</v>
      </c>
      <c r="C459" t="s">
        <v>10</v>
      </c>
      <c r="D459" s="1">
        <v>45777</v>
      </c>
      <c r="E459">
        <v>151.5</v>
      </c>
      <c r="F459" s="2">
        <v>3237.0800000000017</v>
      </c>
      <c r="G459" s="2">
        <v>3237.0800000000017</v>
      </c>
    </row>
    <row r="460" spans="1:7" hidden="1" x14ac:dyDescent="0.3">
      <c r="A460" t="s">
        <v>185</v>
      </c>
      <c r="B460" t="s">
        <v>186</v>
      </c>
      <c r="C460" t="s">
        <v>10</v>
      </c>
      <c r="D460" s="1">
        <v>45808</v>
      </c>
      <c r="E460">
        <v>26.5</v>
      </c>
      <c r="F460" s="2">
        <v>1835.75</v>
      </c>
      <c r="G460" s="2">
        <v>1835.75</v>
      </c>
    </row>
    <row r="461" spans="1:7" hidden="1" x14ac:dyDescent="0.3">
      <c r="A461" t="s">
        <v>185</v>
      </c>
      <c r="B461" t="s">
        <v>186</v>
      </c>
      <c r="C461" t="s">
        <v>10</v>
      </c>
      <c r="D461" s="1">
        <v>45838</v>
      </c>
      <c r="E461">
        <v>152</v>
      </c>
      <c r="F461" s="2">
        <v>4430.0999999999985</v>
      </c>
      <c r="G461" s="2">
        <v>2900.1400000000003</v>
      </c>
    </row>
    <row r="462" spans="1:7" hidden="1" x14ac:dyDescent="0.3">
      <c r="A462" t="s">
        <v>187</v>
      </c>
      <c r="B462" t="s">
        <v>188</v>
      </c>
      <c r="C462" t="s">
        <v>6</v>
      </c>
      <c r="D462" s="1">
        <v>45688</v>
      </c>
      <c r="E462">
        <v>171.5</v>
      </c>
      <c r="F462" s="2">
        <v>4344.76</v>
      </c>
      <c r="G462" s="2">
        <v>4344.76</v>
      </c>
    </row>
    <row r="463" spans="1:7" hidden="1" x14ac:dyDescent="0.3">
      <c r="A463" t="s">
        <v>187</v>
      </c>
      <c r="B463" t="s">
        <v>188</v>
      </c>
      <c r="C463" t="s">
        <v>6</v>
      </c>
      <c r="D463" s="1">
        <v>45716</v>
      </c>
      <c r="E463">
        <v>160.25</v>
      </c>
      <c r="F463" s="2">
        <v>4288.7999999999993</v>
      </c>
      <c r="G463" s="2">
        <v>4288.7999999999993</v>
      </c>
    </row>
    <row r="464" spans="1:7" hidden="1" x14ac:dyDescent="0.3">
      <c r="A464" t="s">
        <v>187</v>
      </c>
      <c r="B464" t="s">
        <v>188</v>
      </c>
      <c r="C464" t="s">
        <v>6</v>
      </c>
      <c r="D464" s="1">
        <v>45747</v>
      </c>
      <c r="E464">
        <v>79.75</v>
      </c>
      <c r="F464" s="2">
        <v>4159.3799999999992</v>
      </c>
      <c r="G464" s="2">
        <v>4159.3799999999992</v>
      </c>
    </row>
    <row r="465" spans="1:7" hidden="1" x14ac:dyDescent="0.3">
      <c r="A465" t="s">
        <v>187</v>
      </c>
      <c r="B465" t="s">
        <v>188</v>
      </c>
      <c r="C465" t="s">
        <v>6</v>
      </c>
      <c r="D465" s="1">
        <v>45777</v>
      </c>
      <c r="E465">
        <v>171.5</v>
      </c>
      <c r="F465" s="2">
        <v>5493.3400000000038</v>
      </c>
      <c r="G465" s="2">
        <v>5493.3400000000038</v>
      </c>
    </row>
    <row r="466" spans="1:7" hidden="1" x14ac:dyDescent="0.3">
      <c r="A466" t="s">
        <v>187</v>
      </c>
      <c r="B466" t="s">
        <v>188</v>
      </c>
      <c r="C466" t="s">
        <v>6</v>
      </c>
      <c r="D466" s="1">
        <v>45808</v>
      </c>
      <c r="E466">
        <v>182.75</v>
      </c>
      <c r="F466" s="2">
        <v>4560.0200000000004</v>
      </c>
      <c r="G466" s="2">
        <v>4560.0200000000004</v>
      </c>
    </row>
    <row r="467" spans="1:7" hidden="1" x14ac:dyDescent="0.3">
      <c r="A467" t="s">
        <v>187</v>
      </c>
      <c r="B467" t="s">
        <v>188</v>
      </c>
      <c r="C467" t="s">
        <v>6</v>
      </c>
      <c r="D467" s="1">
        <v>45838</v>
      </c>
      <c r="E467">
        <v>176.5</v>
      </c>
      <c r="F467" s="2">
        <v>4577.0300000000025</v>
      </c>
      <c r="G467" s="2">
        <v>4569.26</v>
      </c>
    </row>
    <row r="468" spans="1:7" hidden="1" x14ac:dyDescent="0.3">
      <c r="A468" t="s">
        <v>189</v>
      </c>
      <c r="B468" t="s">
        <v>190</v>
      </c>
      <c r="C468" t="s">
        <v>2</v>
      </c>
      <c r="D468" s="1">
        <v>45688</v>
      </c>
      <c r="E468">
        <v>136.5</v>
      </c>
      <c r="F468" s="2">
        <v>2426.13</v>
      </c>
      <c r="G468" s="2">
        <v>2426.13</v>
      </c>
    </row>
    <row r="469" spans="1:7" hidden="1" x14ac:dyDescent="0.3">
      <c r="A469" t="s">
        <v>189</v>
      </c>
      <c r="B469" t="s">
        <v>190</v>
      </c>
      <c r="C469" t="s">
        <v>2</v>
      </c>
      <c r="D469" s="1">
        <v>45716</v>
      </c>
      <c r="E469">
        <v>129</v>
      </c>
      <c r="F469" s="2">
        <v>2370.8399999999992</v>
      </c>
      <c r="G469" s="2">
        <v>2370.8399999999992</v>
      </c>
    </row>
    <row r="470" spans="1:7" hidden="1" x14ac:dyDescent="0.3">
      <c r="A470" t="s">
        <v>189</v>
      </c>
      <c r="B470" t="s">
        <v>190</v>
      </c>
      <c r="C470" t="s">
        <v>2</v>
      </c>
      <c r="D470" s="1">
        <v>45747</v>
      </c>
      <c r="E470">
        <v>146.75</v>
      </c>
      <c r="F470" s="2">
        <v>2552.4800000000005</v>
      </c>
      <c r="G470" s="2">
        <v>2552.4800000000005</v>
      </c>
    </row>
    <row r="471" spans="1:7" hidden="1" x14ac:dyDescent="0.3">
      <c r="A471" t="s">
        <v>189</v>
      </c>
      <c r="B471" t="s">
        <v>190</v>
      </c>
      <c r="C471" t="s">
        <v>2</v>
      </c>
      <c r="D471" s="1">
        <v>45777</v>
      </c>
      <c r="E471">
        <v>147.75</v>
      </c>
      <c r="F471" s="2">
        <v>2613.0500000000002</v>
      </c>
      <c r="G471" s="2">
        <v>2613.0500000000002</v>
      </c>
    </row>
    <row r="472" spans="1:7" hidden="1" x14ac:dyDescent="0.3">
      <c r="A472" t="s">
        <v>189</v>
      </c>
      <c r="B472" t="s">
        <v>190</v>
      </c>
      <c r="C472" t="s">
        <v>2</v>
      </c>
      <c r="D472" s="1">
        <v>45808</v>
      </c>
      <c r="E472">
        <v>140</v>
      </c>
      <c r="F472" s="2">
        <v>2417.4299999999985</v>
      </c>
      <c r="G472" s="2">
        <v>2417.4299999999985</v>
      </c>
    </row>
    <row r="473" spans="1:7" hidden="1" x14ac:dyDescent="0.3">
      <c r="A473" t="s">
        <v>189</v>
      </c>
      <c r="B473" t="s">
        <v>190</v>
      </c>
      <c r="C473" t="s">
        <v>2</v>
      </c>
      <c r="D473" s="1">
        <v>45838</v>
      </c>
      <c r="E473">
        <v>142.5</v>
      </c>
      <c r="F473" s="2">
        <v>2508.8900000000049</v>
      </c>
      <c r="G473" s="2">
        <v>2417.4299999999985</v>
      </c>
    </row>
    <row r="474" spans="1:7" hidden="1" x14ac:dyDescent="0.3">
      <c r="A474" t="s">
        <v>191</v>
      </c>
      <c r="B474" t="s">
        <v>192</v>
      </c>
      <c r="C474" t="s">
        <v>2</v>
      </c>
      <c r="D474" s="1">
        <v>45688</v>
      </c>
      <c r="E474">
        <v>158.75</v>
      </c>
      <c r="F474" s="2">
        <v>3015.3399999999997</v>
      </c>
      <c r="G474" s="2">
        <v>3015.3399999999997</v>
      </c>
    </row>
    <row r="475" spans="1:7" hidden="1" x14ac:dyDescent="0.3">
      <c r="A475" t="s">
        <v>191</v>
      </c>
      <c r="B475" t="s">
        <v>192</v>
      </c>
      <c r="C475" t="s">
        <v>2</v>
      </c>
      <c r="D475" s="1">
        <v>45716</v>
      </c>
      <c r="E475">
        <v>137</v>
      </c>
      <c r="F475" s="2">
        <v>2400.3000000000006</v>
      </c>
      <c r="G475" s="2">
        <v>2400.3000000000006</v>
      </c>
    </row>
    <row r="476" spans="1:7" hidden="1" x14ac:dyDescent="0.3">
      <c r="A476" t="s">
        <v>191</v>
      </c>
      <c r="B476" t="s">
        <v>192</v>
      </c>
      <c r="C476" t="s">
        <v>2</v>
      </c>
      <c r="D476" s="1">
        <v>45747</v>
      </c>
      <c r="E476">
        <v>155.5</v>
      </c>
      <c r="F476" s="2">
        <v>2709.0600000000004</v>
      </c>
      <c r="G476" s="2">
        <v>2709.0600000000004</v>
      </c>
    </row>
    <row r="477" spans="1:7" hidden="1" x14ac:dyDescent="0.3">
      <c r="A477" t="s">
        <v>191</v>
      </c>
      <c r="B477" t="s">
        <v>192</v>
      </c>
      <c r="C477" t="s">
        <v>2</v>
      </c>
      <c r="D477" s="1">
        <v>45777</v>
      </c>
      <c r="E477">
        <v>149</v>
      </c>
      <c r="F477" s="2">
        <v>2780.8999999999996</v>
      </c>
      <c r="G477" s="2">
        <v>2780.8999999999996</v>
      </c>
    </row>
    <row r="478" spans="1:7" hidden="1" x14ac:dyDescent="0.3">
      <c r="A478" t="s">
        <v>191</v>
      </c>
      <c r="B478" t="s">
        <v>192</v>
      </c>
      <c r="C478" t="s">
        <v>2</v>
      </c>
      <c r="D478" s="1">
        <v>45808</v>
      </c>
      <c r="E478">
        <v>140</v>
      </c>
      <c r="F478" s="2">
        <v>2604.3000000000029</v>
      </c>
      <c r="G478" s="2">
        <v>2604.3000000000029</v>
      </c>
    </row>
    <row r="479" spans="1:7" hidden="1" x14ac:dyDescent="0.3">
      <c r="A479" t="s">
        <v>191</v>
      </c>
      <c r="B479" t="s">
        <v>192</v>
      </c>
      <c r="C479" t="s">
        <v>2</v>
      </c>
      <c r="D479" s="1">
        <v>45838</v>
      </c>
      <c r="E479">
        <v>157.25</v>
      </c>
      <c r="F479" s="2">
        <v>2743.8499999999913</v>
      </c>
      <c r="G479" s="2">
        <v>2604.3000000000029</v>
      </c>
    </row>
    <row r="480" spans="1:7" hidden="1" x14ac:dyDescent="0.3">
      <c r="A480" t="s">
        <v>193</v>
      </c>
      <c r="B480" t="s">
        <v>194</v>
      </c>
      <c r="C480" t="s">
        <v>7</v>
      </c>
      <c r="D480" s="1">
        <v>45688</v>
      </c>
      <c r="E480">
        <v>113.5</v>
      </c>
      <c r="F480" s="2">
        <v>2186.0100000000002</v>
      </c>
      <c r="G480" s="2">
        <v>0</v>
      </c>
    </row>
    <row r="481" spans="1:7" hidden="1" x14ac:dyDescent="0.3">
      <c r="A481" t="s">
        <v>193</v>
      </c>
      <c r="B481" t="s">
        <v>194</v>
      </c>
      <c r="C481" t="s">
        <v>7</v>
      </c>
      <c r="D481" s="1">
        <v>45716</v>
      </c>
      <c r="E481">
        <v>84</v>
      </c>
      <c r="F481" s="2">
        <v>2005.9699999999993</v>
      </c>
      <c r="G481" s="2">
        <v>0</v>
      </c>
    </row>
    <row r="482" spans="1:7" hidden="1" x14ac:dyDescent="0.3">
      <c r="A482" t="s">
        <v>193</v>
      </c>
      <c r="B482" t="s">
        <v>194</v>
      </c>
      <c r="C482" t="s">
        <v>7</v>
      </c>
      <c r="D482" s="1">
        <v>45747</v>
      </c>
      <c r="E482">
        <v>103.5</v>
      </c>
      <c r="F482" s="2">
        <v>1968.67</v>
      </c>
      <c r="G482" s="2">
        <v>0</v>
      </c>
    </row>
    <row r="483" spans="1:7" hidden="1" x14ac:dyDescent="0.3">
      <c r="A483" t="s">
        <v>193</v>
      </c>
      <c r="B483" t="s">
        <v>194</v>
      </c>
      <c r="C483" t="s">
        <v>7</v>
      </c>
      <c r="D483" s="1">
        <v>45777</v>
      </c>
      <c r="E483">
        <v>127.25</v>
      </c>
      <c r="F483" s="2">
        <v>2253.4500000000007</v>
      </c>
      <c r="G483" s="2">
        <v>0</v>
      </c>
    </row>
    <row r="484" spans="1:7" hidden="1" x14ac:dyDescent="0.3">
      <c r="A484" t="s">
        <v>193</v>
      </c>
      <c r="B484" t="s">
        <v>194</v>
      </c>
      <c r="C484" t="s">
        <v>7</v>
      </c>
      <c r="D484" s="1">
        <v>45808</v>
      </c>
      <c r="E484">
        <v>-428.25</v>
      </c>
      <c r="F484" s="2">
        <v>-8414.1</v>
      </c>
      <c r="G484" s="2">
        <v>0</v>
      </c>
    </row>
    <row r="485" spans="1:7" hidden="1" x14ac:dyDescent="0.3">
      <c r="A485" t="s">
        <v>195</v>
      </c>
      <c r="B485" t="s">
        <v>196</v>
      </c>
      <c r="C485" t="s">
        <v>8</v>
      </c>
      <c r="D485" s="1">
        <v>45688</v>
      </c>
      <c r="E485">
        <v>133.75</v>
      </c>
      <c r="F485" s="2">
        <v>3963.75</v>
      </c>
      <c r="G485" s="2">
        <v>3963.75</v>
      </c>
    </row>
    <row r="486" spans="1:7" hidden="1" x14ac:dyDescent="0.3">
      <c r="A486" t="s">
        <v>195</v>
      </c>
      <c r="B486" t="s">
        <v>196</v>
      </c>
      <c r="C486" t="s">
        <v>8</v>
      </c>
      <c r="D486" s="1">
        <v>45716</v>
      </c>
      <c r="E486">
        <v>106.5</v>
      </c>
      <c r="F486" s="2">
        <v>4488.4400000000005</v>
      </c>
      <c r="G486" s="2">
        <v>4488.4400000000005</v>
      </c>
    </row>
    <row r="487" spans="1:7" hidden="1" x14ac:dyDescent="0.3">
      <c r="A487" t="s">
        <v>195</v>
      </c>
      <c r="B487" t="s">
        <v>196</v>
      </c>
      <c r="C487" t="s">
        <v>8</v>
      </c>
      <c r="D487" s="1">
        <v>45747</v>
      </c>
      <c r="E487">
        <v>158.5</v>
      </c>
      <c r="F487" s="2">
        <v>4493.6399999999994</v>
      </c>
      <c r="G487" s="2">
        <v>4493.6399999999994</v>
      </c>
    </row>
    <row r="488" spans="1:7" hidden="1" x14ac:dyDescent="0.3">
      <c r="A488" t="s">
        <v>195</v>
      </c>
      <c r="B488" t="s">
        <v>196</v>
      </c>
      <c r="C488" t="s">
        <v>8</v>
      </c>
      <c r="D488" s="1">
        <v>45777</v>
      </c>
      <c r="E488">
        <v>129</v>
      </c>
      <c r="F488" s="2">
        <v>4000.159999999998</v>
      </c>
      <c r="G488" s="2">
        <v>4000.159999999998</v>
      </c>
    </row>
    <row r="489" spans="1:7" hidden="1" x14ac:dyDescent="0.3">
      <c r="A489" t="s">
        <v>195</v>
      </c>
      <c r="B489" t="s">
        <v>196</v>
      </c>
      <c r="C489" t="s">
        <v>8</v>
      </c>
      <c r="D489" s="1">
        <v>45808</v>
      </c>
      <c r="E489">
        <v>157.5</v>
      </c>
      <c r="F489" s="2">
        <v>4544.7000000000007</v>
      </c>
      <c r="G489" s="2">
        <v>4544.7000000000007</v>
      </c>
    </row>
    <row r="490" spans="1:7" hidden="1" x14ac:dyDescent="0.3">
      <c r="A490" t="s">
        <v>195</v>
      </c>
      <c r="B490" t="s">
        <v>196</v>
      </c>
      <c r="C490" t="s">
        <v>8</v>
      </c>
      <c r="D490" s="1">
        <v>45838</v>
      </c>
      <c r="E490">
        <v>150.75</v>
      </c>
      <c r="F490" s="2">
        <v>4479.5799999999981</v>
      </c>
      <c r="G490" s="2">
        <v>4298.1379999999999</v>
      </c>
    </row>
    <row r="491" spans="1:7" hidden="1" x14ac:dyDescent="0.3">
      <c r="A491" t="s">
        <v>197</v>
      </c>
      <c r="B491" t="s">
        <v>198</v>
      </c>
      <c r="C491" t="s">
        <v>3</v>
      </c>
      <c r="D491" s="1">
        <v>45688</v>
      </c>
      <c r="E491">
        <v>107</v>
      </c>
      <c r="F491" s="2">
        <v>649.4</v>
      </c>
      <c r="G491" s="2">
        <v>649.4</v>
      </c>
    </row>
    <row r="492" spans="1:7" hidden="1" x14ac:dyDescent="0.3">
      <c r="A492" t="s">
        <v>197</v>
      </c>
      <c r="B492" t="s">
        <v>198</v>
      </c>
      <c r="C492" t="s">
        <v>3</v>
      </c>
      <c r="D492" s="1">
        <v>45716</v>
      </c>
      <c r="E492">
        <v>96</v>
      </c>
      <c r="F492" s="2">
        <v>563.5200000000001</v>
      </c>
      <c r="G492" s="2">
        <v>563.5200000000001</v>
      </c>
    </row>
    <row r="493" spans="1:7" hidden="1" x14ac:dyDescent="0.3">
      <c r="A493" t="s">
        <v>197</v>
      </c>
      <c r="B493" t="s">
        <v>198</v>
      </c>
      <c r="C493" t="s">
        <v>3</v>
      </c>
      <c r="D493" s="1">
        <v>45747</v>
      </c>
      <c r="E493">
        <v>95.75</v>
      </c>
      <c r="F493" s="2">
        <v>524.58000000000038</v>
      </c>
      <c r="G493" s="2">
        <v>524.58000000000038</v>
      </c>
    </row>
    <row r="494" spans="1:7" hidden="1" x14ac:dyDescent="0.3">
      <c r="A494" t="s">
        <v>197</v>
      </c>
      <c r="B494" t="s">
        <v>198</v>
      </c>
      <c r="C494" t="s">
        <v>3</v>
      </c>
      <c r="D494" s="1">
        <v>45777</v>
      </c>
      <c r="E494">
        <v>100.5</v>
      </c>
      <c r="F494" s="2">
        <v>632.61999999999989</v>
      </c>
      <c r="G494" s="2">
        <v>632.61999999999989</v>
      </c>
    </row>
    <row r="495" spans="1:7" hidden="1" x14ac:dyDescent="0.3">
      <c r="A495" t="s">
        <v>197</v>
      </c>
      <c r="B495" t="s">
        <v>198</v>
      </c>
      <c r="C495" t="s">
        <v>3</v>
      </c>
      <c r="D495" s="1">
        <v>45808</v>
      </c>
      <c r="E495">
        <v>96</v>
      </c>
      <c r="F495" s="2">
        <v>567.99999999999955</v>
      </c>
      <c r="G495" s="2">
        <v>567.99999999999955</v>
      </c>
    </row>
    <row r="496" spans="1:7" hidden="1" x14ac:dyDescent="0.3">
      <c r="A496" t="s">
        <v>197</v>
      </c>
      <c r="B496" t="s">
        <v>198</v>
      </c>
      <c r="C496" t="s">
        <v>3</v>
      </c>
      <c r="D496" s="1">
        <v>45838</v>
      </c>
      <c r="E496">
        <v>102</v>
      </c>
      <c r="F496" s="2">
        <v>456.95000000000027</v>
      </c>
      <c r="G496" s="2">
        <v>567.99999999999955</v>
      </c>
    </row>
    <row r="497" spans="1:7" hidden="1" x14ac:dyDescent="0.3">
      <c r="A497" t="s">
        <v>199</v>
      </c>
      <c r="B497" t="s">
        <v>200</v>
      </c>
      <c r="C497" t="s">
        <v>8</v>
      </c>
      <c r="D497" s="1">
        <v>45688</v>
      </c>
      <c r="E497">
        <v>78.5</v>
      </c>
      <c r="F497" s="2">
        <v>1645.75</v>
      </c>
      <c r="G497" s="2">
        <v>1645.75</v>
      </c>
    </row>
    <row r="498" spans="1:7" hidden="1" x14ac:dyDescent="0.3">
      <c r="A498" t="s">
        <v>199</v>
      </c>
      <c r="B498" t="s">
        <v>200</v>
      </c>
      <c r="C498" t="s">
        <v>8</v>
      </c>
      <c r="D498" s="1">
        <v>45716</v>
      </c>
      <c r="E498">
        <v>90.25</v>
      </c>
      <c r="F498" s="2">
        <v>1530.7399999999998</v>
      </c>
      <c r="G498" s="2">
        <v>1530.7399999999998</v>
      </c>
    </row>
    <row r="499" spans="1:7" hidden="1" x14ac:dyDescent="0.3">
      <c r="A499" t="s">
        <v>199</v>
      </c>
      <c r="B499" t="s">
        <v>200</v>
      </c>
      <c r="C499" t="s">
        <v>8</v>
      </c>
      <c r="D499" s="1">
        <v>45747</v>
      </c>
      <c r="E499">
        <v>51.25</v>
      </c>
      <c r="F499" s="2">
        <v>1006.1400000000003</v>
      </c>
      <c r="G499" s="2">
        <v>1006.1400000000003</v>
      </c>
    </row>
    <row r="500" spans="1:7" hidden="1" x14ac:dyDescent="0.3">
      <c r="A500" t="s">
        <v>199</v>
      </c>
      <c r="B500" t="s">
        <v>200</v>
      </c>
      <c r="C500" t="s">
        <v>8</v>
      </c>
      <c r="D500" s="1">
        <v>45777</v>
      </c>
      <c r="E500">
        <v>103.25</v>
      </c>
      <c r="F500" s="2">
        <v>1941.8000000000002</v>
      </c>
      <c r="G500" s="2">
        <v>1941.8000000000002</v>
      </c>
    </row>
    <row r="501" spans="1:7" hidden="1" x14ac:dyDescent="0.3">
      <c r="A501" t="s">
        <v>199</v>
      </c>
      <c r="B501" t="s">
        <v>200</v>
      </c>
      <c r="C501" t="s">
        <v>8</v>
      </c>
      <c r="D501" s="1">
        <v>45808</v>
      </c>
      <c r="E501">
        <v>112</v>
      </c>
      <c r="F501" s="2">
        <v>1772.7399999999998</v>
      </c>
      <c r="G501" s="2">
        <v>1772.7399999999998</v>
      </c>
    </row>
    <row r="502" spans="1:7" hidden="1" x14ac:dyDescent="0.3">
      <c r="A502" t="s">
        <v>199</v>
      </c>
      <c r="B502" t="s">
        <v>200</v>
      </c>
      <c r="C502" t="s">
        <v>8</v>
      </c>
      <c r="D502" s="1">
        <v>45838</v>
      </c>
      <c r="E502">
        <v>41.75</v>
      </c>
      <c r="F502" s="2">
        <v>464.07999999999993</v>
      </c>
      <c r="G502" s="2">
        <v>0</v>
      </c>
    </row>
    <row r="503" spans="1:7" x14ac:dyDescent="0.3">
      <c r="A503" t="s">
        <v>201</v>
      </c>
      <c r="B503" t="s">
        <v>202</v>
      </c>
      <c r="C503" t="s">
        <v>12</v>
      </c>
      <c r="D503" s="1">
        <v>45688</v>
      </c>
      <c r="E503">
        <v>144</v>
      </c>
      <c r="F503" s="2">
        <v>5524.15</v>
      </c>
      <c r="G503" s="2">
        <v>5524.15</v>
      </c>
    </row>
    <row r="504" spans="1:7" x14ac:dyDescent="0.3">
      <c r="A504" t="s">
        <v>201</v>
      </c>
      <c r="B504" t="s">
        <v>202</v>
      </c>
      <c r="C504" t="s">
        <v>12</v>
      </c>
      <c r="D504" s="1">
        <v>45716</v>
      </c>
      <c r="E504">
        <v>152</v>
      </c>
      <c r="F504" s="2">
        <v>5990.85</v>
      </c>
      <c r="G504" s="2">
        <v>5990.85</v>
      </c>
    </row>
    <row r="505" spans="1:7" x14ac:dyDescent="0.3">
      <c r="A505" t="s">
        <v>201</v>
      </c>
      <c r="B505" t="s">
        <v>202</v>
      </c>
      <c r="C505" t="s">
        <v>12</v>
      </c>
      <c r="D505" s="1">
        <v>45747</v>
      </c>
      <c r="E505">
        <v>145</v>
      </c>
      <c r="F505" s="2">
        <v>5523.8799999999974</v>
      </c>
      <c r="G505" s="2">
        <v>5523.8799999999974</v>
      </c>
    </row>
    <row r="506" spans="1:7" x14ac:dyDescent="0.3">
      <c r="A506" t="s">
        <v>201</v>
      </c>
      <c r="B506" t="s">
        <v>202</v>
      </c>
      <c r="C506" t="s">
        <v>12</v>
      </c>
      <c r="D506" s="1">
        <v>45777</v>
      </c>
      <c r="E506">
        <v>144</v>
      </c>
      <c r="F506" s="2">
        <v>9980.130000000001</v>
      </c>
      <c r="G506" s="2">
        <v>9980.130000000001</v>
      </c>
    </row>
    <row r="507" spans="1:7" x14ac:dyDescent="0.3">
      <c r="A507" t="s">
        <v>201</v>
      </c>
      <c r="B507" t="s">
        <v>202</v>
      </c>
      <c r="C507" t="s">
        <v>12</v>
      </c>
      <c r="D507" s="1">
        <v>45808</v>
      </c>
      <c r="E507">
        <v>159.5</v>
      </c>
      <c r="F507" s="2">
        <v>6003.2400000000016</v>
      </c>
      <c r="G507" s="2">
        <v>6003.2400000000016</v>
      </c>
    </row>
    <row r="508" spans="1:7" x14ac:dyDescent="0.3">
      <c r="A508" t="s">
        <v>201</v>
      </c>
      <c r="B508" t="s">
        <v>202</v>
      </c>
      <c r="C508" t="s">
        <v>12</v>
      </c>
      <c r="D508" s="1">
        <v>45838</v>
      </c>
      <c r="E508">
        <v>129.5</v>
      </c>
      <c r="F508" s="2">
        <v>5705.4199999999983</v>
      </c>
      <c r="G508" s="2">
        <v>6604.45</v>
      </c>
    </row>
    <row r="509" spans="1:7" hidden="1" x14ac:dyDescent="0.3">
      <c r="A509" t="s">
        <v>203</v>
      </c>
      <c r="B509" t="s">
        <v>204</v>
      </c>
      <c r="C509" t="s">
        <v>3</v>
      </c>
      <c r="D509" s="1">
        <v>45688</v>
      </c>
      <c r="E509">
        <v>121.5</v>
      </c>
      <c r="F509" s="2">
        <v>2935.53</v>
      </c>
      <c r="G509" s="2">
        <v>2935.53</v>
      </c>
    </row>
    <row r="510" spans="1:7" hidden="1" x14ac:dyDescent="0.3">
      <c r="A510" t="s">
        <v>203</v>
      </c>
      <c r="B510" t="s">
        <v>204</v>
      </c>
      <c r="C510" t="s">
        <v>3</v>
      </c>
      <c r="D510" s="1">
        <v>45716</v>
      </c>
      <c r="E510">
        <v>150.75</v>
      </c>
      <c r="F510" s="2">
        <v>2593.1599999999994</v>
      </c>
      <c r="G510" s="2">
        <v>2593.1599999999994</v>
      </c>
    </row>
    <row r="511" spans="1:7" hidden="1" x14ac:dyDescent="0.3">
      <c r="A511" t="s">
        <v>203</v>
      </c>
      <c r="B511" t="s">
        <v>204</v>
      </c>
      <c r="C511" t="s">
        <v>3</v>
      </c>
      <c r="D511" s="1">
        <v>45747</v>
      </c>
      <c r="E511">
        <v>155.75</v>
      </c>
      <c r="F511" s="2">
        <v>2649.3099999999995</v>
      </c>
      <c r="G511" s="2">
        <v>2649.3099999999995</v>
      </c>
    </row>
    <row r="512" spans="1:7" hidden="1" x14ac:dyDescent="0.3">
      <c r="A512" t="s">
        <v>203</v>
      </c>
      <c r="B512" t="s">
        <v>204</v>
      </c>
      <c r="C512" t="s">
        <v>3</v>
      </c>
      <c r="D512" s="1">
        <v>45777</v>
      </c>
      <c r="E512">
        <v>151.5</v>
      </c>
      <c r="F512" s="2">
        <v>2852.5900000000011</v>
      </c>
      <c r="G512" s="2">
        <v>2852.5900000000011</v>
      </c>
    </row>
    <row r="513" spans="1:7" hidden="1" x14ac:dyDescent="0.3">
      <c r="A513" t="s">
        <v>203</v>
      </c>
      <c r="B513" t="s">
        <v>204</v>
      </c>
      <c r="C513" t="s">
        <v>3</v>
      </c>
      <c r="D513" s="1">
        <v>45808</v>
      </c>
      <c r="E513">
        <v>133.75</v>
      </c>
      <c r="F513" s="2">
        <v>2617.8199999999997</v>
      </c>
      <c r="G513" s="2">
        <v>2617.8199999999997</v>
      </c>
    </row>
    <row r="514" spans="1:7" hidden="1" x14ac:dyDescent="0.3">
      <c r="A514" t="s">
        <v>203</v>
      </c>
      <c r="B514" t="s">
        <v>204</v>
      </c>
      <c r="C514" t="s">
        <v>3</v>
      </c>
      <c r="D514" s="1">
        <v>45838</v>
      </c>
      <c r="E514">
        <v>68.5</v>
      </c>
      <c r="F514" s="2">
        <v>1631.1500000000015</v>
      </c>
      <c r="G514" s="2">
        <v>2617.8199999999997</v>
      </c>
    </row>
    <row r="515" spans="1:7" hidden="1" x14ac:dyDescent="0.3">
      <c r="A515" t="s">
        <v>205</v>
      </c>
      <c r="B515" t="s">
        <v>206</v>
      </c>
      <c r="C515" t="s">
        <v>2</v>
      </c>
      <c r="D515" s="1">
        <v>45688</v>
      </c>
      <c r="E515">
        <v>144</v>
      </c>
      <c r="F515" s="2">
        <v>2380.2399999999998</v>
      </c>
      <c r="G515" s="2">
        <v>2380.2399999999998</v>
      </c>
    </row>
    <row r="516" spans="1:7" hidden="1" x14ac:dyDescent="0.3">
      <c r="A516" t="s">
        <v>205</v>
      </c>
      <c r="B516" t="s">
        <v>206</v>
      </c>
      <c r="C516" t="s">
        <v>2</v>
      </c>
      <c r="D516" s="1">
        <v>45716</v>
      </c>
      <c r="E516">
        <v>152</v>
      </c>
      <c r="F516" s="2">
        <v>2345.0199999999995</v>
      </c>
      <c r="G516" s="2">
        <v>2345.0199999999995</v>
      </c>
    </row>
    <row r="517" spans="1:7" hidden="1" x14ac:dyDescent="0.3">
      <c r="A517" t="s">
        <v>205</v>
      </c>
      <c r="B517" t="s">
        <v>206</v>
      </c>
      <c r="C517" t="s">
        <v>2</v>
      </c>
      <c r="D517" s="1">
        <v>45747</v>
      </c>
      <c r="E517">
        <v>156</v>
      </c>
      <c r="F517" s="2">
        <v>2373.3400000000011</v>
      </c>
      <c r="G517" s="2">
        <v>2373.3400000000011</v>
      </c>
    </row>
    <row r="518" spans="1:7" hidden="1" x14ac:dyDescent="0.3">
      <c r="A518" t="s">
        <v>205</v>
      </c>
      <c r="B518" t="s">
        <v>206</v>
      </c>
      <c r="C518" t="s">
        <v>2</v>
      </c>
      <c r="D518" s="1">
        <v>45777</v>
      </c>
      <c r="E518">
        <v>120</v>
      </c>
      <c r="F518" s="2">
        <v>2087.9599999999991</v>
      </c>
      <c r="G518" s="2">
        <v>2087.9599999999991</v>
      </c>
    </row>
    <row r="519" spans="1:7" hidden="1" x14ac:dyDescent="0.3">
      <c r="A519" t="s">
        <v>205</v>
      </c>
      <c r="B519" t="s">
        <v>206</v>
      </c>
      <c r="C519" t="s">
        <v>2</v>
      </c>
      <c r="D519" s="1">
        <v>45808</v>
      </c>
      <c r="E519">
        <v>137</v>
      </c>
      <c r="F519" s="2">
        <v>2283.4899999999998</v>
      </c>
      <c r="G519" s="2">
        <v>2283.4899999999998</v>
      </c>
    </row>
    <row r="520" spans="1:7" hidden="1" x14ac:dyDescent="0.3">
      <c r="A520" t="s">
        <v>205</v>
      </c>
      <c r="B520" t="s">
        <v>206</v>
      </c>
      <c r="C520" t="s">
        <v>2</v>
      </c>
      <c r="D520" s="1">
        <v>45838</v>
      </c>
      <c r="E520">
        <v>144.5</v>
      </c>
      <c r="F520" s="2">
        <v>2310.7899999999991</v>
      </c>
      <c r="G520" s="2">
        <v>2283.4899999999998</v>
      </c>
    </row>
    <row r="521" spans="1:7" x14ac:dyDescent="0.3">
      <c r="A521" t="s">
        <v>207</v>
      </c>
      <c r="B521" t="s">
        <v>208</v>
      </c>
      <c r="C521" t="s">
        <v>12</v>
      </c>
      <c r="D521" s="1">
        <v>45688</v>
      </c>
      <c r="E521">
        <v>71.5</v>
      </c>
      <c r="F521" s="2">
        <v>1071.1099999999997</v>
      </c>
      <c r="G521" s="2">
        <v>1071.1099999999997</v>
      </c>
    </row>
    <row r="522" spans="1:7" x14ac:dyDescent="0.3">
      <c r="A522" t="s">
        <v>207</v>
      </c>
      <c r="B522" t="s">
        <v>208</v>
      </c>
      <c r="C522" t="s">
        <v>12</v>
      </c>
      <c r="D522" s="1">
        <v>45716</v>
      </c>
      <c r="E522">
        <v>75.5</v>
      </c>
      <c r="F522" s="2">
        <v>1159.7599999999998</v>
      </c>
      <c r="G522" s="2">
        <v>1159.7599999999998</v>
      </c>
    </row>
    <row r="523" spans="1:7" x14ac:dyDescent="0.3">
      <c r="A523" t="s">
        <v>207</v>
      </c>
      <c r="B523" t="s">
        <v>208</v>
      </c>
      <c r="C523" t="s">
        <v>12</v>
      </c>
      <c r="D523" s="1">
        <v>45747</v>
      </c>
      <c r="E523">
        <v>76</v>
      </c>
      <c r="F523" s="2">
        <v>1221.4300000000007</v>
      </c>
      <c r="G523" s="2">
        <v>1221.4300000000007</v>
      </c>
    </row>
    <row r="524" spans="1:7" x14ac:dyDescent="0.3">
      <c r="A524" t="s">
        <v>207</v>
      </c>
      <c r="B524" t="s">
        <v>208</v>
      </c>
      <c r="C524" t="s">
        <v>12</v>
      </c>
      <c r="D524" s="1">
        <v>45777</v>
      </c>
      <c r="E524">
        <v>70.5</v>
      </c>
      <c r="F524" s="2">
        <v>601.39999999999918</v>
      </c>
      <c r="G524" s="2">
        <v>601.39999999999918</v>
      </c>
    </row>
    <row r="525" spans="1:7" x14ac:dyDescent="0.3">
      <c r="A525" t="s">
        <v>207</v>
      </c>
      <c r="B525" t="s">
        <v>208</v>
      </c>
      <c r="C525" t="s">
        <v>12</v>
      </c>
      <c r="D525" s="1">
        <v>45808</v>
      </c>
      <c r="E525">
        <v>59.25</v>
      </c>
      <c r="F525" s="2">
        <v>484.70000000000118</v>
      </c>
      <c r="G525" s="2">
        <v>484.70000000000118</v>
      </c>
    </row>
    <row r="526" spans="1:7" x14ac:dyDescent="0.3">
      <c r="A526" t="s">
        <v>207</v>
      </c>
      <c r="B526" t="s">
        <v>208</v>
      </c>
      <c r="C526" t="s">
        <v>12</v>
      </c>
      <c r="D526" s="1">
        <v>45838</v>
      </c>
      <c r="E526">
        <v>35</v>
      </c>
      <c r="F526" s="2">
        <v>232.36999999999898</v>
      </c>
      <c r="G526" s="2">
        <v>2899.5999999999995</v>
      </c>
    </row>
    <row r="527" spans="1:7" hidden="1" x14ac:dyDescent="0.3">
      <c r="A527" t="s">
        <v>209</v>
      </c>
      <c r="B527" t="s">
        <v>210</v>
      </c>
      <c r="C527" t="s">
        <v>2</v>
      </c>
      <c r="D527" s="1">
        <v>45688</v>
      </c>
      <c r="E527">
        <v>114</v>
      </c>
      <c r="F527" s="2">
        <v>1855.32</v>
      </c>
      <c r="G527" s="2">
        <v>1855.32</v>
      </c>
    </row>
    <row r="528" spans="1:7" hidden="1" x14ac:dyDescent="0.3">
      <c r="A528" t="s">
        <v>209</v>
      </c>
      <c r="B528" t="s">
        <v>210</v>
      </c>
      <c r="C528" t="s">
        <v>2</v>
      </c>
      <c r="D528" s="1">
        <v>45716</v>
      </c>
      <c r="E528">
        <v>102</v>
      </c>
      <c r="F528" s="2">
        <v>1820.4400000000003</v>
      </c>
      <c r="G528" s="2">
        <v>1820.4400000000003</v>
      </c>
    </row>
    <row r="529" spans="1:7" hidden="1" x14ac:dyDescent="0.3">
      <c r="A529" t="s">
        <v>209</v>
      </c>
      <c r="B529" t="s">
        <v>210</v>
      </c>
      <c r="C529" t="s">
        <v>2</v>
      </c>
      <c r="D529" s="1">
        <v>45747</v>
      </c>
      <c r="E529">
        <v>118.5</v>
      </c>
      <c r="F529" s="2">
        <v>1833.7799999999997</v>
      </c>
      <c r="G529" s="2">
        <v>1833.7799999999997</v>
      </c>
    </row>
    <row r="530" spans="1:7" hidden="1" x14ac:dyDescent="0.3">
      <c r="A530" t="s">
        <v>209</v>
      </c>
      <c r="B530" t="s">
        <v>210</v>
      </c>
      <c r="C530" t="s">
        <v>2</v>
      </c>
      <c r="D530" s="1">
        <v>45777</v>
      </c>
      <c r="E530">
        <v>54</v>
      </c>
      <c r="F530" s="2">
        <v>1421.6000000000004</v>
      </c>
      <c r="G530" s="2">
        <v>1421.6000000000004</v>
      </c>
    </row>
    <row r="531" spans="1:7" hidden="1" x14ac:dyDescent="0.3">
      <c r="A531" t="s">
        <v>209</v>
      </c>
      <c r="B531" t="s">
        <v>210</v>
      </c>
      <c r="C531" t="s">
        <v>2</v>
      </c>
      <c r="D531" s="1">
        <v>45808</v>
      </c>
      <c r="E531">
        <v>114</v>
      </c>
      <c r="F531" s="2">
        <v>1803.8400000000011</v>
      </c>
      <c r="G531" s="2">
        <v>1803.8400000000011</v>
      </c>
    </row>
    <row r="532" spans="1:7" hidden="1" x14ac:dyDescent="0.3">
      <c r="A532" t="s">
        <v>209</v>
      </c>
      <c r="B532" t="s">
        <v>210</v>
      </c>
      <c r="C532" t="s">
        <v>2</v>
      </c>
      <c r="D532" s="1">
        <v>45838</v>
      </c>
      <c r="E532">
        <v>120</v>
      </c>
      <c r="F532" s="2">
        <v>1843.0999999999967</v>
      </c>
      <c r="G532" s="2">
        <v>1803.8400000000011</v>
      </c>
    </row>
    <row r="533" spans="1:7" hidden="1" x14ac:dyDescent="0.3">
      <c r="A533" t="s">
        <v>211</v>
      </c>
      <c r="B533" t="s">
        <v>212</v>
      </c>
      <c r="C533" t="s">
        <v>9</v>
      </c>
      <c r="D533" s="1">
        <v>45688</v>
      </c>
      <c r="E533">
        <v>144</v>
      </c>
      <c r="F533" s="2">
        <v>6092.07</v>
      </c>
      <c r="G533" s="2">
        <v>6092.07</v>
      </c>
    </row>
    <row r="534" spans="1:7" hidden="1" x14ac:dyDescent="0.3">
      <c r="A534" t="s">
        <v>211</v>
      </c>
      <c r="B534" t="s">
        <v>212</v>
      </c>
      <c r="C534" t="s">
        <v>9</v>
      </c>
      <c r="D534" s="1">
        <v>45716</v>
      </c>
      <c r="E534">
        <v>152</v>
      </c>
      <c r="F534" s="2">
        <v>4117.82</v>
      </c>
      <c r="G534" s="2">
        <v>4117.82</v>
      </c>
    </row>
    <row r="535" spans="1:7" hidden="1" x14ac:dyDescent="0.3">
      <c r="A535" t="s">
        <v>211</v>
      </c>
      <c r="B535" t="s">
        <v>212</v>
      </c>
      <c r="C535" t="s">
        <v>9</v>
      </c>
      <c r="D535" s="1">
        <v>45747</v>
      </c>
      <c r="E535">
        <v>160</v>
      </c>
      <c r="F535" s="2">
        <v>4246.26</v>
      </c>
      <c r="G535" s="2">
        <v>4246.26</v>
      </c>
    </row>
    <row r="536" spans="1:7" hidden="1" x14ac:dyDescent="0.3">
      <c r="A536" t="s">
        <v>211</v>
      </c>
      <c r="B536" t="s">
        <v>212</v>
      </c>
      <c r="C536" t="s">
        <v>9</v>
      </c>
      <c r="D536" s="1">
        <v>45777</v>
      </c>
      <c r="E536">
        <v>105.5</v>
      </c>
      <c r="F536" s="2">
        <v>3270.3999999999996</v>
      </c>
      <c r="G536" s="2">
        <v>3270.3999999999996</v>
      </c>
    </row>
    <row r="537" spans="1:7" hidden="1" x14ac:dyDescent="0.3">
      <c r="A537" t="s">
        <v>211</v>
      </c>
      <c r="B537" t="s">
        <v>212</v>
      </c>
      <c r="C537" t="s">
        <v>9</v>
      </c>
      <c r="D537" s="1">
        <v>45808</v>
      </c>
      <c r="E537">
        <v>142.5</v>
      </c>
      <c r="F537" s="2">
        <v>3976.380000000001</v>
      </c>
      <c r="G537" s="2">
        <v>3976.380000000001</v>
      </c>
    </row>
    <row r="538" spans="1:7" hidden="1" x14ac:dyDescent="0.3">
      <c r="A538" t="s">
        <v>211</v>
      </c>
      <c r="B538" t="s">
        <v>212</v>
      </c>
      <c r="C538" t="s">
        <v>9</v>
      </c>
      <c r="D538" s="1">
        <v>45838</v>
      </c>
      <c r="E538">
        <v>175.75</v>
      </c>
      <c r="F538" s="2">
        <v>4894.8600000000006</v>
      </c>
      <c r="G538" s="2">
        <v>4340.5860000000002</v>
      </c>
    </row>
    <row r="539" spans="1:7" hidden="1" x14ac:dyDescent="0.3">
      <c r="A539" t="s">
        <v>213</v>
      </c>
      <c r="B539" t="s">
        <v>214</v>
      </c>
      <c r="C539" t="s">
        <v>8</v>
      </c>
      <c r="D539" s="1">
        <v>45688</v>
      </c>
      <c r="E539">
        <v>151.5</v>
      </c>
      <c r="F539" s="2">
        <v>3835.47</v>
      </c>
      <c r="G539" s="2">
        <v>3835.47</v>
      </c>
    </row>
    <row r="540" spans="1:7" hidden="1" x14ac:dyDescent="0.3">
      <c r="A540" t="s">
        <v>213</v>
      </c>
      <c r="B540" t="s">
        <v>214</v>
      </c>
      <c r="C540" t="s">
        <v>8</v>
      </c>
      <c r="D540" s="1">
        <v>45716</v>
      </c>
      <c r="E540">
        <v>140.5</v>
      </c>
      <c r="F540" s="2">
        <v>2835.1300000000006</v>
      </c>
      <c r="G540" s="2">
        <v>2835.1300000000006</v>
      </c>
    </row>
    <row r="541" spans="1:7" hidden="1" x14ac:dyDescent="0.3">
      <c r="A541" t="s">
        <v>213</v>
      </c>
      <c r="B541" t="s">
        <v>214</v>
      </c>
      <c r="C541" t="s">
        <v>8</v>
      </c>
      <c r="D541" s="1">
        <v>45747</v>
      </c>
      <c r="E541">
        <v>81</v>
      </c>
      <c r="F541" s="2">
        <v>2592.6499999999996</v>
      </c>
      <c r="G541" s="2">
        <v>2592.6499999999996</v>
      </c>
    </row>
    <row r="542" spans="1:7" hidden="1" x14ac:dyDescent="0.3">
      <c r="A542" t="s">
        <v>213</v>
      </c>
      <c r="B542" t="s">
        <v>214</v>
      </c>
      <c r="C542" t="s">
        <v>8</v>
      </c>
      <c r="D542" s="1">
        <v>45777</v>
      </c>
      <c r="E542">
        <v>134.75</v>
      </c>
      <c r="F542" s="2">
        <v>2662.5600000000013</v>
      </c>
      <c r="G542" s="2">
        <v>2662.5600000000013</v>
      </c>
    </row>
    <row r="543" spans="1:7" hidden="1" x14ac:dyDescent="0.3">
      <c r="A543" t="s">
        <v>213</v>
      </c>
      <c r="B543" t="s">
        <v>214</v>
      </c>
      <c r="C543" t="s">
        <v>8</v>
      </c>
      <c r="D543" s="1">
        <v>45808</v>
      </c>
      <c r="E543">
        <v>144.5</v>
      </c>
      <c r="F543" s="2">
        <v>2726.7099999999991</v>
      </c>
      <c r="G543" s="2">
        <v>2726.7099999999991</v>
      </c>
    </row>
    <row r="544" spans="1:7" hidden="1" x14ac:dyDescent="0.3">
      <c r="A544" t="s">
        <v>213</v>
      </c>
      <c r="B544" t="s">
        <v>214</v>
      </c>
      <c r="C544" t="s">
        <v>8</v>
      </c>
      <c r="D544" s="1">
        <v>45838</v>
      </c>
      <c r="E544">
        <v>136</v>
      </c>
      <c r="F544" s="2">
        <v>3399.25</v>
      </c>
      <c r="G544" s="2">
        <v>2930.5039999999999</v>
      </c>
    </row>
    <row r="545" spans="1:7" hidden="1" x14ac:dyDescent="0.3">
      <c r="A545" t="s">
        <v>215</v>
      </c>
      <c r="B545" t="s">
        <v>216</v>
      </c>
      <c r="C545" t="s">
        <v>7</v>
      </c>
      <c r="D545" s="1">
        <v>45688</v>
      </c>
      <c r="E545">
        <v>137.25</v>
      </c>
      <c r="F545" s="2">
        <v>2064.2799999999997</v>
      </c>
      <c r="G545" s="2">
        <v>0</v>
      </c>
    </row>
    <row r="546" spans="1:7" hidden="1" x14ac:dyDescent="0.3">
      <c r="A546" t="s">
        <v>215</v>
      </c>
      <c r="B546" t="s">
        <v>216</v>
      </c>
      <c r="C546" t="s">
        <v>7</v>
      </c>
      <c r="D546" s="1">
        <v>45716</v>
      </c>
      <c r="E546">
        <v>144.5</v>
      </c>
      <c r="F546" s="2">
        <v>2103.3100000000004</v>
      </c>
      <c r="G546" s="2">
        <v>0</v>
      </c>
    </row>
    <row r="547" spans="1:7" hidden="1" x14ac:dyDescent="0.3">
      <c r="A547" t="s">
        <v>215</v>
      </c>
      <c r="B547" t="s">
        <v>216</v>
      </c>
      <c r="C547" t="s">
        <v>7</v>
      </c>
      <c r="D547" s="1">
        <v>45747</v>
      </c>
      <c r="E547">
        <v>130</v>
      </c>
      <c r="F547" s="2">
        <v>1911.3999999999996</v>
      </c>
      <c r="G547" s="2">
        <v>0</v>
      </c>
    </row>
    <row r="548" spans="1:7" hidden="1" x14ac:dyDescent="0.3">
      <c r="A548" t="s">
        <v>215</v>
      </c>
      <c r="B548" t="s">
        <v>216</v>
      </c>
      <c r="C548" t="s">
        <v>7</v>
      </c>
      <c r="D548" s="1">
        <v>45777</v>
      </c>
      <c r="E548">
        <v>150.75</v>
      </c>
      <c r="F548" s="2">
        <v>2207.5300000000007</v>
      </c>
      <c r="G548" s="2">
        <v>0</v>
      </c>
    </row>
    <row r="549" spans="1:7" hidden="1" x14ac:dyDescent="0.3">
      <c r="A549" t="s">
        <v>215</v>
      </c>
      <c r="B549" t="s">
        <v>216</v>
      </c>
      <c r="C549" t="s">
        <v>7</v>
      </c>
      <c r="D549" s="1">
        <v>45808</v>
      </c>
      <c r="E549">
        <v>159.5</v>
      </c>
      <c r="F549" s="2">
        <v>2166.5200000000004</v>
      </c>
      <c r="G549" s="2">
        <v>0</v>
      </c>
    </row>
    <row r="550" spans="1:7" hidden="1" x14ac:dyDescent="0.3">
      <c r="A550" t="s">
        <v>215</v>
      </c>
      <c r="B550" t="s">
        <v>216</v>
      </c>
      <c r="C550" t="s">
        <v>7</v>
      </c>
      <c r="D550" s="1">
        <v>45838</v>
      </c>
      <c r="E550">
        <v>144</v>
      </c>
      <c r="F550" s="2">
        <v>2084.630000000001</v>
      </c>
      <c r="G550" s="2">
        <v>0</v>
      </c>
    </row>
    <row r="551" spans="1:7" hidden="1" x14ac:dyDescent="0.3">
      <c r="A551" t="s">
        <v>217</v>
      </c>
      <c r="B551" t="s">
        <v>218</v>
      </c>
      <c r="C551" t="s">
        <v>2</v>
      </c>
      <c r="D551" s="1">
        <v>45688</v>
      </c>
      <c r="E551">
        <v>157.5</v>
      </c>
      <c r="F551" s="2">
        <v>2482.39</v>
      </c>
      <c r="G551" s="2">
        <v>2482.39</v>
      </c>
    </row>
    <row r="552" spans="1:7" hidden="1" x14ac:dyDescent="0.3">
      <c r="A552" t="s">
        <v>217</v>
      </c>
      <c r="B552" t="s">
        <v>218</v>
      </c>
      <c r="C552" t="s">
        <v>2</v>
      </c>
      <c r="D552" s="1">
        <v>45716</v>
      </c>
      <c r="E552">
        <v>53</v>
      </c>
      <c r="F552" s="2">
        <v>1793.5900000000006</v>
      </c>
      <c r="G552" s="2">
        <v>1793.5900000000006</v>
      </c>
    </row>
    <row r="553" spans="1:7" hidden="1" x14ac:dyDescent="0.3">
      <c r="A553" t="s">
        <v>217</v>
      </c>
      <c r="B553" t="s">
        <v>218</v>
      </c>
      <c r="C553" t="s">
        <v>2</v>
      </c>
      <c r="D553" s="1">
        <v>45747</v>
      </c>
      <c r="E553">
        <v>119</v>
      </c>
      <c r="F553" s="2">
        <v>1883.37</v>
      </c>
      <c r="G553" s="2">
        <v>1883.37</v>
      </c>
    </row>
    <row r="554" spans="1:7" hidden="1" x14ac:dyDescent="0.3">
      <c r="A554" t="s">
        <v>217</v>
      </c>
      <c r="B554" t="s">
        <v>218</v>
      </c>
      <c r="C554" t="s">
        <v>2</v>
      </c>
      <c r="D554" s="1">
        <v>45777</v>
      </c>
      <c r="E554">
        <v>150</v>
      </c>
      <c r="F554" s="2">
        <v>2391.4799999999996</v>
      </c>
      <c r="G554" s="2">
        <v>2391.4799999999996</v>
      </c>
    </row>
    <row r="555" spans="1:7" hidden="1" x14ac:dyDescent="0.3">
      <c r="A555" t="s">
        <v>217</v>
      </c>
      <c r="B555" t="s">
        <v>218</v>
      </c>
      <c r="C555" t="s">
        <v>2</v>
      </c>
      <c r="D555" s="1">
        <v>45808</v>
      </c>
      <c r="E555">
        <v>118.5</v>
      </c>
      <c r="F555" s="2">
        <v>1981.2000000000007</v>
      </c>
      <c r="G555" s="2">
        <v>1981.2000000000007</v>
      </c>
    </row>
    <row r="556" spans="1:7" hidden="1" x14ac:dyDescent="0.3">
      <c r="A556" t="s">
        <v>217</v>
      </c>
      <c r="B556" t="s">
        <v>218</v>
      </c>
      <c r="C556" t="s">
        <v>2</v>
      </c>
      <c r="D556" s="1">
        <v>45838</v>
      </c>
      <c r="E556">
        <v>152</v>
      </c>
      <c r="F556" s="2">
        <v>2344.8099999999959</v>
      </c>
      <c r="G556" s="2">
        <v>1981.2000000000007</v>
      </c>
    </row>
    <row r="557" spans="1:7" hidden="1" x14ac:dyDescent="0.3">
      <c r="A557" t="s">
        <v>219</v>
      </c>
      <c r="B557" t="s">
        <v>220</v>
      </c>
      <c r="C557" t="s">
        <v>15</v>
      </c>
      <c r="D557" s="1">
        <v>45688</v>
      </c>
      <c r="E557">
        <v>144</v>
      </c>
      <c r="F557" s="2">
        <v>2038.13</v>
      </c>
      <c r="G557" s="2">
        <v>2038.13</v>
      </c>
    </row>
    <row r="558" spans="1:7" hidden="1" x14ac:dyDescent="0.3">
      <c r="A558" t="s">
        <v>219</v>
      </c>
      <c r="B558" t="s">
        <v>220</v>
      </c>
      <c r="C558" t="s">
        <v>15</v>
      </c>
      <c r="D558" s="1">
        <v>45716</v>
      </c>
      <c r="E558">
        <v>151.5</v>
      </c>
      <c r="F558" s="2">
        <v>2008.2799999999997</v>
      </c>
      <c r="G558" s="2">
        <v>2008.2799999999997</v>
      </c>
    </row>
    <row r="559" spans="1:7" hidden="1" x14ac:dyDescent="0.3">
      <c r="A559" t="s">
        <v>219</v>
      </c>
      <c r="B559" t="s">
        <v>220</v>
      </c>
      <c r="C559" t="s">
        <v>15</v>
      </c>
      <c r="D559" s="1">
        <v>45747</v>
      </c>
      <c r="E559">
        <v>131.75</v>
      </c>
      <c r="F559" s="2">
        <v>2020.0999999999995</v>
      </c>
      <c r="G559" s="2">
        <v>2020.0999999999995</v>
      </c>
    </row>
    <row r="560" spans="1:7" hidden="1" x14ac:dyDescent="0.3">
      <c r="A560" t="s">
        <v>219</v>
      </c>
      <c r="B560" t="s">
        <v>220</v>
      </c>
      <c r="C560" t="s">
        <v>15</v>
      </c>
      <c r="D560" s="1">
        <v>45777</v>
      </c>
      <c r="E560">
        <v>141.5</v>
      </c>
      <c r="F560" s="2">
        <v>2197.6200000000017</v>
      </c>
      <c r="G560" s="2">
        <v>2197.6200000000017</v>
      </c>
    </row>
    <row r="561" spans="1:7" hidden="1" x14ac:dyDescent="0.3">
      <c r="A561" t="s">
        <v>219</v>
      </c>
      <c r="B561" t="s">
        <v>220</v>
      </c>
      <c r="C561" t="s">
        <v>15</v>
      </c>
      <c r="D561" s="1">
        <v>45808</v>
      </c>
      <c r="E561">
        <v>139.25</v>
      </c>
      <c r="F561" s="2">
        <v>2082.489999999998</v>
      </c>
      <c r="G561" s="2">
        <v>2082.489999999998</v>
      </c>
    </row>
    <row r="562" spans="1:7" hidden="1" x14ac:dyDescent="0.3">
      <c r="A562" t="s">
        <v>219</v>
      </c>
      <c r="B562" t="s">
        <v>220</v>
      </c>
      <c r="C562" t="s">
        <v>15</v>
      </c>
      <c r="D562" s="1">
        <v>45838</v>
      </c>
      <c r="E562">
        <v>130.75</v>
      </c>
      <c r="F562" s="2">
        <v>1902.6000000000004</v>
      </c>
      <c r="G562" s="2">
        <v>2069.3239999999996</v>
      </c>
    </row>
    <row r="563" spans="1:7" hidden="1" x14ac:dyDescent="0.3">
      <c r="A563" t="s">
        <v>221</v>
      </c>
      <c r="B563" t="s">
        <v>222</v>
      </c>
      <c r="C563" t="s">
        <v>2</v>
      </c>
      <c r="D563" s="1">
        <v>45688</v>
      </c>
      <c r="E563">
        <v>134.25</v>
      </c>
      <c r="F563" s="2">
        <v>2237.9499999999998</v>
      </c>
      <c r="G563" s="2">
        <v>2237.9499999999998</v>
      </c>
    </row>
    <row r="564" spans="1:7" hidden="1" x14ac:dyDescent="0.3">
      <c r="A564" t="s">
        <v>221</v>
      </c>
      <c r="B564" t="s">
        <v>222</v>
      </c>
      <c r="C564" t="s">
        <v>2</v>
      </c>
      <c r="D564" s="1">
        <v>45716</v>
      </c>
      <c r="E564">
        <v>91</v>
      </c>
      <c r="F564" s="2">
        <v>1711.4099999999999</v>
      </c>
      <c r="G564" s="2">
        <v>1711.4099999999999</v>
      </c>
    </row>
    <row r="565" spans="1:7" hidden="1" x14ac:dyDescent="0.3">
      <c r="A565" t="s">
        <v>221</v>
      </c>
      <c r="B565" t="s">
        <v>222</v>
      </c>
      <c r="C565" t="s">
        <v>2</v>
      </c>
      <c r="D565" s="1">
        <v>45747</v>
      </c>
      <c r="E565">
        <v>150</v>
      </c>
      <c r="F565" s="2">
        <v>2168.0699999999997</v>
      </c>
      <c r="G565" s="2">
        <v>2168.0699999999997</v>
      </c>
    </row>
    <row r="566" spans="1:7" hidden="1" x14ac:dyDescent="0.3">
      <c r="A566" t="s">
        <v>221</v>
      </c>
      <c r="B566" t="s">
        <v>222</v>
      </c>
      <c r="C566" t="s">
        <v>2</v>
      </c>
      <c r="D566" s="1">
        <v>45777</v>
      </c>
      <c r="E566">
        <v>122</v>
      </c>
      <c r="F566" s="2">
        <v>2262.37</v>
      </c>
      <c r="G566" s="2">
        <v>2262.37</v>
      </c>
    </row>
    <row r="567" spans="1:7" hidden="1" x14ac:dyDescent="0.3">
      <c r="A567" t="s">
        <v>221</v>
      </c>
      <c r="B567" t="s">
        <v>222</v>
      </c>
      <c r="C567" t="s">
        <v>2</v>
      </c>
      <c r="D567" s="1">
        <v>45808</v>
      </c>
      <c r="E567">
        <v>139</v>
      </c>
      <c r="F567" s="2">
        <v>2110.1999999999989</v>
      </c>
      <c r="G567" s="2">
        <v>2110.1999999999989</v>
      </c>
    </row>
    <row r="568" spans="1:7" hidden="1" x14ac:dyDescent="0.3">
      <c r="A568" t="s">
        <v>221</v>
      </c>
      <c r="B568" t="s">
        <v>222</v>
      </c>
      <c r="C568" t="s">
        <v>2</v>
      </c>
      <c r="D568" s="1">
        <v>45838</v>
      </c>
      <c r="E568">
        <v>140.75</v>
      </c>
      <c r="F568" s="2">
        <v>2168.0800000000036</v>
      </c>
      <c r="G568" s="2">
        <v>2110.1999999999989</v>
      </c>
    </row>
    <row r="569" spans="1:7" x14ac:dyDescent="0.3">
      <c r="A569" t="s">
        <v>223</v>
      </c>
      <c r="B569" t="s">
        <v>224</v>
      </c>
      <c r="C569" t="s">
        <v>14</v>
      </c>
      <c r="D569" s="1">
        <v>45688</v>
      </c>
      <c r="E569">
        <v>144</v>
      </c>
      <c r="F569" s="2">
        <v>4653.83</v>
      </c>
      <c r="G569" s="2">
        <v>0</v>
      </c>
    </row>
    <row r="570" spans="1:7" x14ac:dyDescent="0.3">
      <c r="A570" t="s">
        <v>223</v>
      </c>
      <c r="B570" t="s">
        <v>224</v>
      </c>
      <c r="C570" t="s">
        <v>14</v>
      </c>
      <c r="D570" s="1">
        <v>45716</v>
      </c>
      <c r="E570">
        <v>152</v>
      </c>
      <c r="F570" s="2">
        <v>3030.55</v>
      </c>
      <c r="G570" s="2">
        <v>0</v>
      </c>
    </row>
    <row r="571" spans="1:7" x14ac:dyDescent="0.3">
      <c r="A571" t="s">
        <v>223</v>
      </c>
      <c r="B571" t="s">
        <v>224</v>
      </c>
      <c r="C571" t="s">
        <v>14</v>
      </c>
      <c r="D571" s="1">
        <v>45747</v>
      </c>
      <c r="E571">
        <v>160</v>
      </c>
      <c r="F571" s="2">
        <v>3009.6600000000008</v>
      </c>
      <c r="G571" s="2">
        <v>0</v>
      </c>
    </row>
    <row r="572" spans="1:7" x14ac:dyDescent="0.3">
      <c r="A572" t="s">
        <v>223</v>
      </c>
      <c r="B572" t="s">
        <v>224</v>
      </c>
      <c r="C572" t="s">
        <v>14</v>
      </c>
      <c r="D572" s="1">
        <v>45777</v>
      </c>
      <c r="E572">
        <v>151.5</v>
      </c>
      <c r="F572" s="2">
        <v>3014.3099999999977</v>
      </c>
      <c r="G572" s="2">
        <v>0</v>
      </c>
    </row>
    <row r="573" spans="1:7" x14ac:dyDescent="0.3">
      <c r="A573" t="s">
        <v>223</v>
      </c>
      <c r="B573" t="s">
        <v>224</v>
      </c>
      <c r="C573" t="s">
        <v>14</v>
      </c>
      <c r="D573" s="1">
        <v>45808</v>
      </c>
      <c r="E573">
        <v>159.5</v>
      </c>
      <c r="F573" s="2">
        <v>3006.9300000000039</v>
      </c>
      <c r="G573" s="2">
        <v>0</v>
      </c>
    </row>
    <row r="574" spans="1:7" x14ac:dyDescent="0.3">
      <c r="A574" t="s">
        <v>223</v>
      </c>
      <c r="B574" t="s">
        <v>224</v>
      </c>
      <c r="C574" t="s">
        <v>14</v>
      </c>
      <c r="D574" s="1">
        <v>45838</v>
      </c>
      <c r="E574">
        <v>114</v>
      </c>
      <c r="F574" s="2">
        <v>2582.0299999999952</v>
      </c>
      <c r="G574" s="2">
        <v>0</v>
      </c>
    </row>
    <row r="575" spans="1:7" hidden="1" x14ac:dyDescent="0.3">
      <c r="A575" t="s">
        <v>225</v>
      </c>
      <c r="B575" t="s">
        <v>226</v>
      </c>
      <c r="C575" t="s">
        <v>3</v>
      </c>
      <c r="D575" s="1">
        <v>45688</v>
      </c>
      <c r="E575">
        <v>48</v>
      </c>
      <c r="F575" s="2">
        <v>677.96</v>
      </c>
      <c r="G575" s="2">
        <v>677.96</v>
      </c>
    </row>
    <row r="576" spans="1:7" hidden="1" x14ac:dyDescent="0.3">
      <c r="A576" t="s">
        <v>225</v>
      </c>
      <c r="B576" t="s">
        <v>226</v>
      </c>
      <c r="C576" t="s">
        <v>3</v>
      </c>
      <c r="D576" s="1">
        <v>45716</v>
      </c>
      <c r="E576">
        <v>83.25</v>
      </c>
      <c r="F576" s="2">
        <v>1219.04</v>
      </c>
      <c r="G576" s="2">
        <v>1219.04</v>
      </c>
    </row>
    <row r="577" spans="1:7" hidden="1" x14ac:dyDescent="0.3">
      <c r="A577" t="s">
        <v>225</v>
      </c>
      <c r="B577" t="s">
        <v>226</v>
      </c>
      <c r="C577" t="s">
        <v>3</v>
      </c>
      <c r="D577" s="1">
        <v>45747</v>
      </c>
      <c r="E577">
        <v>115.25</v>
      </c>
      <c r="F577" s="2">
        <v>1377.9099999999999</v>
      </c>
      <c r="G577" s="2">
        <v>1377.9099999999999</v>
      </c>
    </row>
    <row r="578" spans="1:7" hidden="1" x14ac:dyDescent="0.3">
      <c r="A578" t="s">
        <v>225</v>
      </c>
      <c r="B578" t="s">
        <v>226</v>
      </c>
      <c r="C578" t="s">
        <v>3</v>
      </c>
      <c r="D578" s="1">
        <v>45777</v>
      </c>
      <c r="E578">
        <v>74.75</v>
      </c>
      <c r="F578" s="2">
        <v>1278.5100000000002</v>
      </c>
      <c r="G578" s="2">
        <v>1278.5100000000002</v>
      </c>
    </row>
    <row r="579" spans="1:7" hidden="1" x14ac:dyDescent="0.3">
      <c r="A579" t="s">
        <v>225</v>
      </c>
      <c r="B579" t="s">
        <v>226</v>
      </c>
      <c r="C579" t="s">
        <v>3</v>
      </c>
      <c r="D579" s="1">
        <v>45808</v>
      </c>
      <c r="E579">
        <v>104.5</v>
      </c>
      <c r="F579" s="2">
        <v>1436.670000000001</v>
      </c>
      <c r="G579" s="2">
        <v>1436.670000000001</v>
      </c>
    </row>
    <row r="580" spans="1:7" hidden="1" x14ac:dyDescent="0.3">
      <c r="A580" t="s">
        <v>225</v>
      </c>
      <c r="B580" t="s">
        <v>226</v>
      </c>
      <c r="C580" t="s">
        <v>3</v>
      </c>
      <c r="D580" s="1">
        <v>45838</v>
      </c>
      <c r="E580">
        <v>105.75</v>
      </c>
      <c r="F580" s="2">
        <v>1270.5999999999985</v>
      </c>
      <c r="G580" s="2">
        <v>1436.670000000001</v>
      </c>
    </row>
    <row r="581" spans="1:7" hidden="1" x14ac:dyDescent="0.3">
      <c r="A581" t="s">
        <v>227</v>
      </c>
      <c r="B581" t="s">
        <v>228</v>
      </c>
      <c r="C581" t="s">
        <v>7</v>
      </c>
      <c r="D581" s="1">
        <v>45688</v>
      </c>
      <c r="E581">
        <v>106</v>
      </c>
      <c r="F581" s="2">
        <v>2847.57</v>
      </c>
      <c r="G581" s="2">
        <v>0</v>
      </c>
    </row>
    <row r="582" spans="1:7" hidden="1" x14ac:dyDescent="0.3">
      <c r="A582" t="s">
        <v>227</v>
      </c>
      <c r="B582" t="s">
        <v>228</v>
      </c>
      <c r="C582" t="s">
        <v>7</v>
      </c>
      <c r="D582" s="1">
        <v>45716</v>
      </c>
      <c r="E582">
        <v>114</v>
      </c>
      <c r="F582" s="2">
        <v>3274.3300000000013</v>
      </c>
      <c r="G582" s="2">
        <v>0</v>
      </c>
    </row>
    <row r="583" spans="1:7" hidden="1" x14ac:dyDescent="0.3">
      <c r="A583" t="s">
        <v>227</v>
      </c>
      <c r="B583" t="s">
        <v>228</v>
      </c>
      <c r="C583" t="s">
        <v>7</v>
      </c>
      <c r="D583" s="1">
        <v>45747</v>
      </c>
      <c r="E583">
        <v>139.5</v>
      </c>
      <c r="F583" s="2">
        <v>4040.1899999999987</v>
      </c>
      <c r="G583" s="2">
        <v>0</v>
      </c>
    </row>
    <row r="584" spans="1:7" hidden="1" x14ac:dyDescent="0.3">
      <c r="A584" t="s">
        <v>227</v>
      </c>
      <c r="B584" t="s">
        <v>228</v>
      </c>
      <c r="C584" t="s">
        <v>7</v>
      </c>
      <c r="D584" s="1">
        <v>45777</v>
      </c>
      <c r="E584">
        <v>150.25</v>
      </c>
      <c r="F584" s="2">
        <v>3847.08</v>
      </c>
      <c r="G584" s="2">
        <v>0</v>
      </c>
    </row>
    <row r="585" spans="1:7" hidden="1" x14ac:dyDescent="0.3">
      <c r="A585" t="s">
        <v>227</v>
      </c>
      <c r="B585" t="s">
        <v>228</v>
      </c>
      <c r="C585" t="s">
        <v>7</v>
      </c>
      <c r="D585" s="1">
        <v>45808</v>
      </c>
      <c r="E585">
        <v>-509.75</v>
      </c>
      <c r="F585" s="2">
        <v>-14009.17</v>
      </c>
      <c r="G585" s="2">
        <v>0</v>
      </c>
    </row>
    <row r="586" spans="1:7" hidden="1" x14ac:dyDescent="0.3">
      <c r="A586" t="s">
        <v>229</v>
      </c>
      <c r="B586" t="s">
        <v>230</v>
      </c>
      <c r="C586" t="s">
        <v>2</v>
      </c>
      <c r="D586" s="1">
        <v>45688</v>
      </c>
      <c r="E586">
        <v>117.5</v>
      </c>
      <c r="F586" s="2">
        <v>1771.49</v>
      </c>
      <c r="G586" s="2">
        <v>1771.49</v>
      </c>
    </row>
    <row r="587" spans="1:7" hidden="1" x14ac:dyDescent="0.3">
      <c r="A587" t="s">
        <v>229</v>
      </c>
      <c r="B587" t="s">
        <v>230</v>
      </c>
      <c r="C587" t="s">
        <v>2</v>
      </c>
      <c r="D587" s="1">
        <v>45716</v>
      </c>
      <c r="E587">
        <v>136</v>
      </c>
      <c r="F587" s="2">
        <v>1543.05</v>
      </c>
      <c r="G587" s="2">
        <v>1543.05</v>
      </c>
    </row>
    <row r="588" spans="1:7" hidden="1" x14ac:dyDescent="0.3">
      <c r="A588" t="s">
        <v>229</v>
      </c>
      <c r="B588" t="s">
        <v>230</v>
      </c>
      <c r="C588" t="s">
        <v>2</v>
      </c>
      <c r="D588" s="1">
        <v>45747</v>
      </c>
      <c r="E588">
        <v>82.25</v>
      </c>
      <c r="F588" s="2">
        <v>1458.4600000000009</v>
      </c>
      <c r="G588" s="2">
        <v>1458.4600000000009</v>
      </c>
    </row>
    <row r="589" spans="1:7" hidden="1" x14ac:dyDescent="0.3">
      <c r="A589" t="s">
        <v>229</v>
      </c>
      <c r="B589" t="s">
        <v>230</v>
      </c>
      <c r="C589" t="s">
        <v>2</v>
      </c>
      <c r="D589" s="1">
        <v>45777</v>
      </c>
      <c r="E589">
        <v>139</v>
      </c>
      <c r="F589" s="2">
        <v>1283.8899999999994</v>
      </c>
      <c r="G589" s="2">
        <v>1283.8899999999994</v>
      </c>
    </row>
    <row r="590" spans="1:7" hidden="1" x14ac:dyDescent="0.3">
      <c r="A590" t="s">
        <v>229</v>
      </c>
      <c r="B590" t="s">
        <v>230</v>
      </c>
      <c r="C590" t="s">
        <v>2</v>
      </c>
      <c r="D590" s="1">
        <v>45808</v>
      </c>
      <c r="E590">
        <v>86.5</v>
      </c>
      <c r="F590" s="2">
        <v>829.02000000000135</v>
      </c>
      <c r="G590" s="2">
        <v>829.02000000000135</v>
      </c>
    </row>
    <row r="591" spans="1:7" hidden="1" x14ac:dyDescent="0.3">
      <c r="A591" t="s">
        <v>229</v>
      </c>
      <c r="B591" t="s">
        <v>230</v>
      </c>
      <c r="C591" t="s">
        <v>2</v>
      </c>
      <c r="D591" s="1">
        <v>45838</v>
      </c>
      <c r="E591">
        <v>0</v>
      </c>
      <c r="F591" s="2">
        <v>-97.760000000000218</v>
      </c>
      <c r="G591" s="2">
        <v>829.02000000000135</v>
      </c>
    </row>
    <row r="592" spans="1:7" hidden="1" x14ac:dyDescent="0.3">
      <c r="A592" t="s">
        <v>231</v>
      </c>
      <c r="B592" t="s">
        <v>232</v>
      </c>
      <c r="C592" t="s">
        <v>2</v>
      </c>
      <c r="D592" s="1">
        <v>45688</v>
      </c>
      <c r="E592">
        <v>144</v>
      </c>
      <c r="F592" s="2">
        <v>1893.89</v>
      </c>
      <c r="G592" s="2">
        <v>1893.89</v>
      </c>
    </row>
    <row r="593" spans="1:7" hidden="1" x14ac:dyDescent="0.3">
      <c r="A593" t="s">
        <v>231</v>
      </c>
      <c r="B593" t="s">
        <v>232</v>
      </c>
      <c r="C593" t="s">
        <v>2</v>
      </c>
      <c r="D593" s="1">
        <v>45716</v>
      </c>
      <c r="E593">
        <v>142.5</v>
      </c>
      <c r="F593" s="2">
        <v>2003.14</v>
      </c>
      <c r="G593" s="2">
        <v>2003.14</v>
      </c>
    </row>
    <row r="594" spans="1:7" hidden="1" x14ac:dyDescent="0.3">
      <c r="A594" t="s">
        <v>231</v>
      </c>
      <c r="B594" t="s">
        <v>232</v>
      </c>
      <c r="C594" t="s">
        <v>2</v>
      </c>
      <c r="D594" s="1">
        <v>45747</v>
      </c>
      <c r="E594">
        <v>134</v>
      </c>
      <c r="F594" s="2">
        <v>2266.9799999999991</v>
      </c>
      <c r="G594" s="2">
        <v>2266.9799999999991</v>
      </c>
    </row>
    <row r="595" spans="1:7" hidden="1" x14ac:dyDescent="0.3">
      <c r="A595" t="s">
        <v>231</v>
      </c>
      <c r="B595" t="s">
        <v>232</v>
      </c>
      <c r="C595" t="s">
        <v>2</v>
      </c>
      <c r="D595" s="1">
        <v>45777</v>
      </c>
      <c r="E595">
        <v>149</v>
      </c>
      <c r="F595" s="2">
        <v>2483.37</v>
      </c>
      <c r="G595" s="2">
        <v>2483.37</v>
      </c>
    </row>
    <row r="596" spans="1:7" hidden="1" x14ac:dyDescent="0.3">
      <c r="A596" t="s">
        <v>231</v>
      </c>
      <c r="B596" t="s">
        <v>232</v>
      </c>
      <c r="C596" t="s">
        <v>2</v>
      </c>
      <c r="D596" s="1">
        <v>45808</v>
      </c>
      <c r="E596">
        <v>51.5</v>
      </c>
      <c r="F596" s="2">
        <v>911.65000000000146</v>
      </c>
      <c r="G596" s="2">
        <v>911.65000000000146</v>
      </c>
    </row>
    <row r="597" spans="1:7" hidden="1" x14ac:dyDescent="0.3">
      <c r="A597" t="s">
        <v>231</v>
      </c>
      <c r="B597" t="s">
        <v>232</v>
      </c>
      <c r="C597" t="s">
        <v>2</v>
      </c>
      <c r="D597" s="1">
        <v>45838</v>
      </c>
      <c r="E597">
        <v>243.75</v>
      </c>
      <c r="F597" s="2">
        <v>3955.5500000000011</v>
      </c>
      <c r="G597" s="2">
        <v>911.65000000000146</v>
      </c>
    </row>
    <row r="598" spans="1:7" hidden="1" x14ac:dyDescent="0.3">
      <c r="A598" t="s">
        <v>233</v>
      </c>
      <c r="B598" t="s">
        <v>234</v>
      </c>
      <c r="C598" t="s">
        <v>2</v>
      </c>
      <c r="D598" s="1">
        <v>45688</v>
      </c>
      <c r="E598">
        <v>100.25</v>
      </c>
      <c r="F598" s="2">
        <v>1306.75</v>
      </c>
      <c r="G598" s="2">
        <v>0</v>
      </c>
    </row>
    <row r="599" spans="1:7" hidden="1" x14ac:dyDescent="0.3">
      <c r="A599" t="s">
        <v>233</v>
      </c>
      <c r="B599" t="s">
        <v>234</v>
      </c>
      <c r="C599" t="s">
        <v>2</v>
      </c>
      <c r="D599" s="1">
        <v>45716</v>
      </c>
      <c r="E599">
        <v>76.5</v>
      </c>
      <c r="F599" s="2">
        <v>1156.8699999999999</v>
      </c>
      <c r="G599" s="2">
        <v>0</v>
      </c>
    </row>
    <row r="600" spans="1:7" hidden="1" x14ac:dyDescent="0.3">
      <c r="A600" t="s">
        <v>233</v>
      </c>
      <c r="B600" t="s">
        <v>234</v>
      </c>
      <c r="C600" t="s">
        <v>2</v>
      </c>
      <c r="D600" s="1">
        <v>45747</v>
      </c>
      <c r="E600">
        <v>94.75</v>
      </c>
      <c r="F600" s="2">
        <v>1294.7100000000005</v>
      </c>
      <c r="G600" s="2">
        <v>0</v>
      </c>
    </row>
    <row r="601" spans="1:7" hidden="1" x14ac:dyDescent="0.3">
      <c r="A601" t="s">
        <v>233</v>
      </c>
      <c r="B601" t="s">
        <v>234</v>
      </c>
      <c r="C601" t="s">
        <v>2</v>
      </c>
      <c r="D601" s="1">
        <v>45777</v>
      </c>
      <c r="E601">
        <v>110.25</v>
      </c>
      <c r="F601" s="2">
        <v>1531.0099999999998</v>
      </c>
      <c r="G601" s="2">
        <v>0</v>
      </c>
    </row>
    <row r="602" spans="1:7" hidden="1" x14ac:dyDescent="0.3">
      <c r="A602" t="s">
        <v>233</v>
      </c>
      <c r="B602" t="s">
        <v>234</v>
      </c>
      <c r="C602" t="s">
        <v>2</v>
      </c>
      <c r="D602" s="1">
        <v>45808</v>
      </c>
      <c r="E602">
        <v>-381.75</v>
      </c>
      <c r="F602" s="2">
        <v>-5289.34</v>
      </c>
      <c r="G602" s="2">
        <v>0</v>
      </c>
    </row>
    <row r="603" spans="1:7" hidden="1" x14ac:dyDescent="0.3">
      <c r="A603" t="s">
        <v>235</v>
      </c>
      <c r="B603" t="s">
        <v>236</v>
      </c>
      <c r="C603" t="s">
        <v>3</v>
      </c>
      <c r="D603" s="1">
        <v>45688</v>
      </c>
      <c r="E603">
        <v>0</v>
      </c>
      <c r="F603" s="2">
        <v>1252.5800000000002</v>
      </c>
      <c r="G603" s="2">
        <v>1252.5800000000002</v>
      </c>
    </row>
    <row r="604" spans="1:7" hidden="1" x14ac:dyDescent="0.3">
      <c r="A604" t="s">
        <v>235</v>
      </c>
      <c r="B604" t="s">
        <v>236</v>
      </c>
      <c r="C604" t="s">
        <v>3</v>
      </c>
      <c r="D604" s="1">
        <v>45716</v>
      </c>
      <c r="E604">
        <v>38</v>
      </c>
      <c r="F604" s="2">
        <v>1090.01</v>
      </c>
      <c r="G604" s="2">
        <v>1090.01</v>
      </c>
    </row>
    <row r="605" spans="1:7" hidden="1" x14ac:dyDescent="0.3">
      <c r="A605" t="s">
        <v>235</v>
      </c>
      <c r="B605" t="s">
        <v>236</v>
      </c>
      <c r="C605" t="s">
        <v>3</v>
      </c>
      <c r="D605" s="1">
        <v>45747</v>
      </c>
      <c r="E605">
        <v>149</v>
      </c>
      <c r="F605" s="2">
        <v>2180.4499999999998</v>
      </c>
      <c r="G605" s="2">
        <v>2180.4499999999998</v>
      </c>
    </row>
    <row r="606" spans="1:7" hidden="1" x14ac:dyDescent="0.3">
      <c r="A606" t="s">
        <v>235</v>
      </c>
      <c r="B606" t="s">
        <v>236</v>
      </c>
      <c r="C606" t="s">
        <v>3</v>
      </c>
      <c r="D606" s="1">
        <v>45777</v>
      </c>
      <c r="E606">
        <v>151.5</v>
      </c>
      <c r="F606" s="2">
        <v>2361.4499999999998</v>
      </c>
      <c r="G606" s="2">
        <v>2361.4499999999998</v>
      </c>
    </row>
    <row r="607" spans="1:7" hidden="1" x14ac:dyDescent="0.3">
      <c r="A607" t="s">
        <v>235</v>
      </c>
      <c r="B607" t="s">
        <v>236</v>
      </c>
      <c r="C607" t="s">
        <v>3</v>
      </c>
      <c r="D607" s="1">
        <v>45808</v>
      </c>
      <c r="E607">
        <v>144.5</v>
      </c>
      <c r="F607" s="2">
        <v>2203.0700000000015</v>
      </c>
      <c r="G607" s="2">
        <v>2203.0700000000015</v>
      </c>
    </row>
    <row r="608" spans="1:7" hidden="1" x14ac:dyDescent="0.3">
      <c r="A608" t="s">
        <v>235</v>
      </c>
      <c r="B608" t="s">
        <v>236</v>
      </c>
      <c r="C608" t="s">
        <v>3</v>
      </c>
      <c r="D608" s="1">
        <v>45838</v>
      </c>
      <c r="E608">
        <v>144.5</v>
      </c>
      <c r="F608" s="2">
        <v>2163.9999999999982</v>
      </c>
      <c r="G608" s="2">
        <v>2203.0700000000015</v>
      </c>
    </row>
    <row r="609" spans="1:7" hidden="1" x14ac:dyDescent="0.3">
      <c r="A609" t="s">
        <v>237</v>
      </c>
      <c r="B609" t="s">
        <v>238</v>
      </c>
      <c r="C609" t="s">
        <v>5</v>
      </c>
      <c r="D609" s="1">
        <v>45688</v>
      </c>
      <c r="E609">
        <v>63</v>
      </c>
      <c r="F609" s="2">
        <v>1023.02</v>
      </c>
      <c r="G609" s="2">
        <v>0</v>
      </c>
    </row>
    <row r="610" spans="1:7" hidden="1" x14ac:dyDescent="0.3">
      <c r="A610" t="s">
        <v>237</v>
      </c>
      <c r="B610" t="s">
        <v>238</v>
      </c>
      <c r="C610" t="s">
        <v>5</v>
      </c>
      <c r="D610" s="1">
        <v>45716</v>
      </c>
      <c r="E610">
        <v>0</v>
      </c>
      <c r="F610" s="2">
        <v>1529.0099999999998</v>
      </c>
      <c r="G610" s="2">
        <v>0</v>
      </c>
    </row>
    <row r="611" spans="1:7" x14ac:dyDescent="0.3">
      <c r="A611" t="s">
        <v>239</v>
      </c>
      <c r="B611" t="s">
        <v>240</v>
      </c>
      <c r="C611" t="s">
        <v>12</v>
      </c>
      <c r="D611" s="1">
        <v>45688</v>
      </c>
      <c r="E611">
        <v>157.5</v>
      </c>
      <c r="F611" s="2">
        <v>2462.65</v>
      </c>
      <c r="G611" s="2">
        <v>2462.65</v>
      </c>
    </row>
    <row r="612" spans="1:7" x14ac:dyDescent="0.3">
      <c r="A612" t="s">
        <v>239</v>
      </c>
      <c r="B612" t="s">
        <v>240</v>
      </c>
      <c r="C612" t="s">
        <v>12</v>
      </c>
      <c r="D612" s="1">
        <v>45716</v>
      </c>
      <c r="E612">
        <v>144</v>
      </c>
      <c r="F612" s="2">
        <v>2331.3200000000002</v>
      </c>
      <c r="G612" s="2">
        <v>2331.3200000000002</v>
      </c>
    </row>
    <row r="613" spans="1:7" x14ac:dyDescent="0.3">
      <c r="A613" t="s">
        <v>239</v>
      </c>
      <c r="B613" t="s">
        <v>240</v>
      </c>
      <c r="C613" t="s">
        <v>12</v>
      </c>
      <c r="D613" s="1">
        <v>45747</v>
      </c>
      <c r="E613">
        <v>158</v>
      </c>
      <c r="F613" s="2">
        <v>2342.63</v>
      </c>
      <c r="G613" s="2">
        <v>2342.63</v>
      </c>
    </row>
    <row r="614" spans="1:7" x14ac:dyDescent="0.3">
      <c r="A614" t="s">
        <v>239</v>
      </c>
      <c r="B614" t="s">
        <v>240</v>
      </c>
      <c r="C614" t="s">
        <v>12</v>
      </c>
      <c r="D614" s="1">
        <v>45777</v>
      </c>
      <c r="E614">
        <v>121.5</v>
      </c>
      <c r="F614" s="2">
        <v>2577.9400000000005</v>
      </c>
      <c r="G614" s="2">
        <v>2577.9400000000005</v>
      </c>
    </row>
    <row r="615" spans="1:7" x14ac:dyDescent="0.3">
      <c r="A615" t="s">
        <v>239</v>
      </c>
      <c r="B615" t="s">
        <v>240</v>
      </c>
      <c r="C615" t="s">
        <v>12</v>
      </c>
      <c r="D615" s="1">
        <v>45808</v>
      </c>
      <c r="E615">
        <v>148</v>
      </c>
      <c r="F615" s="2">
        <v>2194.7700000000004</v>
      </c>
      <c r="G615" s="2">
        <v>2194.7700000000004</v>
      </c>
    </row>
    <row r="616" spans="1:7" x14ac:dyDescent="0.3">
      <c r="A616" t="s">
        <v>239</v>
      </c>
      <c r="B616" t="s">
        <v>240</v>
      </c>
      <c r="C616" t="s">
        <v>12</v>
      </c>
      <c r="D616" s="1">
        <v>45838</v>
      </c>
      <c r="E616">
        <v>134.75</v>
      </c>
      <c r="F616" s="2">
        <v>2202.409999999998</v>
      </c>
      <c r="G616" s="2">
        <v>2381.8620000000001</v>
      </c>
    </row>
    <row r="617" spans="1:7" x14ac:dyDescent="0.3">
      <c r="A617" t="s">
        <v>241</v>
      </c>
      <c r="B617" t="s">
        <v>242</v>
      </c>
      <c r="C617" t="s">
        <v>13</v>
      </c>
      <c r="D617" s="1">
        <v>45688</v>
      </c>
      <c r="E617">
        <v>144</v>
      </c>
      <c r="F617" s="2">
        <v>4890.04</v>
      </c>
      <c r="G617" s="2">
        <v>4890.04</v>
      </c>
    </row>
    <row r="618" spans="1:7" x14ac:dyDescent="0.3">
      <c r="A618" t="s">
        <v>241</v>
      </c>
      <c r="B618" t="s">
        <v>242</v>
      </c>
      <c r="C618" t="s">
        <v>13</v>
      </c>
      <c r="D618" s="1">
        <v>45716</v>
      </c>
      <c r="E618">
        <v>150.25</v>
      </c>
      <c r="F618" s="2">
        <v>5241.0900000000011</v>
      </c>
      <c r="G618" s="2">
        <v>5241.0900000000011</v>
      </c>
    </row>
    <row r="619" spans="1:7" x14ac:dyDescent="0.3">
      <c r="A619" t="s">
        <v>241</v>
      </c>
      <c r="B619" t="s">
        <v>242</v>
      </c>
      <c r="C619" t="s">
        <v>13</v>
      </c>
      <c r="D619" s="1">
        <v>45747</v>
      </c>
      <c r="E619">
        <v>152</v>
      </c>
      <c r="F619" s="2">
        <v>5092.2199999999975</v>
      </c>
      <c r="G619" s="2">
        <v>5092.2199999999975</v>
      </c>
    </row>
    <row r="620" spans="1:7" x14ac:dyDescent="0.3">
      <c r="A620" t="s">
        <v>241</v>
      </c>
      <c r="B620" t="s">
        <v>242</v>
      </c>
      <c r="C620" t="s">
        <v>13</v>
      </c>
      <c r="D620" s="1">
        <v>45777</v>
      </c>
      <c r="E620">
        <v>121.5</v>
      </c>
      <c r="F620" s="2">
        <v>8705.66</v>
      </c>
      <c r="G620" s="2">
        <v>8705.66</v>
      </c>
    </row>
    <row r="621" spans="1:7" x14ac:dyDescent="0.3">
      <c r="A621" t="s">
        <v>241</v>
      </c>
      <c r="B621" t="s">
        <v>242</v>
      </c>
      <c r="C621" t="s">
        <v>13</v>
      </c>
      <c r="D621" s="1">
        <v>45808</v>
      </c>
      <c r="E621">
        <v>159.5</v>
      </c>
      <c r="F621" s="2">
        <v>5319.0399999999972</v>
      </c>
      <c r="G621" s="2">
        <v>5319.0399999999972</v>
      </c>
    </row>
    <row r="622" spans="1:7" x14ac:dyDescent="0.3">
      <c r="A622" t="s">
        <v>241</v>
      </c>
      <c r="B622" t="s">
        <v>242</v>
      </c>
      <c r="C622" t="s">
        <v>13</v>
      </c>
      <c r="D622" s="1">
        <v>45838</v>
      </c>
      <c r="E622">
        <v>136.5</v>
      </c>
      <c r="F622" s="2">
        <v>4875.7200000000084</v>
      </c>
      <c r="G622" s="2">
        <v>5849.6099999999988</v>
      </c>
    </row>
    <row r="623" spans="1:7" hidden="1" x14ac:dyDescent="0.3">
      <c r="A623" t="s">
        <v>243</v>
      </c>
      <c r="B623" t="s">
        <v>244</v>
      </c>
      <c r="C623" t="s">
        <v>5</v>
      </c>
      <c r="D623" s="1">
        <v>45688</v>
      </c>
      <c r="E623">
        <v>147</v>
      </c>
      <c r="F623" s="2">
        <v>1672.2199999999998</v>
      </c>
      <c r="G623" s="2">
        <v>1672.2199999999998</v>
      </c>
    </row>
    <row r="624" spans="1:7" hidden="1" x14ac:dyDescent="0.3">
      <c r="A624" t="s">
        <v>243</v>
      </c>
      <c r="B624" t="s">
        <v>244</v>
      </c>
      <c r="C624" t="s">
        <v>5</v>
      </c>
      <c r="D624" s="1">
        <v>45716</v>
      </c>
      <c r="E624">
        <v>125.5</v>
      </c>
      <c r="F624" s="2">
        <v>1667.5600000000004</v>
      </c>
      <c r="G624" s="2">
        <v>1667.5600000000004</v>
      </c>
    </row>
    <row r="625" spans="1:7" hidden="1" x14ac:dyDescent="0.3">
      <c r="A625" t="s">
        <v>243</v>
      </c>
      <c r="B625" t="s">
        <v>244</v>
      </c>
      <c r="C625" t="s">
        <v>5</v>
      </c>
      <c r="D625" s="1">
        <v>45747</v>
      </c>
      <c r="E625">
        <v>136.25</v>
      </c>
      <c r="F625" s="2">
        <v>1562.3800000000006</v>
      </c>
      <c r="G625" s="2">
        <v>1562.3800000000006</v>
      </c>
    </row>
    <row r="626" spans="1:7" hidden="1" x14ac:dyDescent="0.3">
      <c r="A626" t="s">
        <v>243</v>
      </c>
      <c r="B626" t="s">
        <v>244</v>
      </c>
      <c r="C626" t="s">
        <v>5</v>
      </c>
      <c r="D626" s="1">
        <v>45777</v>
      </c>
      <c r="E626">
        <v>128</v>
      </c>
      <c r="F626" s="2">
        <v>1568.1799999999994</v>
      </c>
      <c r="G626" s="2">
        <v>1568.1799999999994</v>
      </c>
    </row>
    <row r="627" spans="1:7" hidden="1" x14ac:dyDescent="0.3">
      <c r="A627" t="s">
        <v>243</v>
      </c>
      <c r="B627" t="s">
        <v>244</v>
      </c>
      <c r="C627" t="s">
        <v>5</v>
      </c>
      <c r="D627" s="1">
        <v>45808</v>
      </c>
      <c r="E627">
        <v>145</v>
      </c>
      <c r="F627" s="2">
        <v>1648.5100000000002</v>
      </c>
      <c r="G627" s="2">
        <v>1648.5100000000002</v>
      </c>
    </row>
    <row r="628" spans="1:7" hidden="1" x14ac:dyDescent="0.3">
      <c r="A628" t="s">
        <v>243</v>
      </c>
      <c r="B628" t="s">
        <v>244</v>
      </c>
      <c r="C628" t="s">
        <v>5</v>
      </c>
      <c r="D628" s="1">
        <v>45838</v>
      </c>
      <c r="E628">
        <v>131.25</v>
      </c>
      <c r="F628" s="2">
        <v>1587.0800000000017</v>
      </c>
      <c r="G628" s="2">
        <v>1623.77</v>
      </c>
    </row>
    <row r="629" spans="1:7" hidden="1" x14ac:dyDescent="0.3">
      <c r="A629" t="s">
        <v>245</v>
      </c>
      <c r="B629" t="s">
        <v>246</v>
      </c>
      <c r="C629" t="s">
        <v>3</v>
      </c>
      <c r="D629" s="1">
        <v>45688</v>
      </c>
      <c r="E629">
        <v>71</v>
      </c>
      <c r="F629" s="2">
        <v>911.49</v>
      </c>
      <c r="G629" s="2">
        <v>911.49</v>
      </c>
    </row>
    <row r="630" spans="1:7" hidden="1" x14ac:dyDescent="0.3">
      <c r="A630" t="s">
        <v>245</v>
      </c>
      <c r="B630" t="s">
        <v>246</v>
      </c>
      <c r="C630" t="s">
        <v>3</v>
      </c>
      <c r="D630" s="1">
        <v>45716</v>
      </c>
      <c r="E630">
        <v>58.5</v>
      </c>
      <c r="F630" s="2">
        <v>752.25</v>
      </c>
      <c r="G630" s="2">
        <v>752.25</v>
      </c>
    </row>
    <row r="631" spans="1:7" hidden="1" x14ac:dyDescent="0.3">
      <c r="A631" t="s">
        <v>245</v>
      </c>
      <c r="B631" t="s">
        <v>246</v>
      </c>
      <c r="C631" t="s">
        <v>3</v>
      </c>
      <c r="D631" s="1">
        <v>45747</v>
      </c>
      <c r="E631">
        <v>75</v>
      </c>
      <c r="F631" s="2">
        <v>847.6400000000001</v>
      </c>
      <c r="G631" s="2">
        <v>847.6400000000001</v>
      </c>
    </row>
    <row r="632" spans="1:7" hidden="1" x14ac:dyDescent="0.3">
      <c r="A632" t="s">
        <v>245</v>
      </c>
      <c r="B632" t="s">
        <v>246</v>
      </c>
      <c r="C632" t="s">
        <v>3</v>
      </c>
      <c r="D632" s="1">
        <v>45777</v>
      </c>
      <c r="E632">
        <v>55</v>
      </c>
      <c r="F632" s="2">
        <v>888.34999999999991</v>
      </c>
      <c r="G632" s="2">
        <v>888.34999999999991</v>
      </c>
    </row>
    <row r="633" spans="1:7" hidden="1" x14ac:dyDescent="0.3">
      <c r="A633" t="s">
        <v>245</v>
      </c>
      <c r="B633" t="s">
        <v>246</v>
      </c>
      <c r="C633" t="s">
        <v>3</v>
      </c>
      <c r="D633" s="1">
        <v>45808</v>
      </c>
      <c r="E633">
        <v>58</v>
      </c>
      <c r="F633" s="2">
        <v>748.58000000000038</v>
      </c>
      <c r="G633" s="2">
        <v>748.58000000000038</v>
      </c>
    </row>
    <row r="634" spans="1:7" hidden="1" x14ac:dyDescent="0.3">
      <c r="A634" t="s">
        <v>245</v>
      </c>
      <c r="B634" t="s">
        <v>246</v>
      </c>
      <c r="C634" t="s">
        <v>3</v>
      </c>
      <c r="D634" s="1">
        <v>45838</v>
      </c>
      <c r="E634">
        <v>68</v>
      </c>
      <c r="F634" s="2">
        <v>866.36999999999989</v>
      </c>
      <c r="G634" s="2">
        <v>748.58000000000038</v>
      </c>
    </row>
    <row r="635" spans="1:7" hidden="1" x14ac:dyDescent="0.3">
      <c r="A635" t="s">
        <v>247</v>
      </c>
      <c r="B635" t="s">
        <v>248</v>
      </c>
      <c r="C635" t="s">
        <v>2</v>
      </c>
      <c r="D635" s="1">
        <v>45688</v>
      </c>
      <c r="E635">
        <v>135</v>
      </c>
      <c r="F635" s="2">
        <v>1870.46</v>
      </c>
      <c r="G635" s="2">
        <v>1870.46</v>
      </c>
    </row>
    <row r="636" spans="1:7" hidden="1" x14ac:dyDescent="0.3">
      <c r="A636" t="s">
        <v>247</v>
      </c>
      <c r="B636" t="s">
        <v>248</v>
      </c>
      <c r="C636" t="s">
        <v>2</v>
      </c>
      <c r="D636" s="1">
        <v>45716</v>
      </c>
      <c r="E636">
        <v>120</v>
      </c>
      <c r="F636" s="2">
        <v>1626.7399999999998</v>
      </c>
      <c r="G636" s="2">
        <v>1626.7399999999998</v>
      </c>
    </row>
    <row r="637" spans="1:7" hidden="1" x14ac:dyDescent="0.3">
      <c r="A637" t="s">
        <v>247</v>
      </c>
      <c r="B637" t="s">
        <v>248</v>
      </c>
      <c r="C637" t="s">
        <v>2</v>
      </c>
      <c r="D637" s="1">
        <v>45747</v>
      </c>
      <c r="E637">
        <v>139.5</v>
      </c>
      <c r="F637" s="2">
        <v>1718.8500000000004</v>
      </c>
      <c r="G637" s="2">
        <v>1718.8500000000004</v>
      </c>
    </row>
    <row r="638" spans="1:7" hidden="1" x14ac:dyDescent="0.3">
      <c r="A638" t="s">
        <v>247</v>
      </c>
      <c r="B638" t="s">
        <v>248</v>
      </c>
      <c r="C638" t="s">
        <v>2</v>
      </c>
      <c r="D638" s="1">
        <v>45777</v>
      </c>
      <c r="E638">
        <v>148</v>
      </c>
      <c r="F638" s="2">
        <v>1787.63</v>
      </c>
      <c r="G638" s="2">
        <v>1787.63</v>
      </c>
    </row>
    <row r="639" spans="1:7" hidden="1" x14ac:dyDescent="0.3">
      <c r="A639" t="s">
        <v>247</v>
      </c>
      <c r="B639" t="s">
        <v>248</v>
      </c>
      <c r="C639" t="s">
        <v>2</v>
      </c>
      <c r="D639" s="1">
        <v>45808</v>
      </c>
      <c r="E639">
        <v>140</v>
      </c>
      <c r="F639" s="2">
        <v>1654.6799999999985</v>
      </c>
      <c r="G639" s="2">
        <v>1654.6799999999985</v>
      </c>
    </row>
    <row r="640" spans="1:7" hidden="1" x14ac:dyDescent="0.3">
      <c r="A640" t="s">
        <v>247</v>
      </c>
      <c r="B640" t="s">
        <v>248</v>
      </c>
      <c r="C640" t="s">
        <v>2</v>
      </c>
      <c r="D640" s="1">
        <v>45838</v>
      </c>
      <c r="E640">
        <v>113.25</v>
      </c>
      <c r="F640" s="2">
        <v>1646.7000000000007</v>
      </c>
      <c r="G640" s="2">
        <v>1654.6799999999985</v>
      </c>
    </row>
    <row r="641" spans="1:7" hidden="1" x14ac:dyDescent="0.3">
      <c r="A641" t="s">
        <v>249</v>
      </c>
      <c r="B641" t="s">
        <v>250</v>
      </c>
      <c r="C641" t="s">
        <v>2</v>
      </c>
      <c r="D641" s="1">
        <v>45688</v>
      </c>
      <c r="E641">
        <v>159</v>
      </c>
      <c r="F641" s="2">
        <v>2199.1799999999998</v>
      </c>
      <c r="G641" s="2">
        <v>2199.1799999999998</v>
      </c>
    </row>
    <row r="642" spans="1:7" hidden="1" x14ac:dyDescent="0.3">
      <c r="A642" t="s">
        <v>249</v>
      </c>
      <c r="B642" t="s">
        <v>250</v>
      </c>
      <c r="C642" t="s">
        <v>2</v>
      </c>
      <c r="D642" s="1">
        <v>45716</v>
      </c>
      <c r="E642">
        <v>152</v>
      </c>
      <c r="F642" s="2">
        <v>2000.6600000000003</v>
      </c>
      <c r="G642" s="2">
        <v>2000.6600000000003</v>
      </c>
    </row>
    <row r="643" spans="1:7" hidden="1" x14ac:dyDescent="0.3">
      <c r="A643" t="s">
        <v>249</v>
      </c>
      <c r="B643" t="s">
        <v>250</v>
      </c>
      <c r="C643" t="s">
        <v>2</v>
      </c>
      <c r="D643" s="1">
        <v>45747</v>
      </c>
      <c r="E643">
        <v>157</v>
      </c>
      <c r="F643" s="2">
        <v>2471.54</v>
      </c>
      <c r="G643" s="2">
        <v>2471.54</v>
      </c>
    </row>
    <row r="644" spans="1:7" hidden="1" x14ac:dyDescent="0.3">
      <c r="A644" t="s">
        <v>249</v>
      </c>
      <c r="B644" t="s">
        <v>250</v>
      </c>
      <c r="C644" t="s">
        <v>2</v>
      </c>
      <c r="D644" s="1">
        <v>45777</v>
      </c>
      <c r="E644">
        <v>155.5</v>
      </c>
      <c r="F644" s="2">
        <v>2701.9800000000005</v>
      </c>
      <c r="G644" s="2">
        <v>2701.9800000000005</v>
      </c>
    </row>
    <row r="645" spans="1:7" hidden="1" x14ac:dyDescent="0.3">
      <c r="A645" t="s">
        <v>249</v>
      </c>
      <c r="B645" t="s">
        <v>250</v>
      </c>
      <c r="C645" t="s">
        <v>2</v>
      </c>
      <c r="D645" s="1">
        <v>45808</v>
      </c>
      <c r="E645">
        <v>144.5</v>
      </c>
      <c r="F645" s="2">
        <v>2282.9500000000007</v>
      </c>
      <c r="G645" s="2">
        <v>2282.9500000000007</v>
      </c>
    </row>
    <row r="646" spans="1:7" hidden="1" x14ac:dyDescent="0.3">
      <c r="A646" t="s">
        <v>249</v>
      </c>
      <c r="B646" t="s">
        <v>250</v>
      </c>
      <c r="C646" t="s">
        <v>2</v>
      </c>
      <c r="D646" s="1">
        <v>45838</v>
      </c>
      <c r="E646">
        <v>147.75</v>
      </c>
      <c r="F646" s="2">
        <v>2320.5599999999995</v>
      </c>
      <c r="G646" s="2">
        <v>2282.9500000000007</v>
      </c>
    </row>
    <row r="647" spans="1:7" hidden="1" x14ac:dyDescent="0.3">
      <c r="A647" t="s">
        <v>251</v>
      </c>
      <c r="B647" t="s">
        <v>252</v>
      </c>
      <c r="C647" t="s">
        <v>2</v>
      </c>
      <c r="D647" s="1">
        <v>45688</v>
      </c>
      <c r="E647">
        <v>22.75</v>
      </c>
      <c r="F647" s="2">
        <v>760.03</v>
      </c>
      <c r="G647" s="2">
        <v>760.03</v>
      </c>
    </row>
    <row r="648" spans="1:7" hidden="1" x14ac:dyDescent="0.3">
      <c r="A648" t="s">
        <v>251</v>
      </c>
      <c r="B648" t="s">
        <v>252</v>
      </c>
      <c r="C648" t="s">
        <v>2</v>
      </c>
      <c r="D648" s="1">
        <v>45716</v>
      </c>
      <c r="E648">
        <v>0</v>
      </c>
      <c r="F648" s="2">
        <v>381.93000000000006</v>
      </c>
      <c r="G648" s="2">
        <v>381.93000000000006</v>
      </c>
    </row>
    <row r="649" spans="1:7" hidden="1" x14ac:dyDescent="0.3">
      <c r="A649" t="s">
        <v>251</v>
      </c>
      <c r="B649" t="s">
        <v>252</v>
      </c>
      <c r="C649" t="s">
        <v>2</v>
      </c>
      <c r="D649" s="1">
        <v>45747</v>
      </c>
      <c r="E649">
        <v>47</v>
      </c>
      <c r="F649" s="2">
        <v>689.40999999999985</v>
      </c>
      <c r="G649" s="2">
        <v>689.40999999999985</v>
      </c>
    </row>
    <row r="650" spans="1:7" hidden="1" x14ac:dyDescent="0.3">
      <c r="A650" t="s">
        <v>251</v>
      </c>
      <c r="B650" t="s">
        <v>252</v>
      </c>
      <c r="C650" t="s">
        <v>2</v>
      </c>
      <c r="D650" s="1">
        <v>45777</v>
      </c>
      <c r="E650">
        <v>29</v>
      </c>
      <c r="F650" s="2">
        <v>772.61000000000013</v>
      </c>
      <c r="G650" s="2">
        <v>772.61000000000013</v>
      </c>
    </row>
    <row r="651" spans="1:7" hidden="1" x14ac:dyDescent="0.3">
      <c r="A651" t="s">
        <v>251</v>
      </c>
      <c r="B651" t="s">
        <v>252</v>
      </c>
      <c r="C651" t="s">
        <v>2</v>
      </c>
      <c r="D651" s="1">
        <v>45808</v>
      </c>
      <c r="E651">
        <v>36.5</v>
      </c>
      <c r="F651" s="2">
        <v>722.70999999999958</v>
      </c>
      <c r="G651" s="2">
        <v>722.70999999999958</v>
      </c>
    </row>
    <row r="652" spans="1:7" hidden="1" x14ac:dyDescent="0.3">
      <c r="A652" t="s">
        <v>251</v>
      </c>
      <c r="B652" t="s">
        <v>252</v>
      </c>
      <c r="C652" t="s">
        <v>2</v>
      </c>
      <c r="D652" s="1">
        <v>45838</v>
      </c>
      <c r="E652">
        <v>32</v>
      </c>
      <c r="F652" s="2">
        <v>842.74000000000069</v>
      </c>
      <c r="G652" s="2">
        <v>722.70999999999958</v>
      </c>
    </row>
    <row r="653" spans="1:7" hidden="1" x14ac:dyDescent="0.3">
      <c r="A653" t="s">
        <v>253</v>
      </c>
      <c r="B653" t="s">
        <v>254</v>
      </c>
      <c r="C653" t="s">
        <v>5</v>
      </c>
      <c r="D653" s="1">
        <v>45688</v>
      </c>
      <c r="E653">
        <v>143</v>
      </c>
      <c r="F653" s="2">
        <v>1626.83</v>
      </c>
      <c r="G653" s="2">
        <v>1626.83</v>
      </c>
    </row>
    <row r="654" spans="1:7" hidden="1" x14ac:dyDescent="0.3">
      <c r="A654" t="s">
        <v>253</v>
      </c>
      <c r="B654" t="s">
        <v>254</v>
      </c>
      <c r="C654" t="s">
        <v>5</v>
      </c>
      <c r="D654" s="1">
        <v>45716</v>
      </c>
      <c r="E654">
        <v>134</v>
      </c>
      <c r="F654" s="2">
        <v>1618.12</v>
      </c>
      <c r="G654" s="2">
        <v>1618.12</v>
      </c>
    </row>
    <row r="655" spans="1:7" hidden="1" x14ac:dyDescent="0.3">
      <c r="A655" t="s">
        <v>253</v>
      </c>
      <c r="B655" t="s">
        <v>254</v>
      </c>
      <c r="C655" t="s">
        <v>5</v>
      </c>
      <c r="D655" s="1">
        <v>45747</v>
      </c>
      <c r="E655">
        <v>118.5</v>
      </c>
      <c r="F655" s="2">
        <v>1408.0900000000001</v>
      </c>
      <c r="G655" s="2">
        <v>1408.0900000000001</v>
      </c>
    </row>
    <row r="656" spans="1:7" hidden="1" x14ac:dyDescent="0.3">
      <c r="A656" t="s">
        <v>253</v>
      </c>
      <c r="B656" t="s">
        <v>254</v>
      </c>
      <c r="C656" t="s">
        <v>5</v>
      </c>
      <c r="D656" s="1">
        <v>45777</v>
      </c>
      <c r="E656">
        <v>121.5</v>
      </c>
      <c r="F656" s="2">
        <v>1489.3000000000002</v>
      </c>
      <c r="G656" s="2">
        <v>1489.3000000000002</v>
      </c>
    </row>
    <row r="657" spans="1:7" hidden="1" x14ac:dyDescent="0.3">
      <c r="A657" t="s">
        <v>253</v>
      </c>
      <c r="B657" t="s">
        <v>254</v>
      </c>
      <c r="C657" t="s">
        <v>5</v>
      </c>
      <c r="D657" s="1">
        <v>45808</v>
      </c>
      <c r="E657">
        <v>48.5</v>
      </c>
      <c r="F657" s="2">
        <v>1276.1500000000005</v>
      </c>
      <c r="G657" s="2">
        <v>1276.1500000000005</v>
      </c>
    </row>
    <row r="658" spans="1:7" hidden="1" x14ac:dyDescent="0.3">
      <c r="A658" t="s">
        <v>253</v>
      </c>
      <c r="B658" t="s">
        <v>254</v>
      </c>
      <c r="C658" t="s">
        <v>5</v>
      </c>
      <c r="D658" s="1">
        <v>45838</v>
      </c>
      <c r="E658">
        <v>94.25</v>
      </c>
      <c r="F658" s="2">
        <v>1273.2699999999995</v>
      </c>
      <c r="G658" s="2">
        <v>1483.6980000000001</v>
      </c>
    </row>
    <row r="659" spans="1:7" hidden="1" x14ac:dyDescent="0.3">
      <c r="A659" t="s">
        <v>255</v>
      </c>
      <c r="B659" t="s">
        <v>256</v>
      </c>
      <c r="C659" t="s">
        <v>5</v>
      </c>
      <c r="D659" s="1">
        <v>45688</v>
      </c>
      <c r="E659">
        <v>77</v>
      </c>
      <c r="F659" s="2">
        <v>1044.0200000000002</v>
      </c>
      <c r="G659" s="2">
        <v>1044.0200000000002</v>
      </c>
    </row>
    <row r="660" spans="1:7" hidden="1" x14ac:dyDescent="0.3">
      <c r="A660" t="s">
        <v>255</v>
      </c>
      <c r="B660" t="s">
        <v>256</v>
      </c>
      <c r="C660" t="s">
        <v>5</v>
      </c>
      <c r="D660" s="1">
        <v>45716</v>
      </c>
      <c r="E660">
        <v>49</v>
      </c>
      <c r="F660" s="2">
        <v>484.44000000000005</v>
      </c>
      <c r="G660" s="2">
        <v>484.44000000000005</v>
      </c>
    </row>
    <row r="661" spans="1:7" hidden="1" x14ac:dyDescent="0.3">
      <c r="A661" t="s">
        <v>257</v>
      </c>
      <c r="B661" t="s">
        <v>258</v>
      </c>
      <c r="C661" t="s">
        <v>5</v>
      </c>
      <c r="D661" s="1">
        <v>45716</v>
      </c>
      <c r="E661">
        <v>0</v>
      </c>
      <c r="F661" s="2">
        <v>1.7400000000000091</v>
      </c>
      <c r="G661" s="2">
        <v>1.7400000000000091</v>
      </c>
    </row>
    <row r="662" spans="1:7" hidden="1" x14ac:dyDescent="0.3">
      <c r="A662" t="s">
        <v>257</v>
      </c>
      <c r="B662" t="s">
        <v>258</v>
      </c>
      <c r="C662" t="s">
        <v>5</v>
      </c>
      <c r="D662" s="1">
        <v>45747</v>
      </c>
      <c r="E662">
        <v>0</v>
      </c>
      <c r="F662" s="2">
        <v>0.5</v>
      </c>
      <c r="G662" s="2">
        <v>0.5</v>
      </c>
    </row>
    <row r="663" spans="1:7" hidden="1" x14ac:dyDescent="0.3">
      <c r="A663" t="s">
        <v>259</v>
      </c>
      <c r="B663" t="s">
        <v>260</v>
      </c>
      <c r="C663" t="s">
        <v>2</v>
      </c>
      <c r="D663" s="1">
        <v>45688</v>
      </c>
      <c r="E663">
        <v>105</v>
      </c>
      <c r="F663" s="2">
        <v>1661.2299999999998</v>
      </c>
      <c r="G663" s="2">
        <v>1661.2299999999998</v>
      </c>
    </row>
    <row r="664" spans="1:7" hidden="1" x14ac:dyDescent="0.3">
      <c r="A664" t="s">
        <v>259</v>
      </c>
      <c r="B664" t="s">
        <v>260</v>
      </c>
      <c r="C664" t="s">
        <v>2</v>
      </c>
      <c r="D664" s="1">
        <v>45716</v>
      </c>
      <c r="E664">
        <v>120.25</v>
      </c>
      <c r="F664" s="2">
        <v>1679.47</v>
      </c>
      <c r="G664" s="2">
        <v>1679.47</v>
      </c>
    </row>
    <row r="665" spans="1:7" hidden="1" x14ac:dyDescent="0.3">
      <c r="A665" t="s">
        <v>259</v>
      </c>
      <c r="B665" t="s">
        <v>260</v>
      </c>
      <c r="C665" t="s">
        <v>2</v>
      </c>
      <c r="D665" s="1">
        <v>45747</v>
      </c>
      <c r="E665">
        <v>102.5</v>
      </c>
      <c r="F665" s="2">
        <v>1642.04</v>
      </c>
      <c r="G665" s="2">
        <v>1642.04</v>
      </c>
    </row>
    <row r="666" spans="1:7" hidden="1" x14ac:dyDescent="0.3">
      <c r="A666" t="s">
        <v>259</v>
      </c>
      <c r="B666" t="s">
        <v>260</v>
      </c>
      <c r="C666" t="s">
        <v>2</v>
      </c>
      <c r="D666" s="1">
        <v>45777</v>
      </c>
      <c r="E666">
        <v>126.5</v>
      </c>
      <c r="F666" s="2">
        <v>2527.1800000000012</v>
      </c>
      <c r="G666" s="2">
        <v>2527.1800000000012</v>
      </c>
    </row>
    <row r="667" spans="1:7" hidden="1" x14ac:dyDescent="0.3">
      <c r="A667" t="s">
        <v>259</v>
      </c>
      <c r="B667" t="s">
        <v>260</v>
      </c>
      <c r="C667" t="s">
        <v>2</v>
      </c>
      <c r="D667" s="1">
        <v>45808</v>
      </c>
      <c r="E667">
        <v>112.5</v>
      </c>
      <c r="F667" s="2">
        <v>1924.37</v>
      </c>
      <c r="G667" s="2">
        <v>1924.37</v>
      </c>
    </row>
    <row r="668" spans="1:7" hidden="1" x14ac:dyDescent="0.3">
      <c r="A668" t="s">
        <v>259</v>
      </c>
      <c r="B668" t="s">
        <v>260</v>
      </c>
      <c r="C668" t="s">
        <v>2</v>
      </c>
      <c r="D668" s="1">
        <v>45838</v>
      </c>
      <c r="E668">
        <v>107</v>
      </c>
      <c r="F668" s="2">
        <v>1867.4200000000019</v>
      </c>
      <c r="G668" s="2">
        <v>1924.37</v>
      </c>
    </row>
    <row r="669" spans="1:7" x14ac:dyDescent="0.3">
      <c r="A669" t="s">
        <v>261</v>
      </c>
      <c r="B669" t="s">
        <v>262</v>
      </c>
      <c r="C669" t="s">
        <v>13</v>
      </c>
      <c r="D669" s="1">
        <v>45688</v>
      </c>
      <c r="E669">
        <v>67.5</v>
      </c>
      <c r="F669" s="2">
        <v>1513.4799999999998</v>
      </c>
      <c r="G669" s="2">
        <v>1513.4799999999998</v>
      </c>
    </row>
    <row r="670" spans="1:7" x14ac:dyDescent="0.3">
      <c r="A670" t="s">
        <v>261</v>
      </c>
      <c r="B670" t="s">
        <v>262</v>
      </c>
      <c r="C670" t="s">
        <v>13</v>
      </c>
      <c r="D670" s="1">
        <v>45716</v>
      </c>
      <c r="E670">
        <v>69</v>
      </c>
      <c r="F670" s="2">
        <v>995.77000000000021</v>
      </c>
      <c r="G670" s="2">
        <v>995.77000000000021</v>
      </c>
    </row>
    <row r="671" spans="1:7" hidden="1" x14ac:dyDescent="0.3">
      <c r="A671" t="s">
        <v>263</v>
      </c>
      <c r="B671" t="s">
        <v>264</v>
      </c>
      <c r="C671" t="s">
        <v>2</v>
      </c>
      <c r="D671" s="1">
        <v>45688</v>
      </c>
      <c r="E671">
        <v>114</v>
      </c>
      <c r="F671" s="2">
        <v>1410.89</v>
      </c>
      <c r="G671" s="2">
        <v>1410.89</v>
      </c>
    </row>
    <row r="672" spans="1:7" hidden="1" x14ac:dyDescent="0.3">
      <c r="A672" t="s">
        <v>263</v>
      </c>
      <c r="B672" t="s">
        <v>264</v>
      </c>
      <c r="C672" t="s">
        <v>2</v>
      </c>
      <c r="D672" s="1">
        <v>45716</v>
      </c>
      <c r="E672">
        <v>107</v>
      </c>
      <c r="F672" s="2">
        <v>1217.0899999999999</v>
      </c>
      <c r="G672" s="2">
        <v>1217.0899999999999</v>
      </c>
    </row>
    <row r="673" spans="1:7" hidden="1" x14ac:dyDescent="0.3">
      <c r="A673" t="s">
        <v>263</v>
      </c>
      <c r="B673" t="s">
        <v>264</v>
      </c>
      <c r="C673" t="s">
        <v>2</v>
      </c>
      <c r="D673" s="1">
        <v>45747</v>
      </c>
      <c r="E673">
        <v>122</v>
      </c>
      <c r="F673" s="2">
        <v>1339.6800000000003</v>
      </c>
      <c r="G673" s="2">
        <v>1339.6800000000003</v>
      </c>
    </row>
    <row r="674" spans="1:7" hidden="1" x14ac:dyDescent="0.3">
      <c r="A674" t="s">
        <v>263</v>
      </c>
      <c r="B674" t="s">
        <v>264</v>
      </c>
      <c r="C674" t="s">
        <v>2</v>
      </c>
      <c r="D674" s="1">
        <v>45777</v>
      </c>
      <c r="E674">
        <v>106</v>
      </c>
      <c r="F674" s="2">
        <v>1336.5499999999997</v>
      </c>
      <c r="G674" s="2">
        <v>1336.5499999999997</v>
      </c>
    </row>
    <row r="675" spans="1:7" hidden="1" x14ac:dyDescent="0.3">
      <c r="A675" t="s">
        <v>263</v>
      </c>
      <c r="B675" t="s">
        <v>264</v>
      </c>
      <c r="C675" t="s">
        <v>2</v>
      </c>
      <c r="D675" s="1">
        <v>45808</v>
      </c>
      <c r="E675">
        <v>106.5</v>
      </c>
      <c r="F675" s="2">
        <v>1310.6099999999997</v>
      </c>
      <c r="G675" s="2">
        <v>1310.6099999999997</v>
      </c>
    </row>
    <row r="676" spans="1:7" hidden="1" x14ac:dyDescent="0.3">
      <c r="A676" t="s">
        <v>263</v>
      </c>
      <c r="B676" t="s">
        <v>264</v>
      </c>
      <c r="C676" t="s">
        <v>2</v>
      </c>
      <c r="D676" s="1">
        <v>45838</v>
      </c>
      <c r="E676">
        <v>107</v>
      </c>
      <c r="F676" s="2">
        <v>1369.79</v>
      </c>
      <c r="G676" s="2">
        <v>1310.6099999999997</v>
      </c>
    </row>
    <row r="677" spans="1:7" hidden="1" x14ac:dyDescent="0.3">
      <c r="A677" t="s">
        <v>265</v>
      </c>
      <c r="B677" t="s">
        <v>266</v>
      </c>
      <c r="C677" t="s">
        <v>7</v>
      </c>
      <c r="D677" s="1">
        <v>45688</v>
      </c>
      <c r="E677">
        <v>144</v>
      </c>
      <c r="F677" s="2">
        <v>5476.56</v>
      </c>
      <c r="G677" s="2">
        <v>5476.56</v>
      </c>
    </row>
    <row r="678" spans="1:7" hidden="1" x14ac:dyDescent="0.3">
      <c r="A678" t="s">
        <v>265</v>
      </c>
      <c r="B678" t="s">
        <v>266</v>
      </c>
      <c r="C678" t="s">
        <v>7</v>
      </c>
      <c r="D678" s="1">
        <v>45716</v>
      </c>
      <c r="E678">
        <v>137</v>
      </c>
      <c r="F678" s="2">
        <v>5491.5999999999995</v>
      </c>
      <c r="G678" s="2">
        <v>5491.5999999999995</v>
      </c>
    </row>
    <row r="679" spans="1:7" hidden="1" x14ac:dyDescent="0.3">
      <c r="A679" t="s">
        <v>265</v>
      </c>
      <c r="B679" t="s">
        <v>266</v>
      </c>
      <c r="C679" t="s">
        <v>7</v>
      </c>
      <c r="D679" s="1">
        <v>45747</v>
      </c>
      <c r="E679">
        <v>133</v>
      </c>
      <c r="F679" s="2">
        <v>5144.0999999999985</v>
      </c>
      <c r="G679" s="2">
        <v>5144.0999999999985</v>
      </c>
    </row>
    <row r="680" spans="1:7" hidden="1" x14ac:dyDescent="0.3">
      <c r="A680" t="s">
        <v>265</v>
      </c>
      <c r="B680" t="s">
        <v>266</v>
      </c>
      <c r="C680" t="s">
        <v>7</v>
      </c>
      <c r="D680" s="1">
        <v>45777</v>
      </c>
      <c r="E680">
        <v>151.5</v>
      </c>
      <c r="F680" s="2">
        <v>7877.4600000000028</v>
      </c>
      <c r="G680" s="2">
        <v>7877.4600000000028</v>
      </c>
    </row>
    <row r="681" spans="1:7" hidden="1" x14ac:dyDescent="0.3">
      <c r="A681" t="s">
        <v>265</v>
      </c>
      <c r="B681" t="s">
        <v>266</v>
      </c>
      <c r="C681" t="s">
        <v>7</v>
      </c>
      <c r="D681" s="1">
        <v>45808</v>
      </c>
      <c r="E681">
        <v>152</v>
      </c>
      <c r="F681" s="2">
        <v>5599.9699999999939</v>
      </c>
      <c r="G681" s="2">
        <v>5599.9699999999939</v>
      </c>
    </row>
    <row r="682" spans="1:7" hidden="1" x14ac:dyDescent="0.3">
      <c r="A682" t="s">
        <v>265</v>
      </c>
      <c r="B682" t="s">
        <v>266</v>
      </c>
      <c r="C682" t="s">
        <v>7</v>
      </c>
      <c r="D682" s="1">
        <v>45838</v>
      </c>
      <c r="E682">
        <v>129</v>
      </c>
      <c r="F682" s="2">
        <v>5125.2200000000084</v>
      </c>
      <c r="G682" s="2">
        <v>5917.9379999999992</v>
      </c>
    </row>
    <row r="683" spans="1:7" hidden="1" x14ac:dyDescent="0.3">
      <c r="A683" t="s">
        <v>267</v>
      </c>
      <c r="B683" t="s">
        <v>268</v>
      </c>
      <c r="C683" t="s">
        <v>10</v>
      </c>
      <c r="D683" s="1">
        <v>45688</v>
      </c>
      <c r="E683">
        <v>114</v>
      </c>
      <c r="F683" s="2">
        <v>2099.4</v>
      </c>
      <c r="G683" s="2">
        <v>2099.4</v>
      </c>
    </row>
    <row r="684" spans="1:7" hidden="1" x14ac:dyDescent="0.3">
      <c r="A684" t="s">
        <v>267</v>
      </c>
      <c r="B684" t="s">
        <v>268</v>
      </c>
      <c r="C684" t="s">
        <v>10</v>
      </c>
      <c r="D684" s="1">
        <v>45716</v>
      </c>
      <c r="E684">
        <v>129</v>
      </c>
      <c r="F684" s="2">
        <v>2236.2100000000005</v>
      </c>
      <c r="G684" s="2">
        <v>2236.2100000000005</v>
      </c>
    </row>
    <row r="685" spans="1:7" hidden="1" x14ac:dyDescent="0.3">
      <c r="A685" t="s">
        <v>267</v>
      </c>
      <c r="B685" t="s">
        <v>268</v>
      </c>
      <c r="C685" t="s">
        <v>10</v>
      </c>
      <c r="D685" s="1">
        <v>45747</v>
      </c>
      <c r="E685">
        <v>160</v>
      </c>
      <c r="F685" s="2">
        <v>2623.7999999999993</v>
      </c>
      <c r="G685" s="2">
        <v>2623.7999999999993</v>
      </c>
    </row>
    <row r="686" spans="1:7" hidden="1" x14ac:dyDescent="0.3">
      <c r="A686" t="s">
        <v>267</v>
      </c>
      <c r="B686" t="s">
        <v>268</v>
      </c>
      <c r="C686" t="s">
        <v>10</v>
      </c>
      <c r="D686" s="1">
        <v>45777</v>
      </c>
      <c r="E686">
        <v>148.5</v>
      </c>
      <c r="F686" s="2">
        <v>2681.1099999999988</v>
      </c>
      <c r="G686" s="2">
        <v>2681.1099999999988</v>
      </c>
    </row>
    <row r="687" spans="1:7" hidden="1" x14ac:dyDescent="0.3">
      <c r="A687" t="s">
        <v>267</v>
      </c>
      <c r="B687" t="s">
        <v>268</v>
      </c>
      <c r="C687" t="s">
        <v>10</v>
      </c>
      <c r="D687" s="1">
        <v>45808</v>
      </c>
      <c r="E687">
        <v>125</v>
      </c>
      <c r="F687" s="2">
        <v>2570.2800000000007</v>
      </c>
      <c r="G687" s="2">
        <v>2570.2800000000007</v>
      </c>
    </row>
    <row r="688" spans="1:7" hidden="1" x14ac:dyDescent="0.3">
      <c r="A688" t="s">
        <v>267</v>
      </c>
      <c r="B688" t="s">
        <v>268</v>
      </c>
      <c r="C688" t="s">
        <v>10</v>
      </c>
      <c r="D688" s="1">
        <v>45838</v>
      </c>
      <c r="E688">
        <v>144</v>
      </c>
      <c r="F688" s="2">
        <v>2527.9800000000014</v>
      </c>
      <c r="G688" s="2">
        <v>2442.16</v>
      </c>
    </row>
    <row r="689" spans="1:7" hidden="1" x14ac:dyDescent="0.3">
      <c r="A689" t="s">
        <v>269</v>
      </c>
      <c r="B689" t="s">
        <v>270</v>
      </c>
      <c r="C689" t="s">
        <v>2</v>
      </c>
      <c r="D689" s="1">
        <v>45688</v>
      </c>
      <c r="E689">
        <v>144</v>
      </c>
      <c r="F689" s="2">
        <v>1972.5500000000002</v>
      </c>
      <c r="G689" s="2">
        <v>1972.5500000000002</v>
      </c>
    </row>
    <row r="690" spans="1:7" hidden="1" x14ac:dyDescent="0.3">
      <c r="A690" t="s">
        <v>269</v>
      </c>
      <c r="B690" t="s">
        <v>270</v>
      </c>
      <c r="C690" t="s">
        <v>2</v>
      </c>
      <c r="D690" s="1">
        <v>45716</v>
      </c>
      <c r="E690">
        <v>113</v>
      </c>
      <c r="F690" s="2">
        <v>1894.7399999999998</v>
      </c>
      <c r="G690" s="2">
        <v>1894.7399999999998</v>
      </c>
    </row>
    <row r="691" spans="1:7" hidden="1" x14ac:dyDescent="0.3">
      <c r="A691" t="s">
        <v>269</v>
      </c>
      <c r="B691" t="s">
        <v>270</v>
      </c>
      <c r="C691" t="s">
        <v>2</v>
      </c>
      <c r="D691" s="1">
        <v>45747</v>
      </c>
      <c r="E691">
        <v>140.75</v>
      </c>
      <c r="F691" s="2">
        <v>2169.58</v>
      </c>
      <c r="G691" s="2">
        <v>2169.58</v>
      </c>
    </row>
    <row r="692" spans="1:7" hidden="1" x14ac:dyDescent="0.3">
      <c r="A692" t="s">
        <v>269</v>
      </c>
      <c r="B692" t="s">
        <v>270</v>
      </c>
      <c r="C692" t="s">
        <v>2</v>
      </c>
      <c r="D692" s="1">
        <v>45777</v>
      </c>
      <c r="E692">
        <v>134.25</v>
      </c>
      <c r="F692" s="2">
        <v>2296.0800000000008</v>
      </c>
      <c r="G692" s="2">
        <v>2296.0800000000008</v>
      </c>
    </row>
    <row r="693" spans="1:7" hidden="1" x14ac:dyDescent="0.3">
      <c r="A693" t="s">
        <v>269</v>
      </c>
      <c r="B693" t="s">
        <v>270</v>
      </c>
      <c r="C693" t="s">
        <v>2</v>
      </c>
      <c r="D693" s="1">
        <v>45808</v>
      </c>
      <c r="E693">
        <v>117.75</v>
      </c>
      <c r="F693" s="2">
        <v>2250.4100000000017</v>
      </c>
      <c r="G693" s="2">
        <v>2250.4100000000017</v>
      </c>
    </row>
    <row r="694" spans="1:7" hidden="1" x14ac:dyDescent="0.3">
      <c r="A694" t="s">
        <v>269</v>
      </c>
      <c r="B694" t="s">
        <v>270</v>
      </c>
      <c r="C694" t="s">
        <v>2</v>
      </c>
      <c r="D694" s="1">
        <v>45838</v>
      </c>
      <c r="E694">
        <v>133.75</v>
      </c>
      <c r="F694" s="2">
        <v>2179.2199999999993</v>
      </c>
      <c r="G694" s="2">
        <v>2250.4100000000017</v>
      </c>
    </row>
    <row r="695" spans="1:7" hidden="1" x14ac:dyDescent="0.3">
      <c r="A695" t="s">
        <v>271</v>
      </c>
      <c r="B695" t="s">
        <v>272</v>
      </c>
      <c r="C695" t="s">
        <v>2</v>
      </c>
      <c r="D695" s="1">
        <v>45688</v>
      </c>
      <c r="E695">
        <v>128.5</v>
      </c>
      <c r="F695" s="2">
        <v>1586.5400000000002</v>
      </c>
      <c r="G695" s="2">
        <v>1586.5400000000002</v>
      </c>
    </row>
    <row r="696" spans="1:7" hidden="1" x14ac:dyDescent="0.3">
      <c r="A696" t="s">
        <v>271</v>
      </c>
      <c r="B696" t="s">
        <v>272</v>
      </c>
      <c r="C696" t="s">
        <v>2</v>
      </c>
      <c r="D696" s="1">
        <v>45716</v>
      </c>
      <c r="E696">
        <v>131</v>
      </c>
      <c r="F696" s="2">
        <v>1473.32</v>
      </c>
      <c r="G696" s="2">
        <v>1473.32</v>
      </c>
    </row>
    <row r="697" spans="1:7" hidden="1" x14ac:dyDescent="0.3">
      <c r="A697" t="s">
        <v>271</v>
      </c>
      <c r="B697" t="s">
        <v>272</v>
      </c>
      <c r="C697" t="s">
        <v>2</v>
      </c>
      <c r="D697" s="1">
        <v>45747</v>
      </c>
      <c r="E697">
        <v>127.5</v>
      </c>
      <c r="F697" s="2">
        <v>1441.98</v>
      </c>
      <c r="G697" s="2">
        <v>1441.98</v>
      </c>
    </row>
    <row r="698" spans="1:7" hidden="1" x14ac:dyDescent="0.3">
      <c r="A698" t="s">
        <v>271</v>
      </c>
      <c r="B698" t="s">
        <v>272</v>
      </c>
      <c r="C698" t="s">
        <v>2</v>
      </c>
      <c r="D698" s="1">
        <v>45777</v>
      </c>
      <c r="E698">
        <v>105</v>
      </c>
      <c r="F698" s="2">
        <v>1511.9599999999991</v>
      </c>
      <c r="G698" s="2">
        <v>1511.9599999999991</v>
      </c>
    </row>
    <row r="699" spans="1:7" hidden="1" x14ac:dyDescent="0.3">
      <c r="A699" t="s">
        <v>271</v>
      </c>
      <c r="B699" t="s">
        <v>272</v>
      </c>
      <c r="C699" t="s">
        <v>2</v>
      </c>
      <c r="D699" s="1">
        <v>45808</v>
      </c>
      <c r="E699">
        <v>84</v>
      </c>
      <c r="F699" s="2">
        <v>1333.6000000000004</v>
      </c>
      <c r="G699" s="2">
        <v>1333.6000000000004</v>
      </c>
    </row>
    <row r="700" spans="1:7" hidden="1" x14ac:dyDescent="0.3">
      <c r="A700" t="s">
        <v>271</v>
      </c>
      <c r="B700" t="s">
        <v>272</v>
      </c>
      <c r="C700" t="s">
        <v>2</v>
      </c>
      <c r="D700" s="1">
        <v>45838</v>
      </c>
      <c r="E700">
        <v>130.5</v>
      </c>
      <c r="F700" s="2">
        <v>1567.4700000000012</v>
      </c>
      <c r="G700" s="2">
        <v>1333.6000000000004</v>
      </c>
    </row>
    <row r="701" spans="1:7" hidden="1" x14ac:dyDescent="0.3">
      <c r="A701" t="s">
        <v>273</v>
      </c>
      <c r="B701" t="s">
        <v>274</v>
      </c>
      <c r="C701" t="s">
        <v>3</v>
      </c>
      <c r="D701" s="1">
        <v>45688</v>
      </c>
      <c r="E701">
        <v>147.25</v>
      </c>
      <c r="F701" s="2">
        <v>1729.66</v>
      </c>
      <c r="G701" s="2">
        <v>1729.66</v>
      </c>
    </row>
    <row r="702" spans="1:7" hidden="1" x14ac:dyDescent="0.3">
      <c r="A702" t="s">
        <v>273</v>
      </c>
      <c r="B702" t="s">
        <v>274</v>
      </c>
      <c r="C702" t="s">
        <v>3</v>
      </c>
      <c r="D702" s="1">
        <v>45716</v>
      </c>
      <c r="E702">
        <v>83.5</v>
      </c>
      <c r="F702" s="2">
        <v>1261.0899999999999</v>
      </c>
      <c r="G702" s="2">
        <v>1261.0899999999999</v>
      </c>
    </row>
    <row r="703" spans="1:7" hidden="1" x14ac:dyDescent="0.3">
      <c r="A703" t="s">
        <v>273</v>
      </c>
      <c r="B703" t="s">
        <v>274</v>
      </c>
      <c r="C703" t="s">
        <v>3</v>
      </c>
      <c r="D703" s="1">
        <v>45747</v>
      </c>
      <c r="E703">
        <v>145</v>
      </c>
      <c r="F703" s="2">
        <v>1600.4899999999998</v>
      </c>
      <c r="G703" s="2">
        <v>1600.4899999999998</v>
      </c>
    </row>
    <row r="704" spans="1:7" hidden="1" x14ac:dyDescent="0.3">
      <c r="A704" t="s">
        <v>273</v>
      </c>
      <c r="B704" t="s">
        <v>274</v>
      </c>
      <c r="C704" t="s">
        <v>3</v>
      </c>
      <c r="D704" s="1">
        <v>45777</v>
      </c>
      <c r="E704">
        <v>96</v>
      </c>
      <c r="F704" s="2">
        <v>1616.46</v>
      </c>
      <c r="G704" s="2">
        <v>1616.46</v>
      </c>
    </row>
    <row r="705" spans="1:7" hidden="1" x14ac:dyDescent="0.3">
      <c r="A705" t="s">
        <v>273</v>
      </c>
      <c r="B705" t="s">
        <v>274</v>
      </c>
      <c r="C705" t="s">
        <v>3</v>
      </c>
      <c r="D705" s="1">
        <v>45808</v>
      </c>
      <c r="E705">
        <v>119.5</v>
      </c>
      <c r="F705" s="2">
        <v>1488.5900000000001</v>
      </c>
      <c r="G705" s="2">
        <v>1488.5900000000001</v>
      </c>
    </row>
    <row r="706" spans="1:7" hidden="1" x14ac:dyDescent="0.3">
      <c r="A706" t="s">
        <v>273</v>
      </c>
      <c r="B706" t="s">
        <v>274</v>
      </c>
      <c r="C706" t="s">
        <v>3</v>
      </c>
      <c r="D706" s="1">
        <v>45838</v>
      </c>
      <c r="E706">
        <v>127.75</v>
      </c>
      <c r="F706" s="2">
        <v>1532.2400000000007</v>
      </c>
      <c r="G706" s="2">
        <v>1488.5900000000001</v>
      </c>
    </row>
    <row r="707" spans="1:7" x14ac:dyDescent="0.3">
      <c r="A707" t="s">
        <v>275</v>
      </c>
      <c r="B707" t="s">
        <v>276</v>
      </c>
      <c r="C707" t="s">
        <v>13</v>
      </c>
      <c r="D707" s="1">
        <v>45688</v>
      </c>
      <c r="E707">
        <v>109.5</v>
      </c>
      <c r="F707" s="2">
        <v>1861.0500000000002</v>
      </c>
      <c r="G707" s="2">
        <v>1861.0500000000002</v>
      </c>
    </row>
    <row r="708" spans="1:7" x14ac:dyDescent="0.3">
      <c r="A708" t="s">
        <v>275</v>
      </c>
      <c r="B708" t="s">
        <v>276</v>
      </c>
      <c r="C708" t="s">
        <v>13</v>
      </c>
      <c r="D708" s="1">
        <v>45716</v>
      </c>
      <c r="E708">
        <v>82</v>
      </c>
      <c r="F708" s="2">
        <v>1278.06</v>
      </c>
      <c r="G708" s="2">
        <v>1278.06</v>
      </c>
    </row>
    <row r="709" spans="1:7" x14ac:dyDescent="0.3">
      <c r="A709" t="s">
        <v>275</v>
      </c>
      <c r="B709" t="s">
        <v>276</v>
      </c>
      <c r="C709" t="s">
        <v>13</v>
      </c>
      <c r="D709" s="1">
        <v>45747</v>
      </c>
      <c r="E709">
        <v>137.5</v>
      </c>
      <c r="F709" s="2">
        <v>2396.6</v>
      </c>
      <c r="G709" s="2">
        <v>2396.6</v>
      </c>
    </row>
    <row r="710" spans="1:7" hidden="1" x14ac:dyDescent="0.3">
      <c r="A710" t="s">
        <v>277</v>
      </c>
      <c r="B710" t="s">
        <v>278</v>
      </c>
      <c r="C710" t="s">
        <v>3</v>
      </c>
      <c r="D710" s="1">
        <v>45688</v>
      </c>
      <c r="E710">
        <v>148.75</v>
      </c>
      <c r="F710" s="2">
        <v>1775.1</v>
      </c>
      <c r="G710" s="2">
        <v>1775.1</v>
      </c>
    </row>
    <row r="711" spans="1:7" hidden="1" x14ac:dyDescent="0.3">
      <c r="A711" t="s">
        <v>277</v>
      </c>
      <c r="B711" t="s">
        <v>278</v>
      </c>
      <c r="C711" t="s">
        <v>3</v>
      </c>
      <c r="D711" s="1">
        <v>45716</v>
      </c>
      <c r="E711">
        <v>142</v>
      </c>
      <c r="F711" s="2">
        <v>1584.6</v>
      </c>
      <c r="G711" s="2">
        <v>1584.6</v>
      </c>
    </row>
    <row r="712" spans="1:7" hidden="1" x14ac:dyDescent="0.3">
      <c r="A712" t="s">
        <v>277</v>
      </c>
      <c r="B712" t="s">
        <v>278</v>
      </c>
      <c r="C712" t="s">
        <v>3</v>
      </c>
      <c r="D712" s="1">
        <v>45747</v>
      </c>
      <c r="E712">
        <v>139.5</v>
      </c>
      <c r="F712" s="2">
        <v>1596.3000000000002</v>
      </c>
      <c r="G712" s="2">
        <v>1596.3000000000002</v>
      </c>
    </row>
    <row r="713" spans="1:7" hidden="1" x14ac:dyDescent="0.3">
      <c r="A713" t="s">
        <v>277</v>
      </c>
      <c r="B713" t="s">
        <v>278</v>
      </c>
      <c r="C713" t="s">
        <v>3</v>
      </c>
      <c r="D713" s="1">
        <v>45777</v>
      </c>
      <c r="E713">
        <v>137</v>
      </c>
      <c r="F713" s="2">
        <v>1762.33</v>
      </c>
      <c r="G713" s="2">
        <v>1762.33</v>
      </c>
    </row>
    <row r="714" spans="1:7" hidden="1" x14ac:dyDescent="0.3">
      <c r="A714" t="s">
        <v>277</v>
      </c>
      <c r="B714" t="s">
        <v>278</v>
      </c>
      <c r="C714" t="s">
        <v>3</v>
      </c>
      <c r="D714" s="1">
        <v>45808</v>
      </c>
      <c r="E714">
        <v>140.75</v>
      </c>
      <c r="F714" s="2">
        <v>1688.340000000002</v>
      </c>
      <c r="G714" s="2">
        <v>1688.340000000002</v>
      </c>
    </row>
    <row r="715" spans="1:7" hidden="1" x14ac:dyDescent="0.3">
      <c r="A715" t="s">
        <v>277</v>
      </c>
      <c r="B715" t="s">
        <v>278</v>
      </c>
      <c r="C715" t="s">
        <v>3</v>
      </c>
      <c r="D715" s="1">
        <v>45838</v>
      </c>
      <c r="E715">
        <v>124.5</v>
      </c>
      <c r="F715" s="2">
        <v>1521.6399999999976</v>
      </c>
      <c r="G715" s="2">
        <v>1688.340000000002</v>
      </c>
    </row>
    <row r="716" spans="1:7" x14ac:dyDescent="0.3">
      <c r="A716" t="s">
        <v>279</v>
      </c>
      <c r="B716" t="s">
        <v>280</v>
      </c>
      <c r="C716" t="s">
        <v>13</v>
      </c>
      <c r="D716" s="1">
        <v>45688</v>
      </c>
      <c r="E716">
        <v>105.75</v>
      </c>
      <c r="F716" s="2">
        <v>2257.94</v>
      </c>
      <c r="G716" s="2">
        <v>0</v>
      </c>
    </row>
    <row r="717" spans="1:7" x14ac:dyDescent="0.3">
      <c r="A717" t="s">
        <v>279</v>
      </c>
      <c r="B717" t="s">
        <v>280</v>
      </c>
      <c r="C717" t="s">
        <v>13</v>
      </c>
      <c r="D717" s="1">
        <v>45716</v>
      </c>
      <c r="E717">
        <v>151.25</v>
      </c>
      <c r="F717" s="2">
        <v>1941.6399999999999</v>
      </c>
      <c r="G717" s="2">
        <v>0</v>
      </c>
    </row>
    <row r="718" spans="1:7" x14ac:dyDescent="0.3">
      <c r="A718" t="s">
        <v>279</v>
      </c>
      <c r="B718" t="s">
        <v>280</v>
      </c>
      <c r="C718" t="s">
        <v>13</v>
      </c>
      <c r="D718" s="1">
        <v>45747</v>
      </c>
      <c r="E718">
        <v>159.25</v>
      </c>
      <c r="F718" s="2">
        <v>1931.0699999999997</v>
      </c>
      <c r="G718" s="2">
        <v>0</v>
      </c>
    </row>
    <row r="719" spans="1:7" x14ac:dyDescent="0.3">
      <c r="A719" t="s">
        <v>279</v>
      </c>
      <c r="B719" t="s">
        <v>280</v>
      </c>
      <c r="C719" t="s">
        <v>13</v>
      </c>
      <c r="D719" s="1">
        <v>45777</v>
      </c>
      <c r="E719">
        <v>132.25</v>
      </c>
      <c r="F719" s="2">
        <v>1892.33</v>
      </c>
      <c r="G719" s="2">
        <v>0</v>
      </c>
    </row>
    <row r="720" spans="1:7" x14ac:dyDescent="0.3">
      <c r="A720" t="s">
        <v>279</v>
      </c>
      <c r="B720" t="s">
        <v>280</v>
      </c>
      <c r="C720" t="s">
        <v>13</v>
      </c>
      <c r="D720" s="1">
        <v>45808</v>
      </c>
      <c r="E720">
        <v>-548.5</v>
      </c>
      <c r="F720" s="2">
        <v>-8022.98</v>
      </c>
      <c r="G720" s="2">
        <v>0</v>
      </c>
    </row>
    <row r="721" spans="1:7" hidden="1" x14ac:dyDescent="0.3">
      <c r="A721" t="s">
        <v>281</v>
      </c>
      <c r="B721" t="s">
        <v>282</v>
      </c>
      <c r="C721" t="s">
        <v>7</v>
      </c>
      <c r="D721" s="1">
        <v>45688</v>
      </c>
      <c r="E721">
        <v>126.25</v>
      </c>
      <c r="F721" s="2">
        <v>3281.18</v>
      </c>
      <c r="G721" s="2">
        <v>3281.18</v>
      </c>
    </row>
    <row r="722" spans="1:7" hidden="1" x14ac:dyDescent="0.3">
      <c r="A722" t="s">
        <v>281</v>
      </c>
      <c r="B722" t="s">
        <v>282</v>
      </c>
      <c r="C722" t="s">
        <v>7</v>
      </c>
      <c r="D722" s="1">
        <v>45716</v>
      </c>
      <c r="E722">
        <v>132</v>
      </c>
      <c r="F722" s="2">
        <v>3512.1199999999994</v>
      </c>
      <c r="G722" s="2">
        <v>3512.1199999999994</v>
      </c>
    </row>
    <row r="723" spans="1:7" hidden="1" x14ac:dyDescent="0.3">
      <c r="A723" t="s">
        <v>281</v>
      </c>
      <c r="B723" t="s">
        <v>282</v>
      </c>
      <c r="C723" t="s">
        <v>7</v>
      </c>
      <c r="D723" s="1">
        <v>45747</v>
      </c>
      <c r="E723">
        <v>149.75</v>
      </c>
      <c r="F723" s="2">
        <v>3549</v>
      </c>
      <c r="G723" s="2">
        <v>3549</v>
      </c>
    </row>
    <row r="724" spans="1:7" hidden="1" x14ac:dyDescent="0.3">
      <c r="A724" t="s">
        <v>281</v>
      </c>
      <c r="B724" t="s">
        <v>282</v>
      </c>
      <c r="C724" t="s">
        <v>7</v>
      </c>
      <c r="D724" s="1">
        <v>45777</v>
      </c>
      <c r="E724">
        <v>133.5</v>
      </c>
      <c r="F724" s="2">
        <v>3497.340000000002</v>
      </c>
      <c r="G724" s="2">
        <v>3497.340000000002</v>
      </c>
    </row>
    <row r="725" spans="1:7" hidden="1" x14ac:dyDescent="0.3">
      <c r="A725" t="s">
        <v>281</v>
      </c>
      <c r="B725" t="s">
        <v>282</v>
      </c>
      <c r="C725" t="s">
        <v>7</v>
      </c>
      <c r="D725" s="1">
        <v>45808</v>
      </c>
      <c r="E725">
        <v>83</v>
      </c>
      <c r="F725" s="2">
        <v>3366.0599999999995</v>
      </c>
      <c r="G725" s="2">
        <v>3366.0599999999995</v>
      </c>
    </row>
    <row r="726" spans="1:7" hidden="1" x14ac:dyDescent="0.3">
      <c r="A726" t="s">
        <v>281</v>
      </c>
      <c r="B726" t="s">
        <v>282</v>
      </c>
      <c r="C726" t="s">
        <v>7</v>
      </c>
      <c r="D726" s="1">
        <v>45838</v>
      </c>
      <c r="E726">
        <v>129.5</v>
      </c>
      <c r="F726" s="2">
        <v>493.15000000000146</v>
      </c>
      <c r="G726" s="2">
        <v>3441.1400000000003</v>
      </c>
    </row>
    <row r="727" spans="1:7" hidden="1" x14ac:dyDescent="0.3">
      <c r="A727" t="s">
        <v>283</v>
      </c>
      <c r="B727" t="s">
        <v>284</v>
      </c>
      <c r="C727" t="s">
        <v>3</v>
      </c>
      <c r="D727" s="1">
        <v>45688</v>
      </c>
      <c r="E727">
        <v>105</v>
      </c>
      <c r="F727" s="2">
        <v>1232.4100000000001</v>
      </c>
      <c r="G727" s="2">
        <v>1232.4100000000001</v>
      </c>
    </row>
    <row r="728" spans="1:7" hidden="1" x14ac:dyDescent="0.3">
      <c r="A728" t="s">
        <v>283</v>
      </c>
      <c r="B728" t="s">
        <v>284</v>
      </c>
      <c r="C728" t="s">
        <v>3</v>
      </c>
      <c r="D728" s="1">
        <v>45716</v>
      </c>
      <c r="E728">
        <v>95</v>
      </c>
      <c r="F728" s="2">
        <v>1061.1899999999998</v>
      </c>
      <c r="G728" s="2">
        <v>1061.1899999999998</v>
      </c>
    </row>
    <row r="729" spans="1:7" hidden="1" x14ac:dyDescent="0.3">
      <c r="A729" t="s">
        <v>283</v>
      </c>
      <c r="B729" t="s">
        <v>284</v>
      </c>
      <c r="C729" t="s">
        <v>3</v>
      </c>
      <c r="D729" s="1">
        <v>45747</v>
      </c>
      <c r="E729">
        <v>106</v>
      </c>
      <c r="F729" s="2">
        <v>1176.1800000000003</v>
      </c>
      <c r="G729" s="2">
        <v>1176.1800000000003</v>
      </c>
    </row>
    <row r="730" spans="1:7" hidden="1" x14ac:dyDescent="0.3">
      <c r="A730" t="s">
        <v>283</v>
      </c>
      <c r="B730" t="s">
        <v>284</v>
      </c>
      <c r="C730" t="s">
        <v>3</v>
      </c>
      <c r="D730" s="1">
        <v>45777</v>
      </c>
      <c r="E730">
        <v>75</v>
      </c>
      <c r="F730" s="2">
        <v>1117.7499999999995</v>
      </c>
      <c r="G730" s="2">
        <v>1117.7499999999995</v>
      </c>
    </row>
    <row r="731" spans="1:7" hidden="1" x14ac:dyDescent="0.3">
      <c r="A731" t="s">
        <v>283</v>
      </c>
      <c r="B731" t="s">
        <v>284</v>
      </c>
      <c r="C731" t="s">
        <v>3</v>
      </c>
      <c r="D731" s="1">
        <v>45808</v>
      </c>
      <c r="E731">
        <v>95</v>
      </c>
      <c r="F731" s="2">
        <v>1141.2400000000007</v>
      </c>
      <c r="G731" s="2">
        <v>1141.2400000000007</v>
      </c>
    </row>
    <row r="732" spans="1:7" hidden="1" x14ac:dyDescent="0.3">
      <c r="A732" t="s">
        <v>283</v>
      </c>
      <c r="B732" t="s">
        <v>284</v>
      </c>
      <c r="C732" t="s">
        <v>3</v>
      </c>
      <c r="D732" s="1">
        <v>45838</v>
      </c>
      <c r="E732">
        <v>60</v>
      </c>
      <c r="F732" s="2">
        <v>825.11000000000149</v>
      </c>
      <c r="G732" s="2">
        <v>1141.2400000000007</v>
      </c>
    </row>
    <row r="733" spans="1:7" hidden="1" x14ac:dyDescent="0.3">
      <c r="A733" t="s">
        <v>285</v>
      </c>
      <c r="B733" t="s">
        <v>286</v>
      </c>
      <c r="C733" t="s">
        <v>5</v>
      </c>
      <c r="D733" s="1">
        <v>45688</v>
      </c>
      <c r="E733">
        <v>147</v>
      </c>
      <c r="F733" s="2">
        <v>1669.41</v>
      </c>
      <c r="G733" s="2">
        <v>1669.41</v>
      </c>
    </row>
    <row r="734" spans="1:7" hidden="1" x14ac:dyDescent="0.3">
      <c r="A734" t="s">
        <v>285</v>
      </c>
      <c r="B734" t="s">
        <v>286</v>
      </c>
      <c r="C734" t="s">
        <v>5</v>
      </c>
      <c r="D734" s="1">
        <v>45716</v>
      </c>
      <c r="E734">
        <v>138.25</v>
      </c>
      <c r="F734" s="2">
        <v>1653.07</v>
      </c>
      <c r="G734" s="2">
        <v>1653.07</v>
      </c>
    </row>
    <row r="735" spans="1:7" hidden="1" x14ac:dyDescent="0.3">
      <c r="A735" t="s">
        <v>285</v>
      </c>
      <c r="B735" t="s">
        <v>286</v>
      </c>
      <c r="C735" t="s">
        <v>5</v>
      </c>
      <c r="D735" s="1">
        <v>45747</v>
      </c>
      <c r="E735">
        <v>144</v>
      </c>
      <c r="F735" s="2">
        <v>1640.19</v>
      </c>
      <c r="G735" s="2">
        <v>1640.19</v>
      </c>
    </row>
    <row r="736" spans="1:7" hidden="1" x14ac:dyDescent="0.3">
      <c r="A736" t="s">
        <v>285</v>
      </c>
      <c r="B736" t="s">
        <v>286</v>
      </c>
      <c r="C736" t="s">
        <v>5</v>
      </c>
      <c r="D736" s="1">
        <v>45777</v>
      </c>
      <c r="E736">
        <v>140</v>
      </c>
      <c r="F736" s="2">
        <v>1667.96</v>
      </c>
      <c r="G736" s="2">
        <v>1667.96</v>
      </c>
    </row>
    <row r="737" spans="1:7" hidden="1" x14ac:dyDescent="0.3">
      <c r="A737" t="s">
        <v>285</v>
      </c>
      <c r="B737" t="s">
        <v>286</v>
      </c>
      <c r="C737" t="s">
        <v>5</v>
      </c>
      <c r="D737" s="1">
        <v>45808</v>
      </c>
      <c r="E737">
        <v>115.5</v>
      </c>
      <c r="F737" s="2">
        <v>1606.3000000000002</v>
      </c>
      <c r="G737" s="2">
        <v>1606.3000000000002</v>
      </c>
    </row>
    <row r="738" spans="1:7" hidden="1" x14ac:dyDescent="0.3">
      <c r="A738" t="s">
        <v>285</v>
      </c>
      <c r="B738" t="s">
        <v>286</v>
      </c>
      <c r="C738" t="s">
        <v>5</v>
      </c>
      <c r="D738" s="1">
        <v>45838</v>
      </c>
      <c r="E738">
        <v>130</v>
      </c>
      <c r="F738" s="2">
        <v>1577.58</v>
      </c>
      <c r="G738" s="2">
        <v>1647.386</v>
      </c>
    </row>
    <row r="739" spans="1:7" hidden="1" x14ac:dyDescent="0.3">
      <c r="A739" t="s">
        <v>287</v>
      </c>
      <c r="B739" t="s">
        <v>288</v>
      </c>
      <c r="C739" t="s">
        <v>5</v>
      </c>
      <c r="D739" s="1">
        <v>45688</v>
      </c>
      <c r="E739">
        <v>147</v>
      </c>
      <c r="F739" s="2">
        <v>1558.6</v>
      </c>
      <c r="G739" s="2">
        <v>1558.6</v>
      </c>
    </row>
    <row r="740" spans="1:7" hidden="1" x14ac:dyDescent="0.3">
      <c r="A740" t="s">
        <v>287</v>
      </c>
      <c r="B740" t="s">
        <v>288</v>
      </c>
      <c r="C740" t="s">
        <v>5</v>
      </c>
      <c r="D740" s="1">
        <v>45716</v>
      </c>
      <c r="E740">
        <v>125.5</v>
      </c>
      <c r="F740" s="2">
        <v>1497.04</v>
      </c>
      <c r="G740" s="2">
        <v>1497.04</v>
      </c>
    </row>
    <row r="741" spans="1:7" hidden="1" x14ac:dyDescent="0.3">
      <c r="A741" t="s">
        <v>287</v>
      </c>
      <c r="B741" t="s">
        <v>288</v>
      </c>
      <c r="C741" t="s">
        <v>5</v>
      </c>
      <c r="D741" s="1">
        <v>45747</v>
      </c>
      <c r="E741">
        <v>131.5</v>
      </c>
      <c r="F741" s="2">
        <v>1431.48</v>
      </c>
      <c r="G741" s="2">
        <v>1431.48</v>
      </c>
    </row>
    <row r="742" spans="1:7" hidden="1" x14ac:dyDescent="0.3">
      <c r="A742" t="s">
        <v>287</v>
      </c>
      <c r="B742" t="s">
        <v>288</v>
      </c>
      <c r="C742" t="s">
        <v>5</v>
      </c>
      <c r="D742" s="1">
        <v>45777</v>
      </c>
      <c r="E742">
        <v>124.75</v>
      </c>
      <c r="F742" s="2">
        <v>1494.2399999999998</v>
      </c>
      <c r="G742" s="2">
        <v>1494.2399999999998</v>
      </c>
    </row>
    <row r="743" spans="1:7" hidden="1" x14ac:dyDescent="0.3">
      <c r="A743" t="s">
        <v>287</v>
      </c>
      <c r="B743" t="s">
        <v>288</v>
      </c>
      <c r="C743" t="s">
        <v>5</v>
      </c>
      <c r="D743" s="1">
        <v>45808</v>
      </c>
      <c r="E743">
        <v>147</v>
      </c>
      <c r="F743" s="2">
        <v>1563.62</v>
      </c>
      <c r="G743" s="2">
        <v>1563.62</v>
      </c>
    </row>
    <row r="744" spans="1:7" hidden="1" x14ac:dyDescent="0.3">
      <c r="A744" t="s">
        <v>287</v>
      </c>
      <c r="B744" t="s">
        <v>288</v>
      </c>
      <c r="C744" t="s">
        <v>5</v>
      </c>
      <c r="D744" s="1">
        <v>45838</v>
      </c>
      <c r="E744">
        <v>124.75</v>
      </c>
      <c r="F744" s="2">
        <v>1430.6599999999999</v>
      </c>
      <c r="G744" s="2">
        <v>1508.9959999999999</v>
      </c>
    </row>
    <row r="745" spans="1:7" hidden="1" x14ac:dyDescent="0.3">
      <c r="A745" t="s">
        <v>289</v>
      </c>
      <c r="B745" t="s">
        <v>290</v>
      </c>
      <c r="C745" t="s">
        <v>5</v>
      </c>
      <c r="D745" s="1">
        <v>45688</v>
      </c>
      <c r="E745">
        <v>147</v>
      </c>
      <c r="F745" s="2">
        <v>1667.37</v>
      </c>
      <c r="G745" s="2">
        <v>1667.37</v>
      </c>
    </row>
    <row r="746" spans="1:7" hidden="1" x14ac:dyDescent="0.3">
      <c r="A746" t="s">
        <v>289</v>
      </c>
      <c r="B746" t="s">
        <v>290</v>
      </c>
      <c r="C746" t="s">
        <v>5</v>
      </c>
      <c r="D746" s="1">
        <v>45716</v>
      </c>
      <c r="E746">
        <v>134</v>
      </c>
      <c r="F746" s="2">
        <v>1616.6</v>
      </c>
      <c r="G746" s="2">
        <v>1616.6</v>
      </c>
    </row>
    <row r="747" spans="1:7" hidden="1" x14ac:dyDescent="0.3">
      <c r="A747" t="s">
        <v>289</v>
      </c>
      <c r="B747" t="s">
        <v>290</v>
      </c>
      <c r="C747" t="s">
        <v>5</v>
      </c>
      <c r="D747" s="1">
        <v>45747</v>
      </c>
      <c r="E747">
        <v>136</v>
      </c>
      <c r="F747" s="2">
        <v>1573.2000000000003</v>
      </c>
      <c r="G747" s="2">
        <v>1573.2000000000003</v>
      </c>
    </row>
    <row r="748" spans="1:7" hidden="1" x14ac:dyDescent="0.3">
      <c r="A748" t="s">
        <v>289</v>
      </c>
      <c r="B748" t="s">
        <v>290</v>
      </c>
      <c r="C748" t="s">
        <v>5</v>
      </c>
      <c r="D748" s="1">
        <v>45777</v>
      </c>
      <c r="E748">
        <v>125.25</v>
      </c>
      <c r="F748" s="2">
        <v>1544.37</v>
      </c>
      <c r="G748" s="2">
        <v>1544.37</v>
      </c>
    </row>
    <row r="749" spans="1:7" hidden="1" x14ac:dyDescent="0.3">
      <c r="A749" t="s">
        <v>289</v>
      </c>
      <c r="B749" t="s">
        <v>290</v>
      </c>
      <c r="C749" t="s">
        <v>5</v>
      </c>
      <c r="D749" s="1">
        <v>45808</v>
      </c>
      <c r="E749">
        <v>133.5</v>
      </c>
      <c r="F749" s="2">
        <v>1553.6200000000008</v>
      </c>
      <c r="G749" s="2">
        <v>1553.6200000000008</v>
      </c>
    </row>
    <row r="750" spans="1:7" hidden="1" x14ac:dyDescent="0.3">
      <c r="A750" t="s">
        <v>289</v>
      </c>
      <c r="B750" t="s">
        <v>290</v>
      </c>
      <c r="C750" t="s">
        <v>5</v>
      </c>
      <c r="D750" s="1">
        <v>45838</v>
      </c>
      <c r="E750">
        <v>129.5</v>
      </c>
      <c r="F750" s="2">
        <v>1573.38</v>
      </c>
      <c r="G750" s="2">
        <v>1591.0320000000002</v>
      </c>
    </row>
    <row r="751" spans="1:7" x14ac:dyDescent="0.3">
      <c r="A751" t="s">
        <v>291</v>
      </c>
      <c r="B751" t="s">
        <v>292</v>
      </c>
      <c r="C751" t="s">
        <v>14</v>
      </c>
      <c r="D751" s="1">
        <v>45688</v>
      </c>
      <c r="E751">
        <v>144</v>
      </c>
      <c r="F751" s="2">
        <v>3018.96</v>
      </c>
      <c r="G751" s="2">
        <v>0</v>
      </c>
    </row>
    <row r="752" spans="1:7" x14ac:dyDescent="0.3">
      <c r="A752" t="s">
        <v>291</v>
      </c>
      <c r="B752" t="s">
        <v>292</v>
      </c>
      <c r="C752" t="s">
        <v>14</v>
      </c>
      <c r="D752" s="1">
        <v>45716</v>
      </c>
      <c r="E752">
        <v>152</v>
      </c>
      <c r="F752" s="2">
        <v>2681.87</v>
      </c>
      <c r="G752" s="2">
        <v>0</v>
      </c>
    </row>
    <row r="753" spans="1:7" x14ac:dyDescent="0.3">
      <c r="A753" t="s">
        <v>291</v>
      </c>
      <c r="B753" t="s">
        <v>292</v>
      </c>
      <c r="C753" t="s">
        <v>14</v>
      </c>
      <c r="D753" s="1">
        <v>45747</v>
      </c>
      <c r="E753">
        <v>160</v>
      </c>
      <c r="F753" s="2">
        <v>2677.8199999999997</v>
      </c>
      <c r="G753" s="2">
        <v>0</v>
      </c>
    </row>
    <row r="754" spans="1:7" x14ac:dyDescent="0.3">
      <c r="A754" t="s">
        <v>291</v>
      </c>
      <c r="B754" t="s">
        <v>292</v>
      </c>
      <c r="C754" t="s">
        <v>14</v>
      </c>
      <c r="D754" s="1">
        <v>45777</v>
      </c>
      <c r="E754">
        <v>151.5</v>
      </c>
      <c r="F754" s="2">
        <v>2678.6999999999989</v>
      </c>
      <c r="G754" s="2">
        <v>0</v>
      </c>
    </row>
    <row r="755" spans="1:7" x14ac:dyDescent="0.3">
      <c r="A755" t="s">
        <v>291</v>
      </c>
      <c r="B755" t="s">
        <v>292</v>
      </c>
      <c r="C755" t="s">
        <v>14</v>
      </c>
      <c r="D755" s="1">
        <v>45808</v>
      </c>
      <c r="E755">
        <v>159.5</v>
      </c>
      <c r="F755" s="2">
        <v>2677.2900000000009</v>
      </c>
      <c r="G755" s="2">
        <v>0</v>
      </c>
    </row>
    <row r="756" spans="1:7" x14ac:dyDescent="0.3">
      <c r="A756" t="s">
        <v>291</v>
      </c>
      <c r="B756" t="s">
        <v>292</v>
      </c>
      <c r="C756" t="s">
        <v>14</v>
      </c>
      <c r="D756" s="1">
        <v>45838</v>
      </c>
      <c r="E756">
        <v>122</v>
      </c>
      <c r="F756" s="2">
        <v>2513.0199999999986</v>
      </c>
      <c r="G756" s="2">
        <v>0</v>
      </c>
    </row>
    <row r="757" spans="1:7" hidden="1" x14ac:dyDescent="0.3">
      <c r="A757" t="s">
        <v>293</v>
      </c>
      <c r="B757" t="s">
        <v>294</v>
      </c>
      <c r="C757" t="s">
        <v>2</v>
      </c>
      <c r="D757" s="1">
        <v>45688</v>
      </c>
      <c r="E757">
        <v>156.5</v>
      </c>
      <c r="F757" s="2">
        <v>2390.25</v>
      </c>
      <c r="G757" s="2">
        <v>2390.25</v>
      </c>
    </row>
    <row r="758" spans="1:7" hidden="1" x14ac:dyDescent="0.3">
      <c r="A758" t="s">
        <v>293</v>
      </c>
      <c r="B758" t="s">
        <v>294</v>
      </c>
      <c r="C758" t="s">
        <v>2</v>
      </c>
      <c r="D758" s="1">
        <v>45716</v>
      </c>
      <c r="E758">
        <v>151</v>
      </c>
      <c r="F758" s="2">
        <v>2201.66</v>
      </c>
      <c r="G758" s="2">
        <v>2201.66</v>
      </c>
    </row>
    <row r="759" spans="1:7" hidden="1" x14ac:dyDescent="0.3">
      <c r="A759" t="s">
        <v>293</v>
      </c>
      <c r="B759" t="s">
        <v>294</v>
      </c>
      <c r="C759" t="s">
        <v>2</v>
      </c>
      <c r="D759" s="1">
        <v>45747</v>
      </c>
      <c r="E759">
        <v>137</v>
      </c>
      <c r="F759" s="2">
        <v>2112.4400000000005</v>
      </c>
      <c r="G759" s="2">
        <v>2112.4400000000005</v>
      </c>
    </row>
    <row r="760" spans="1:7" hidden="1" x14ac:dyDescent="0.3">
      <c r="A760" t="s">
        <v>293</v>
      </c>
      <c r="B760" t="s">
        <v>294</v>
      </c>
      <c r="C760" t="s">
        <v>2</v>
      </c>
      <c r="D760" s="1">
        <v>45777</v>
      </c>
      <c r="E760">
        <v>121.25</v>
      </c>
      <c r="F760" s="2">
        <v>2260.489999999998</v>
      </c>
      <c r="G760" s="2">
        <v>2260.489999999998</v>
      </c>
    </row>
    <row r="761" spans="1:7" hidden="1" x14ac:dyDescent="0.3">
      <c r="A761" t="s">
        <v>293</v>
      </c>
      <c r="B761" t="s">
        <v>294</v>
      </c>
      <c r="C761" t="s">
        <v>2</v>
      </c>
      <c r="D761" s="1">
        <v>45808</v>
      </c>
      <c r="E761">
        <v>130.5</v>
      </c>
      <c r="F761" s="2">
        <v>2028.1200000000008</v>
      </c>
      <c r="G761" s="2">
        <v>2028.1200000000008</v>
      </c>
    </row>
    <row r="762" spans="1:7" hidden="1" x14ac:dyDescent="0.3">
      <c r="A762" t="s">
        <v>293</v>
      </c>
      <c r="B762" t="s">
        <v>294</v>
      </c>
      <c r="C762" t="s">
        <v>2</v>
      </c>
      <c r="D762" s="1">
        <v>45838</v>
      </c>
      <c r="E762">
        <v>122</v>
      </c>
      <c r="F762" s="2">
        <v>1981.6200000000008</v>
      </c>
      <c r="G762" s="2">
        <v>2028.1200000000008</v>
      </c>
    </row>
    <row r="763" spans="1:7" hidden="1" x14ac:dyDescent="0.3">
      <c r="A763" t="s">
        <v>295</v>
      </c>
      <c r="B763" t="s">
        <v>296</v>
      </c>
      <c r="C763" t="s">
        <v>5</v>
      </c>
      <c r="D763" s="1">
        <v>45688</v>
      </c>
      <c r="E763">
        <v>127</v>
      </c>
      <c r="F763" s="2">
        <v>1474.7600000000002</v>
      </c>
      <c r="G763" s="2">
        <v>1474.7600000000002</v>
      </c>
    </row>
    <row r="764" spans="1:7" hidden="1" x14ac:dyDescent="0.3">
      <c r="A764" t="s">
        <v>295</v>
      </c>
      <c r="B764" t="s">
        <v>296</v>
      </c>
      <c r="C764" t="s">
        <v>5</v>
      </c>
      <c r="D764" s="1">
        <v>45716</v>
      </c>
      <c r="E764">
        <v>98.75</v>
      </c>
      <c r="F764" s="2">
        <v>1503.0299999999997</v>
      </c>
      <c r="G764" s="2">
        <v>1503.0299999999997</v>
      </c>
    </row>
    <row r="765" spans="1:7" hidden="1" x14ac:dyDescent="0.3">
      <c r="A765" t="s">
        <v>295</v>
      </c>
      <c r="B765" t="s">
        <v>296</v>
      </c>
      <c r="C765" t="s">
        <v>5</v>
      </c>
      <c r="D765" s="1">
        <v>45747</v>
      </c>
      <c r="E765">
        <v>86.5</v>
      </c>
      <c r="F765" s="2">
        <v>1085.5200000000004</v>
      </c>
      <c r="G765" s="2">
        <v>1085.5200000000004</v>
      </c>
    </row>
    <row r="766" spans="1:7" hidden="1" x14ac:dyDescent="0.3">
      <c r="A766" t="s">
        <v>295</v>
      </c>
      <c r="B766" t="s">
        <v>296</v>
      </c>
      <c r="C766" t="s">
        <v>5</v>
      </c>
      <c r="D766" s="1">
        <v>45777</v>
      </c>
      <c r="E766">
        <v>105.25</v>
      </c>
      <c r="F766" s="2">
        <v>1453.29</v>
      </c>
      <c r="G766" s="2">
        <v>1453.29</v>
      </c>
    </row>
    <row r="767" spans="1:7" hidden="1" x14ac:dyDescent="0.3">
      <c r="A767" t="s">
        <v>295</v>
      </c>
      <c r="B767" t="s">
        <v>296</v>
      </c>
      <c r="C767" t="s">
        <v>5</v>
      </c>
      <c r="D767" s="1">
        <v>45808</v>
      </c>
      <c r="E767">
        <v>101.75</v>
      </c>
      <c r="F767" s="2">
        <v>1347.7299999999987</v>
      </c>
      <c r="G767" s="2">
        <v>1347.7299999999987</v>
      </c>
    </row>
    <row r="768" spans="1:7" hidden="1" x14ac:dyDescent="0.3">
      <c r="A768" t="s">
        <v>295</v>
      </c>
      <c r="B768" t="s">
        <v>296</v>
      </c>
      <c r="C768" t="s">
        <v>5</v>
      </c>
      <c r="D768" s="1">
        <v>45838</v>
      </c>
      <c r="E768">
        <v>102.5</v>
      </c>
      <c r="F768" s="2">
        <v>1334.9300000000012</v>
      </c>
      <c r="G768" s="2">
        <v>1372.8659999999998</v>
      </c>
    </row>
    <row r="769" spans="1:7" hidden="1" x14ac:dyDescent="0.3">
      <c r="A769" t="s">
        <v>297</v>
      </c>
      <c r="B769" t="s">
        <v>298</v>
      </c>
      <c r="C769" t="s">
        <v>2</v>
      </c>
      <c r="D769" s="1">
        <v>45688</v>
      </c>
      <c r="E769">
        <v>127</v>
      </c>
      <c r="F769" s="2">
        <v>2067.4399999999996</v>
      </c>
      <c r="G769" s="2">
        <v>2067.4399999999996</v>
      </c>
    </row>
    <row r="770" spans="1:7" hidden="1" x14ac:dyDescent="0.3">
      <c r="A770" t="s">
        <v>297</v>
      </c>
      <c r="B770" t="s">
        <v>298</v>
      </c>
      <c r="C770" t="s">
        <v>2</v>
      </c>
      <c r="D770" s="1">
        <v>45716</v>
      </c>
      <c r="E770">
        <v>124.5</v>
      </c>
      <c r="F770" s="2">
        <v>1934.6099999999997</v>
      </c>
      <c r="G770" s="2">
        <v>1934.6099999999997</v>
      </c>
    </row>
    <row r="771" spans="1:7" hidden="1" x14ac:dyDescent="0.3">
      <c r="A771" t="s">
        <v>297</v>
      </c>
      <c r="B771" t="s">
        <v>298</v>
      </c>
      <c r="C771" t="s">
        <v>2</v>
      </c>
      <c r="D771" s="1">
        <v>45747</v>
      </c>
      <c r="E771">
        <v>148.25</v>
      </c>
      <c r="F771" s="2">
        <v>2149.7500000000009</v>
      </c>
      <c r="G771" s="2">
        <v>2149.7500000000009</v>
      </c>
    </row>
    <row r="772" spans="1:7" hidden="1" x14ac:dyDescent="0.3">
      <c r="A772" t="s">
        <v>297</v>
      </c>
      <c r="B772" t="s">
        <v>298</v>
      </c>
      <c r="C772" t="s">
        <v>2</v>
      </c>
      <c r="D772" s="1">
        <v>45777</v>
      </c>
      <c r="E772">
        <v>125.75</v>
      </c>
      <c r="F772" s="2">
        <v>2150.0200000000013</v>
      </c>
      <c r="G772" s="2">
        <v>2150.0200000000013</v>
      </c>
    </row>
    <row r="773" spans="1:7" hidden="1" x14ac:dyDescent="0.3">
      <c r="A773" t="s">
        <v>297</v>
      </c>
      <c r="B773" t="s">
        <v>298</v>
      </c>
      <c r="C773" t="s">
        <v>2</v>
      </c>
      <c r="D773" s="1">
        <v>45808</v>
      </c>
      <c r="E773">
        <v>134.5</v>
      </c>
      <c r="F773" s="2">
        <v>2124.8000000000011</v>
      </c>
      <c r="G773" s="2">
        <v>2124.8000000000011</v>
      </c>
    </row>
    <row r="774" spans="1:7" hidden="1" x14ac:dyDescent="0.3">
      <c r="A774" t="s">
        <v>297</v>
      </c>
      <c r="B774" t="s">
        <v>298</v>
      </c>
      <c r="C774" t="s">
        <v>2</v>
      </c>
      <c r="D774" s="1">
        <v>45838</v>
      </c>
      <c r="E774">
        <v>146.75</v>
      </c>
      <c r="F774" s="2">
        <v>2202.0999999999967</v>
      </c>
      <c r="G774" s="2">
        <v>2124.8000000000011</v>
      </c>
    </row>
    <row r="775" spans="1:7" hidden="1" x14ac:dyDescent="0.3">
      <c r="A775" t="s">
        <v>299</v>
      </c>
      <c r="B775" t="s">
        <v>300</v>
      </c>
      <c r="C775" t="s">
        <v>10</v>
      </c>
      <c r="D775" s="1">
        <v>45688</v>
      </c>
      <c r="E775">
        <v>113.5</v>
      </c>
      <c r="F775" s="2">
        <v>2244.63</v>
      </c>
      <c r="G775" s="2">
        <v>2244.63</v>
      </c>
    </row>
    <row r="776" spans="1:7" hidden="1" x14ac:dyDescent="0.3">
      <c r="A776" t="s">
        <v>299</v>
      </c>
      <c r="B776" t="s">
        <v>300</v>
      </c>
      <c r="C776" t="s">
        <v>10</v>
      </c>
      <c r="D776" s="1">
        <v>45716</v>
      </c>
      <c r="E776">
        <v>103.5</v>
      </c>
      <c r="F776" s="2">
        <v>1786.7900000000004</v>
      </c>
      <c r="G776" s="2">
        <v>1786.7900000000004</v>
      </c>
    </row>
    <row r="777" spans="1:7" hidden="1" x14ac:dyDescent="0.3">
      <c r="A777" t="s">
        <v>299</v>
      </c>
      <c r="B777" t="s">
        <v>300</v>
      </c>
      <c r="C777" t="s">
        <v>10</v>
      </c>
      <c r="D777" s="1">
        <v>45747</v>
      </c>
      <c r="E777">
        <v>112.5</v>
      </c>
      <c r="F777" s="2">
        <v>1807.35</v>
      </c>
      <c r="G777" s="2">
        <v>1807.35</v>
      </c>
    </row>
    <row r="778" spans="1:7" hidden="1" x14ac:dyDescent="0.3">
      <c r="A778" t="s">
        <v>299</v>
      </c>
      <c r="B778" t="s">
        <v>300</v>
      </c>
      <c r="C778" t="s">
        <v>10</v>
      </c>
      <c r="D778" s="1">
        <v>45777</v>
      </c>
      <c r="E778">
        <v>127.5</v>
      </c>
      <c r="F778" s="2">
        <v>2085.0999999999995</v>
      </c>
      <c r="G778" s="2">
        <v>2085.0999999999995</v>
      </c>
    </row>
    <row r="779" spans="1:7" hidden="1" x14ac:dyDescent="0.3">
      <c r="A779" t="s">
        <v>299</v>
      </c>
      <c r="B779" t="s">
        <v>300</v>
      </c>
      <c r="C779" t="s">
        <v>10</v>
      </c>
      <c r="D779" s="1">
        <v>45808</v>
      </c>
      <c r="E779">
        <v>75</v>
      </c>
      <c r="F779" s="2">
        <v>1625.4500000000016</v>
      </c>
      <c r="G779" s="2">
        <v>1625.4500000000016</v>
      </c>
    </row>
    <row r="780" spans="1:7" hidden="1" x14ac:dyDescent="0.3">
      <c r="A780" t="s">
        <v>299</v>
      </c>
      <c r="B780" t="s">
        <v>300</v>
      </c>
      <c r="C780" t="s">
        <v>10</v>
      </c>
      <c r="D780" s="1">
        <v>45838</v>
      </c>
      <c r="E780">
        <v>144.5</v>
      </c>
      <c r="F780" s="2">
        <v>2843.6199999999972</v>
      </c>
      <c r="G780" s="2">
        <v>1909.8640000000003</v>
      </c>
    </row>
    <row r="781" spans="1:7" hidden="1" x14ac:dyDescent="0.3">
      <c r="A781" t="s">
        <v>301</v>
      </c>
      <c r="B781" t="s">
        <v>302</v>
      </c>
      <c r="C781" t="s">
        <v>5</v>
      </c>
      <c r="D781" s="1">
        <v>45688</v>
      </c>
      <c r="E781">
        <v>56</v>
      </c>
      <c r="F781" s="2">
        <v>858.04</v>
      </c>
      <c r="G781" s="2">
        <v>858.04</v>
      </c>
    </row>
    <row r="782" spans="1:7" hidden="1" x14ac:dyDescent="0.3">
      <c r="A782" t="s">
        <v>301</v>
      </c>
      <c r="B782" t="s">
        <v>302</v>
      </c>
      <c r="C782" t="s">
        <v>5</v>
      </c>
      <c r="D782" s="1">
        <v>45716</v>
      </c>
      <c r="E782">
        <v>111</v>
      </c>
      <c r="F782" s="2">
        <v>1548.9900000000002</v>
      </c>
      <c r="G782" s="2">
        <v>1548.9900000000002</v>
      </c>
    </row>
    <row r="783" spans="1:7" hidden="1" x14ac:dyDescent="0.3">
      <c r="A783" t="s">
        <v>301</v>
      </c>
      <c r="B783" t="s">
        <v>302</v>
      </c>
      <c r="C783" t="s">
        <v>5</v>
      </c>
      <c r="D783" s="1">
        <v>45747</v>
      </c>
      <c r="E783">
        <v>123</v>
      </c>
      <c r="F783" s="2">
        <v>1581.4699999999998</v>
      </c>
      <c r="G783" s="2">
        <v>1581.4699999999998</v>
      </c>
    </row>
    <row r="784" spans="1:7" hidden="1" x14ac:dyDescent="0.3">
      <c r="A784" t="s">
        <v>301</v>
      </c>
      <c r="B784" t="s">
        <v>302</v>
      </c>
      <c r="C784" t="s">
        <v>5</v>
      </c>
      <c r="D784" s="1">
        <v>45777</v>
      </c>
      <c r="E784">
        <v>115.25</v>
      </c>
      <c r="F784" s="2">
        <v>1460.4699999999993</v>
      </c>
      <c r="G784" s="2">
        <v>1460.4699999999993</v>
      </c>
    </row>
    <row r="785" spans="1:7" hidden="1" x14ac:dyDescent="0.3">
      <c r="A785" t="s">
        <v>301</v>
      </c>
      <c r="B785" t="s">
        <v>302</v>
      </c>
      <c r="C785" t="s">
        <v>5</v>
      </c>
      <c r="D785" s="1">
        <v>45808</v>
      </c>
      <c r="E785">
        <v>135.25</v>
      </c>
      <c r="F785" s="2">
        <v>1568.2600000000002</v>
      </c>
      <c r="G785" s="2">
        <v>1568.2600000000002</v>
      </c>
    </row>
    <row r="786" spans="1:7" hidden="1" x14ac:dyDescent="0.3">
      <c r="A786" t="s">
        <v>301</v>
      </c>
      <c r="B786" t="s">
        <v>302</v>
      </c>
      <c r="C786" t="s">
        <v>5</v>
      </c>
      <c r="D786" s="1">
        <v>45838</v>
      </c>
      <c r="E786">
        <v>14</v>
      </c>
      <c r="F786" s="2">
        <v>215.8700000000008</v>
      </c>
      <c r="G786" s="2">
        <v>0</v>
      </c>
    </row>
    <row r="787" spans="1:7" x14ac:dyDescent="0.3">
      <c r="A787" t="s">
        <v>303</v>
      </c>
      <c r="B787" t="s">
        <v>304</v>
      </c>
      <c r="C787" t="s">
        <v>13</v>
      </c>
      <c r="D787" s="1">
        <v>45688</v>
      </c>
      <c r="E787">
        <v>100.5</v>
      </c>
      <c r="F787" s="2">
        <v>1934.5199999999998</v>
      </c>
      <c r="G787" s="2">
        <v>1934.5199999999998</v>
      </c>
    </row>
    <row r="788" spans="1:7" x14ac:dyDescent="0.3">
      <c r="A788" t="s">
        <v>303</v>
      </c>
      <c r="B788" t="s">
        <v>304</v>
      </c>
      <c r="C788" t="s">
        <v>13</v>
      </c>
      <c r="D788" s="1">
        <v>45716</v>
      </c>
      <c r="E788">
        <v>116.5</v>
      </c>
      <c r="F788" s="2">
        <v>1673.43</v>
      </c>
      <c r="G788" s="2">
        <v>1673.43</v>
      </c>
    </row>
    <row r="789" spans="1:7" x14ac:dyDescent="0.3">
      <c r="A789" t="s">
        <v>303</v>
      </c>
      <c r="B789" t="s">
        <v>304</v>
      </c>
      <c r="C789" t="s">
        <v>13</v>
      </c>
      <c r="D789" s="1">
        <v>45747</v>
      </c>
      <c r="E789">
        <v>108.44999999999999</v>
      </c>
      <c r="F789" s="2">
        <v>2050.66</v>
      </c>
      <c r="G789" s="2">
        <v>2050.66</v>
      </c>
    </row>
    <row r="790" spans="1:7" x14ac:dyDescent="0.3">
      <c r="A790" t="s">
        <v>303</v>
      </c>
      <c r="B790" t="s">
        <v>304</v>
      </c>
      <c r="C790" t="s">
        <v>13</v>
      </c>
      <c r="D790" s="1">
        <v>45777</v>
      </c>
      <c r="E790">
        <v>10</v>
      </c>
      <c r="F790" s="2">
        <v>285.72000000000025</v>
      </c>
      <c r="G790" s="2">
        <v>285.72000000000025</v>
      </c>
    </row>
    <row r="791" spans="1:7" x14ac:dyDescent="0.3">
      <c r="A791" t="s">
        <v>303</v>
      </c>
      <c r="B791" t="s">
        <v>304</v>
      </c>
      <c r="C791" t="s">
        <v>13</v>
      </c>
      <c r="D791" s="1">
        <v>45808</v>
      </c>
      <c r="E791">
        <v>0</v>
      </c>
      <c r="F791" s="2">
        <v>9.0949470177292824E-13</v>
      </c>
      <c r="G791" s="2">
        <v>9.0949470177292824E-13</v>
      </c>
    </row>
    <row r="792" spans="1:7" hidden="1" x14ac:dyDescent="0.3">
      <c r="A792" t="s">
        <v>305</v>
      </c>
      <c r="B792" t="s">
        <v>306</v>
      </c>
      <c r="C792" t="s">
        <v>5</v>
      </c>
      <c r="D792" s="1">
        <v>45688</v>
      </c>
      <c r="E792">
        <v>145.5</v>
      </c>
      <c r="F792" s="2">
        <v>1655.43</v>
      </c>
      <c r="G792" s="2">
        <v>1655.43</v>
      </c>
    </row>
    <row r="793" spans="1:7" hidden="1" x14ac:dyDescent="0.3">
      <c r="A793" t="s">
        <v>305</v>
      </c>
      <c r="B793" t="s">
        <v>306</v>
      </c>
      <c r="C793" t="s">
        <v>5</v>
      </c>
      <c r="D793" s="1">
        <v>45716</v>
      </c>
      <c r="E793">
        <v>139.5</v>
      </c>
      <c r="F793" s="2">
        <v>1660.7800000000004</v>
      </c>
      <c r="G793" s="2">
        <v>1660.7800000000004</v>
      </c>
    </row>
    <row r="794" spans="1:7" hidden="1" x14ac:dyDescent="0.3">
      <c r="A794" t="s">
        <v>305</v>
      </c>
      <c r="B794" t="s">
        <v>306</v>
      </c>
      <c r="C794" t="s">
        <v>5</v>
      </c>
      <c r="D794" s="1">
        <v>45747</v>
      </c>
      <c r="E794">
        <v>145</v>
      </c>
      <c r="F794" s="2">
        <v>1648.2699999999991</v>
      </c>
      <c r="G794" s="2">
        <v>1648.2699999999991</v>
      </c>
    </row>
    <row r="795" spans="1:7" hidden="1" x14ac:dyDescent="0.3">
      <c r="A795" t="s">
        <v>305</v>
      </c>
      <c r="B795" t="s">
        <v>306</v>
      </c>
      <c r="C795" t="s">
        <v>5</v>
      </c>
      <c r="D795" s="1">
        <v>45777</v>
      </c>
      <c r="E795">
        <v>137.75</v>
      </c>
      <c r="F795" s="2">
        <v>1648.3300000000008</v>
      </c>
      <c r="G795" s="2">
        <v>1648.3300000000008</v>
      </c>
    </row>
    <row r="796" spans="1:7" hidden="1" x14ac:dyDescent="0.3">
      <c r="A796" t="s">
        <v>305</v>
      </c>
      <c r="B796" t="s">
        <v>306</v>
      </c>
      <c r="C796" t="s">
        <v>5</v>
      </c>
      <c r="D796" s="1">
        <v>45808</v>
      </c>
      <c r="E796">
        <v>147</v>
      </c>
      <c r="F796" s="2">
        <v>1666.5400000000018</v>
      </c>
      <c r="G796" s="2">
        <v>1666.5400000000018</v>
      </c>
    </row>
    <row r="797" spans="1:7" hidden="1" x14ac:dyDescent="0.3">
      <c r="A797" t="s">
        <v>305</v>
      </c>
      <c r="B797" t="s">
        <v>306</v>
      </c>
      <c r="C797" t="s">
        <v>5</v>
      </c>
      <c r="D797" s="1">
        <v>45838</v>
      </c>
      <c r="E797">
        <v>140</v>
      </c>
      <c r="F797" s="2">
        <v>1661.1299999999974</v>
      </c>
      <c r="G797" s="2">
        <v>1655.8700000000003</v>
      </c>
    </row>
    <row r="798" spans="1:7" x14ac:dyDescent="0.3">
      <c r="A798" t="s">
        <v>307</v>
      </c>
      <c r="B798" t="s">
        <v>308</v>
      </c>
      <c r="C798" t="s">
        <v>13</v>
      </c>
      <c r="D798" s="1">
        <v>45688</v>
      </c>
      <c r="E798">
        <v>75.75</v>
      </c>
      <c r="F798" s="2">
        <v>1344.38</v>
      </c>
      <c r="G798" s="2">
        <v>1344.38</v>
      </c>
    </row>
    <row r="799" spans="1:7" x14ac:dyDescent="0.3">
      <c r="A799" t="s">
        <v>307</v>
      </c>
      <c r="B799" t="s">
        <v>308</v>
      </c>
      <c r="C799" t="s">
        <v>13</v>
      </c>
      <c r="D799" s="1">
        <v>45716</v>
      </c>
      <c r="E799">
        <v>80</v>
      </c>
      <c r="F799" s="2">
        <v>1503.48</v>
      </c>
      <c r="G799" s="2">
        <v>1503.48</v>
      </c>
    </row>
    <row r="800" spans="1:7" x14ac:dyDescent="0.3">
      <c r="A800" t="s">
        <v>307</v>
      </c>
      <c r="B800" t="s">
        <v>308</v>
      </c>
      <c r="C800" t="s">
        <v>13</v>
      </c>
      <c r="D800" s="1">
        <v>45747</v>
      </c>
      <c r="E800">
        <v>111.25</v>
      </c>
      <c r="F800" s="2">
        <v>2030.9199999999996</v>
      </c>
      <c r="G800" s="2">
        <v>2030.9199999999996</v>
      </c>
    </row>
    <row r="801" spans="1:7" x14ac:dyDescent="0.3">
      <c r="A801" t="s">
        <v>307</v>
      </c>
      <c r="B801" t="s">
        <v>308</v>
      </c>
      <c r="C801" t="s">
        <v>13</v>
      </c>
      <c r="D801" s="1">
        <v>45777</v>
      </c>
      <c r="E801">
        <v>120</v>
      </c>
      <c r="F801" s="2">
        <v>2146.9900000000007</v>
      </c>
      <c r="G801" s="2">
        <v>2146.9900000000007</v>
      </c>
    </row>
    <row r="802" spans="1:7" x14ac:dyDescent="0.3">
      <c r="A802" t="s">
        <v>307</v>
      </c>
      <c r="B802" t="s">
        <v>308</v>
      </c>
      <c r="C802" t="s">
        <v>13</v>
      </c>
      <c r="D802" s="1">
        <v>45808</v>
      </c>
      <c r="E802">
        <v>117.75</v>
      </c>
      <c r="F802" s="2">
        <v>2034.1099999999988</v>
      </c>
      <c r="G802" s="2">
        <v>2034.1099999999988</v>
      </c>
    </row>
    <row r="803" spans="1:7" x14ac:dyDescent="0.3">
      <c r="A803" t="s">
        <v>307</v>
      </c>
      <c r="B803" t="s">
        <v>308</v>
      </c>
      <c r="C803" t="s">
        <v>13</v>
      </c>
      <c r="D803" s="1">
        <v>45838</v>
      </c>
      <c r="E803">
        <v>118</v>
      </c>
      <c r="F803" s="2">
        <v>2120.42</v>
      </c>
      <c r="G803" s="2">
        <v>1811.9759999999999</v>
      </c>
    </row>
    <row r="804" spans="1:7" hidden="1" x14ac:dyDescent="0.3">
      <c r="A804" t="s">
        <v>309</v>
      </c>
      <c r="B804" t="s">
        <v>310</v>
      </c>
      <c r="C804" t="s">
        <v>10</v>
      </c>
      <c r="D804" s="1">
        <v>45688</v>
      </c>
      <c r="E804">
        <v>157</v>
      </c>
      <c r="F804" s="2">
        <v>3450.69</v>
      </c>
      <c r="G804" s="2">
        <v>3450.69</v>
      </c>
    </row>
    <row r="805" spans="1:7" hidden="1" x14ac:dyDescent="0.3">
      <c r="A805" t="s">
        <v>309</v>
      </c>
      <c r="B805" t="s">
        <v>310</v>
      </c>
      <c r="C805" t="s">
        <v>10</v>
      </c>
      <c r="D805" s="1">
        <v>45716</v>
      </c>
      <c r="E805">
        <v>151.5</v>
      </c>
      <c r="F805" s="2">
        <v>3110.94</v>
      </c>
      <c r="G805" s="2">
        <v>3110.94</v>
      </c>
    </row>
    <row r="806" spans="1:7" hidden="1" x14ac:dyDescent="0.3">
      <c r="A806" t="s">
        <v>309</v>
      </c>
      <c r="B806" t="s">
        <v>310</v>
      </c>
      <c r="C806" t="s">
        <v>10</v>
      </c>
      <c r="D806" s="1">
        <v>45747</v>
      </c>
      <c r="E806">
        <v>159</v>
      </c>
      <c r="F806" s="2">
        <v>3230.7399999999989</v>
      </c>
      <c r="G806" s="2">
        <v>3230.7399999999989</v>
      </c>
    </row>
    <row r="807" spans="1:7" hidden="1" x14ac:dyDescent="0.3">
      <c r="A807" t="s">
        <v>309</v>
      </c>
      <c r="B807" t="s">
        <v>310</v>
      </c>
      <c r="C807" t="s">
        <v>10</v>
      </c>
      <c r="D807" s="1">
        <v>45777</v>
      </c>
      <c r="E807">
        <v>151.5</v>
      </c>
      <c r="F807" s="2">
        <v>3360.3899999999994</v>
      </c>
      <c r="G807" s="2">
        <v>3360.3899999999994</v>
      </c>
    </row>
    <row r="808" spans="1:7" hidden="1" x14ac:dyDescent="0.3">
      <c r="A808" t="s">
        <v>309</v>
      </c>
      <c r="B808" t="s">
        <v>310</v>
      </c>
      <c r="C808" t="s">
        <v>10</v>
      </c>
      <c r="D808" s="1">
        <v>45808</v>
      </c>
      <c r="E808">
        <v>157.5</v>
      </c>
      <c r="F808" s="2">
        <v>3328.7000000000044</v>
      </c>
      <c r="G808" s="2">
        <v>3328.7000000000044</v>
      </c>
    </row>
    <row r="809" spans="1:7" hidden="1" x14ac:dyDescent="0.3">
      <c r="A809" t="s">
        <v>309</v>
      </c>
      <c r="B809" t="s">
        <v>310</v>
      </c>
      <c r="C809" t="s">
        <v>10</v>
      </c>
      <c r="D809" s="1">
        <v>45838</v>
      </c>
      <c r="E809">
        <v>151.5</v>
      </c>
      <c r="F809" s="2">
        <v>3245.7400000000052</v>
      </c>
      <c r="G809" s="2">
        <v>3296.2920000000004</v>
      </c>
    </row>
    <row r="810" spans="1:7" hidden="1" x14ac:dyDescent="0.3">
      <c r="A810" t="s">
        <v>311</v>
      </c>
      <c r="B810" t="s">
        <v>312</v>
      </c>
      <c r="C810" t="s">
        <v>5</v>
      </c>
      <c r="D810" s="1">
        <v>45688</v>
      </c>
      <c r="E810">
        <v>117</v>
      </c>
      <c r="F810" s="2">
        <v>1619.94</v>
      </c>
      <c r="G810" s="2">
        <v>1619.94</v>
      </c>
    </row>
    <row r="811" spans="1:7" hidden="1" x14ac:dyDescent="0.3">
      <c r="A811" t="s">
        <v>311</v>
      </c>
      <c r="B811" t="s">
        <v>312</v>
      </c>
      <c r="C811" t="s">
        <v>5</v>
      </c>
      <c r="D811" s="1">
        <v>45716</v>
      </c>
      <c r="E811">
        <v>125.25</v>
      </c>
      <c r="F811" s="2">
        <v>1542.56</v>
      </c>
      <c r="G811" s="2">
        <v>1542.56</v>
      </c>
    </row>
    <row r="812" spans="1:7" hidden="1" x14ac:dyDescent="0.3">
      <c r="A812" t="s">
        <v>311</v>
      </c>
      <c r="B812" t="s">
        <v>312</v>
      </c>
      <c r="C812" t="s">
        <v>5</v>
      </c>
      <c r="D812" s="1">
        <v>45747</v>
      </c>
      <c r="E812">
        <v>133</v>
      </c>
      <c r="F812" s="2">
        <v>1548.04</v>
      </c>
      <c r="G812" s="2">
        <v>1548.04</v>
      </c>
    </row>
    <row r="813" spans="1:7" hidden="1" x14ac:dyDescent="0.3">
      <c r="A813" t="s">
        <v>311</v>
      </c>
      <c r="B813" t="s">
        <v>312</v>
      </c>
      <c r="C813" t="s">
        <v>5</v>
      </c>
      <c r="D813" s="1">
        <v>45777</v>
      </c>
      <c r="E813">
        <v>126.75</v>
      </c>
      <c r="F813" s="2">
        <v>1556.63</v>
      </c>
      <c r="G813" s="2">
        <v>1556.63</v>
      </c>
    </row>
    <row r="814" spans="1:7" hidden="1" x14ac:dyDescent="0.3">
      <c r="A814" t="s">
        <v>311</v>
      </c>
      <c r="B814" t="s">
        <v>312</v>
      </c>
      <c r="C814" t="s">
        <v>5</v>
      </c>
      <c r="D814" s="1">
        <v>45808</v>
      </c>
      <c r="E814">
        <v>136.25</v>
      </c>
      <c r="F814" s="2">
        <v>1576.63</v>
      </c>
      <c r="G814" s="2">
        <v>1576.63</v>
      </c>
    </row>
    <row r="815" spans="1:7" hidden="1" x14ac:dyDescent="0.3">
      <c r="A815" t="s">
        <v>311</v>
      </c>
      <c r="B815" t="s">
        <v>312</v>
      </c>
      <c r="C815" t="s">
        <v>5</v>
      </c>
      <c r="D815" s="1">
        <v>45838</v>
      </c>
      <c r="E815">
        <v>123.75</v>
      </c>
      <c r="F815" s="2">
        <v>1525.2800000000016</v>
      </c>
      <c r="G815" s="2">
        <v>1568.76</v>
      </c>
    </row>
    <row r="816" spans="1:7" x14ac:dyDescent="0.3">
      <c r="A816" t="s">
        <v>313</v>
      </c>
      <c r="B816" t="s">
        <v>314</v>
      </c>
      <c r="C816" t="s">
        <v>13</v>
      </c>
      <c r="D816" s="1">
        <v>45688</v>
      </c>
      <c r="E816">
        <v>103.5</v>
      </c>
      <c r="F816" s="2">
        <v>1726.82</v>
      </c>
      <c r="G816" s="2">
        <v>1726.82</v>
      </c>
    </row>
    <row r="817" spans="1:7" x14ac:dyDescent="0.3">
      <c r="A817" t="s">
        <v>313</v>
      </c>
      <c r="B817" t="s">
        <v>314</v>
      </c>
      <c r="C817" t="s">
        <v>13</v>
      </c>
      <c r="D817" s="1">
        <v>45716</v>
      </c>
      <c r="E817">
        <v>100</v>
      </c>
      <c r="F817" s="2">
        <v>1474.0999999999997</v>
      </c>
      <c r="G817" s="2">
        <v>1474.0999999999997</v>
      </c>
    </row>
    <row r="818" spans="1:7" x14ac:dyDescent="0.3">
      <c r="A818" t="s">
        <v>313</v>
      </c>
      <c r="B818" t="s">
        <v>314</v>
      </c>
      <c r="C818" t="s">
        <v>13</v>
      </c>
      <c r="D818" s="1">
        <v>45747</v>
      </c>
      <c r="E818">
        <v>121.5</v>
      </c>
      <c r="F818" s="2">
        <v>2045.02</v>
      </c>
      <c r="G818" s="2">
        <v>2045.02</v>
      </c>
    </row>
    <row r="819" spans="1:7" x14ac:dyDescent="0.3">
      <c r="A819" t="s">
        <v>313</v>
      </c>
      <c r="B819" t="s">
        <v>314</v>
      </c>
      <c r="C819" t="s">
        <v>13</v>
      </c>
      <c r="D819" s="1">
        <v>45777</v>
      </c>
      <c r="E819">
        <v>144</v>
      </c>
      <c r="F819" s="2">
        <v>2617.5600000000013</v>
      </c>
      <c r="G819" s="2">
        <v>2617.5600000000013</v>
      </c>
    </row>
    <row r="820" spans="1:7" x14ac:dyDescent="0.3">
      <c r="A820" t="s">
        <v>313</v>
      </c>
      <c r="B820" t="s">
        <v>314</v>
      </c>
      <c r="C820" t="s">
        <v>13</v>
      </c>
      <c r="D820" s="1">
        <v>45808</v>
      </c>
      <c r="E820">
        <v>149</v>
      </c>
      <c r="F820" s="2">
        <v>2322.2700000000013</v>
      </c>
      <c r="G820" s="2">
        <v>2322.2700000000013</v>
      </c>
    </row>
    <row r="821" spans="1:7" x14ac:dyDescent="0.3">
      <c r="A821" t="s">
        <v>313</v>
      </c>
      <c r="B821" t="s">
        <v>314</v>
      </c>
      <c r="C821" t="s">
        <v>13</v>
      </c>
      <c r="D821" s="1">
        <v>45838</v>
      </c>
      <c r="E821">
        <v>120</v>
      </c>
      <c r="F821" s="2">
        <v>1885.2699999999986</v>
      </c>
      <c r="G821" s="2">
        <v>2037.1540000000005</v>
      </c>
    </row>
    <row r="822" spans="1:7" hidden="1" x14ac:dyDescent="0.3">
      <c r="A822" t="s">
        <v>315</v>
      </c>
      <c r="B822" t="s">
        <v>316</v>
      </c>
      <c r="C822" t="s">
        <v>6</v>
      </c>
      <c r="D822" s="1">
        <v>45688</v>
      </c>
      <c r="E822">
        <v>158.75</v>
      </c>
      <c r="F822" s="2">
        <v>1921.2700000000002</v>
      </c>
      <c r="G822" s="2">
        <v>1921.2700000000002</v>
      </c>
    </row>
    <row r="823" spans="1:7" hidden="1" x14ac:dyDescent="0.3">
      <c r="A823" t="s">
        <v>315</v>
      </c>
      <c r="B823" t="s">
        <v>316</v>
      </c>
      <c r="C823" t="s">
        <v>6</v>
      </c>
      <c r="D823" s="1">
        <v>45716</v>
      </c>
      <c r="E823">
        <v>151</v>
      </c>
      <c r="F823" s="2">
        <v>1692.2499999999998</v>
      </c>
      <c r="G823" s="2">
        <v>1692.2499999999998</v>
      </c>
    </row>
    <row r="824" spans="1:7" hidden="1" x14ac:dyDescent="0.3">
      <c r="A824" t="s">
        <v>315</v>
      </c>
      <c r="B824" t="s">
        <v>316</v>
      </c>
      <c r="C824" t="s">
        <v>6</v>
      </c>
      <c r="D824" s="1">
        <v>45747</v>
      </c>
      <c r="E824">
        <v>157.25</v>
      </c>
      <c r="F824" s="2">
        <v>1795.1600000000003</v>
      </c>
      <c r="G824" s="2">
        <v>1795.1600000000003</v>
      </c>
    </row>
    <row r="825" spans="1:7" hidden="1" x14ac:dyDescent="0.3">
      <c r="A825" t="s">
        <v>315</v>
      </c>
      <c r="B825" t="s">
        <v>316</v>
      </c>
      <c r="C825" t="s">
        <v>6</v>
      </c>
      <c r="D825" s="1">
        <v>45777</v>
      </c>
      <c r="E825">
        <v>146.5</v>
      </c>
      <c r="F825" s="2">
        <v>1853.0300000000007</v>
      </c>
      <c r="G825" s="2">
        <v>1853.0300000000007</v>
      </c>
    </row>
    <row r="826" spans="1:7" hidden="1" x14ac:dyDescent="0.3">
      <c r="A826" t="s">
        <v>315</v>
      </c>
      <c r="B826" t="s">
        <v>316</v>
      </c>
      <c r="C826" t="s">
        <v>6</v>
      </c>
      <c r="D826" s="1">
        <v>45808</v>
      </c>
      <c r="E826">
        <v>155.5</v>
      </c>
      <c r="F826" s="2">
        <v>1925.25</v>
      </c>
      <c r="G826" s="2">
        <v>1925.25</v>
      </c>
    </row>
    <row r="827" spans="1:7" hidden="1" x14ac:dyDescent="0.3">
      <c r="A827" t="s">
        <v>315</v>
      </c>
      <c r="B827" t="s">
        <v>316</v>
      </c>
      <c r="C827" t="s">
        <v>6</v>
      </c>
      <c r="D827" s="1">
        <v>45838</v>
      </c>
      <c r="E827">
        <v>106.5</v>
      </c>
      <c r="F827" s="2">
        <v>1457.3799999999992</v>
      </c>
      <c r="G827" s="2">
        <v>1837.3920000000003</v>
      </c>
    </row>
    <row r="828" spans="1:7" hidden="1" x14ac:dyDescent="0.3">
      <c r="A828" t="s">
        <v>317</v>
      </c>
      <c r="B828" t="s">
        <v>318</v>
      </c>
      <c r="C828" t="s">
        <v>3</v>
      </c>
      <c r="D828" s="1">
        <v>45688</v>
      </c>
      <c r="E828">
        <v>45</v>
      </c>
      <c r="F828" s="2">
        <v>1446.5500000000002</v>
      </c>
      <c r="G828" s="2">
        <v>1446.5500000000002</v>
      </c>
    </row>
    <row r="829" spans="1:7" hidden="1" x14ac:dyDescent="0.3">
      <c r="A829" t="s">
        <v>317</v>
      </c>
      <c r="B829" t="s">
        <v>318</v>
      </c>
      <c r="C829" t="s">
        <v>3</v>
      </c>
      <c r="D829" s="1">
        <v>45716</v>
      </c>
      <c r="E829">
        <v>0</v>
      </c>
      <c r="F829" s="2">
        <v>254.66999999999985</v>
      </c>
      <c r="G829" s="2">
        <v>254.66999999999985</v>
      </c>
    </row>
    <row r="830" spans="1:7" hidden="1" x14ac:dyDescent="0.3">
      <c r="A830" t="s">
        <v>319</v>
      </c>
      <c r="B830" t="s">
        <v>320</v>
      </c>
      <c r="C830" t="s">
        <v>2</v>
      </c>
      <c r="D830" s="1">
        <v>45688</v>
      </c>
      <c r="E830">
        <v>161</v>
      </c>
      <c r="F830" s="2">
        <v>2443.4500000000003</v>
      </c>
      <c r="G830" s="2">
        <v>2443.4500000000003</v>
      </c>
    </row>
    <row r="831" spans="1:7" hidden="1" x14ac:dyDescent="0.3">
      <c r="A831" t="s">
        <v>319</v>
      </c>
      <c r="B831" t="s">
        <v>320</v>
      </c>
      <c r="C831" t="s">
        <v>2</v>
      </c>
      <c r="D831" s="1">
        <v>45716</v>
      </c>
      <c r="E831">
        <v>128</v>
      </c>
      <c r="F831" s="2">
        <v>2163.14</v>
      </c>
      <c r="G831" s="2">
        <v>2163.14</v>
      </c>
    </row>
    <row r="832" spans="1:7" hidden="1" x14ac:dyDescent="0.3">
      <c r="A832" t="s">
        <v>319</v>
      </c>
      <c r="B832" t="s">
        <v>320</v>
      </c>
      <c r="C832" t="s">
        <v>2</v>
      </c>
      <c r="D832" s="1">
        <v>45747</v>
      </c>
      <c r="E832">
        <v>142</v>
      </c>
      <c r="F832" s="2">
        <v>2332.6099999999997</v>
      </c>
      <c r="G832" s="2">
        <v>2332.6099999999997</v>
      </c>
    </row>
    <row r="833" spans="1:7" hidden="1" x14ac:dyDescent="0.3">
      <c r="A833" t="s">
        <v>319</v>
      </c>
      <c r="B833" t="s">
        <v>320</v>
      </c>
      <c r="C833" t="s">
        <v>2</v>
      </c>
      <c r="D833" s="1">
        <v>45777</v>
      </c>
      <c r="E833">
        <v>149.5</v>
      </c>
      <c r="F833" s="2">
        <v>2361.8599999999997</v>
      </c>
      <c r="G833" s="2">
        <v>2361.8599999999997</v>
      </c>
    </row>
    <row r="834" spans="1:7" hidden="1" x14ac:dyDescent="0.3">
      <c r="A834" t="s">
        <v>319</v>
      </c>
      <c r="B834" t="s">
        <v>320</v>
      </c>
      <c r="C834" t="s">
        <v>2</v>
      </c>
      <c r="D834" s="1">
        <v>45808</v>
      </c>
      <c r="E834">
        <v>143.5</v>
      </c>
      <c r="F834" s="2">
        <v>2211.0000000000018</v>
      </c>
      <c r="G834" s="2">
        <v>2211.0000000000018</v>
      </c>
    </row>
    <row r="835" spans="1:7" hidden="1" x14ac:dyDescent="0.3">
      <c r="A835" t="s">
        <v>319</v>
      </c>
      <c r="B835" t="s">
        <v>320</v>
      </c>
      <c r="C835" t="s">
        <v>2</v>
      </c>
      <c r="D835" s="1">
        <v>45838</v>
      </c>
      <c r="E835">
        <v>83</v>
      </c>
      <c r="F835" s="2">
        <v>1656.239999999998</v>
      </c>
      <c r="G835" s="2">
        <v>2211.0000000000018</v>
      </c>
    </row>
    <row r="836" spans="1:7" hidden="1" x14ac:dyDescent="0.3">
      <c r="A836" t="s">
        <v>321</v>
      </c>
      <c r="B836" t="s">
        <v>322</v>
      </c>
      <c r="C836" t="s">
        <v>2</v>
      </c>
      <c r="D836" s="1">
        <v>45688</v>
      </c>
      <c r="E836">
        <v>159</v>
      </c>
      <c r="F836" s="2">
        <v>2559.25</v>
      </c>
      <c r="G836" s="2">
        <v>2559.25</v>
      </c>
    </row>
    <row r="837" spans="1:7" hidden="1" x14ac:dyDescent="0.3">
      <c r="A837" t="s">
        <v>321</v>
      </c>
      <c r="B837" t="s">
        <v>322</v>
      </c>
      <c r="C837" t="s">
        <v>2</v>
      </c>
      <c r="D837" s="1">
        <v>45716</v>
      </c>
      <c r="E837">
        <v>137</v>
      </c>
      <c r="F837" s="2">
        <v>2122.21</v>
      </c>
      <c r="G837" s="2">
        <v>2122.21</v>
      </c>
    </row>
    <row r="838" spans="1:7" hidden="1" x14ac:dyDescent="0.3">
      <c r="A838" t="s">
        <v>321</v>
      </c>
      <c r="B838" t="s">
        <v>322</v>
      </c>
      <c r="C838" t="s">
        <v>2</v>
      </c>
      <c r="D838" s="1">
        <v>45747</v>
      </c>
      <c r="E838">
        <v>110</v>
      </c>
      <c r="F838" s="2">
        <v>2450.9399999999996</v>
      </c>
      <c r="G838" s="2">
        <v>2450.9399999999996</v>
      </c>
    </row>
    <row r="839" spans="1:7" hidden="1" x14ac:dyDescent="0.3">
      <c r="A839" t="s">
        <v>321</v>
      </c>
      <c r="B839" t="s">
        <v>322</v>
      </c>
      <c r="C839" t="s">
        <v>2</v>
      </c>
      <c r="D839" s="1">
        <v>45777</v>
      </c>
      <c r="E839">
        <v>147.5</v>
      </c>
      <c r="F839" s="2">
        <v>2945.2199999999993</v>
      </c>
      <c r="G839" s="2">
        <v>2945.2199999999993</v>
      </c>
    </row>
    <row r="840" spans="1:7" hidden="1" x14ac:dyDescent="0.3">
      <c r="A840" t="s">
        <v>321</v>
      </c>
      <c r="B840" t="s">
        <v>322</v>
      </c>
      <c r="C840" t="s">
        <v>2</v>
      </c>
      <c r="D840" s="1">
        <v>45808</v>
      </c>
      <c r="E840">
        <v>127.5</v>
      </c>
      <c r="F840" s="2">
        <v>2625.09</v>
      </c>
      <c r="G840" s="2">
        <v>2625.09</v>
      </c>
    </row>
    <row r="841" spans="1:7" hidden="1" x14ac:dyDescent="0.3">
      <c r="A841" t="s">
        <v>321</v>
      </c>
      <c r="B841" t="s">
        <v>322</v>
      </c>
      <c r="C841" t="s">
        <v>2</v>
      </c>
      <c r="D841" s="1">
        <v>45838</v>
      </c>
      <c r="E841">
        <v>134.5</v>
      </c>
      <c r="F841" s="2">
        <v>2463.9900000000016</v>
      </c>
      <c r="G841" s="2">
        <v>2625.09</v>
      </c>
    </row>
    <row r="842" spans="1:7" x14ac:dyDescent="0.3">
      <c r="A842" t="s">
        <v>323</v>
      </c>
      <c r="B842" t="s">
        <v>324</v>
      </c>
      <c r="C842" t="s">
        <v>13</v>
      </c>
      <c r="D842" s="1">
        <v>45688</v>
      </c>
      <c r="E842">
        <v>106</v>
      </c>
      <c r="F842" s="2">
        <v>1864.89</v>
      </c>
      <c r="G842" s="2">
        <v>1864.89</v>
      </c>
    </row>
    <row r="843" spans="1:7" x14ac:dyDescent="0.3">
      <c r="A843" t="s">
        <v>323</v>
      </c>
      <c r="B843" t="s">
        <v>324</v>
      </c>
      <c r="C843" t="s">
        <v>13</v>
      </c>
      <c r="D843" s="1">
        <v>45716</v>
      </c>
      <c r="E843">
        <v>104</v>
      </c>
      <c r="F843" s="2">
        <v>1610.64</v>
      </c>
      <c r="G843" s="2">
        <v>1610.64</v>
      </c>
    </row>
    <row r="844" spans="1:7" x14ac:dyDescent="0.3">
      <c r="A844" t="s">
        <v>323</v>
      </c>
      <c r="B844" t="s">
        <v>324</v>
      </c>
      <c r="C844" t="s">
        <v>13</v>
      </c>
      <c r="D844" s="1">
        <v>45747</v>
      </c>
      <c r="E844">
        <v>77.5</v>
      </c>
      <c r="F844" s="2">
        <v>1346.4699999999998</v>
      </c>
      <c r="G844" s="2">
        <v>1346.4699999999998</v>
      </c>
    </row>
    <row r="845" spans="1:7" x14ac:dyDescent="0.3">
      <c r="A845" t="s">
        <v>323</v>
      </c>
      <c r="B845" t="s">
        <v>324</v>
      </c>
      <c r="C845" t="s">
        <v>13</v>
      </c>
      <c r="D845" s="1">
        <v>45777</v>
      </c>
      <c r="E845">
        <v>0</v>
      </c>
      <c r="F845" s="2">
        <v>-3.3800000000001091</v>
      </c>
      <c r="G845" s="2">
        <v>-3.3800000000001091</v>
      </c>
    </row>
    <row r="846" spans="1:7" x14ac:dyDescent="0.3">
      <c r="A846" t="s">
        <v>325</v>
      </c>
      <c r="B846" t="s">
        <v>326</v>
      </c>
      <c r="C846" t="s">
        <v>13</v>
      </c>
      <c r="D846" s="1">
        <v>45688</v>
      </c>
      <c r="E846">
        <v>84</v>
      </c>
      <c r="F846" s="2">
        <v>1101.07</v>
      </c>
      <c r="G846" s="2">
        <v>1101.07</v>
      </c>
    </row>
    <row r="847" spans="1:7" x14ac:dyDescent="0.3">
      <c r="A847" t="s">
        <v>325</v>
      </c>
      <c r="B847" t="s">
        <v>326</v>
      </c>
      <c r="C847" t="s">
        <v>13</v>
      </c>
      <c r="D847" s="1">
        <v>45716</v>
      </c>
      <c r="E847">
        <v>84</v>
      </c>
      <c r="F847" s="2">
        <v>1169.1299999999999</v>
      </c>
      <c r="G847" s="2">
        <v>1169.1299999999999</v>
      </c>
    </row>
    <row r="848" spans="1:7" x14ac:dyDescent="0.3">
      <c r="A848" t="s">
        <v>325</v>
      </c>
      <c r="B848" t="s">
        <v>326</v>
      </c>
      <c r="C848" t="s">
        <v>13</v>
      </c>
      <c r="D848" s="1">
        <v>45747</v>
      </c>
      <c r="E848">
        <v>86.75</v>
      </c>
      <c r="F848" s="2">
        <v>1166.8900000000003</v>
      </c>
      <c r="G848" s="2">
        <v>1166.8900000000003</v>
      </c>
    </row>
    <row r="849" spans="1:7" x14ac:dyDescent="0.3">
      <c r="A849" t="s">
        <v>325</v>
      </c>
      <c r="B849" t="s">
        <v>326</v>
      </c>
      <c r="C849" t="s">
        <v>13</v>
      </c>
      <c r="D849" s="1">
        <v>45777</v>
      </c>
      <c r="E849">
        <v>79.25</v>
      </c>
      <c r="F849" s="2">
        <v>1215.7399999999998</v>
      </c>
      <c r="G849" s="2">
        <v>1215.7399999999998</v>
      </c>
    </row>
    <row r="850" spans="1:7" x14ac:dyDescent="0.3">
      <c r="A850" t="s">
        <v>325</v>
      </c>
      <c r="B850" t="s">
        <v>326</v>
      </c>
      <c r="C850" t="s">
        <v>13</v>
      </c>
      <c r="D850" s="1">
        <v>45808</v>
      </c>
      <c r="E850">
        <v>82</v>
      </c>
      <c r="F850" s="2">
        <v>1115.6999999999998</v>
      </c>
      <c r="G850" s="2">
        <v>1115.6999999999998</v>
      </c>
    </row>
    <row r="851" spans="1:7" x14ac:dyDescent="0.3">
      <c r="A851" t="s">
        <v>325</v>
      </c>
      <c r="B851" t="s">
        <v>326</v>
      </c>
      <c r="C851" t="s">
        <v>13</v>
      </c>
      <c r="D851" s="1">
        <v>45838</v>
      </c>
      <c r="E851">
        <v>83.25</v>
      </c>
      <c r="F851" s="2">
        <v>1229.6999999999989</v>
      </c>
      <c r="G851" s="2">
        <v>1153.7059999999999</v>
      </c>
    </row>
    <row r="852" spans="1:7" hidden="1" x14ac:dyDescent="0.3">
      <c r="A852" t="s">
        <v>327</v>
      </c>
      <c r="B852" t="s">
        <v>328</v>
      </c>
      <c r="C852" t="s">
        <v>5</v>
      </c>
      <c r="D852" s="1">
        <v>45688</v>
      </c>
      <c r="E852">
        <v>109</v>
      </c>
      <c r="F852" s="2">
        <v>1458.2800000000002</v>
      </c>
      <c r="G852" s="2">
        <v>1458.2800000000002</v>
      </c>
    </row>
    <row r="853" spans="1:7" hidden="1" x14ac:dyDescent="0.3">
      <c r="A853" t="s">
        <v>327</v>
      </c>
      <c r="B853" t="s">
        <v>328</v>
      </c>
      <c r="C853" t="s">
        <v>5</v>
      </c>
      <c r="D853" s="1">
        <v>45716</v>
      </c>
      <c r="E853">
        <v>111</v>
      </c>
      <c r="F853" s="2">
        <v>1461.63</v>
      </c>
      <c r="G853" s="2">
        <v>1461.63</v>
      </c>
    </row>
    <row r="854" spans="1:7" hidden="1" x14ac:dyDescent="0.3">
      <c r="A854" t="s">
        <v>327</v>
      </c>
      <c r="B854" t="s">
        <v>328</v>
      </c>
      <c r="C854" t="s">
        <v>5</v>
      </c>
      <c r="D854" s="1">
        <v>45747</v>
      </c>
      <c r="E854">
        <v>112.25</v>
      </c>
      <c r="F854" s="2">
        <v>1351.5300000000002</v>
      </c>
      <c r="G854" s="2">
        <v>1351.5300000000002</v>
      </c>
    </row>
    <row r="855" spans="1:7" hidden="1" x14ac:dyDescent="0.3">
      <c r="A855" t="s">
        <v>327</v>
      </c>
      <c r="B855" t="s">
        <v>328</v>
      </c>
      <c r="C855" t="s">
        <v>5</v>
      </c>
      <c r="D855" s="1">
        <v>45808</v>
      </c>
      <c r="E855">
        <v>7</v>
      </c>
      <c r="F855" s="2">
        <v>847.46</v>
      </c>
      <c r="G855" s="2">
        <v>847.46</v>
      </c>
    </row>
    <row r="856" spans="1:7" hidden="1" x14ac:dyDescent="0.3">
      <c r="A856" t="s">
        <v>329</v>
      </c>
      <c r="B856" t="s">
        <v>330</v>
      </c>
      <c r="C856" t="s">
        <v>6</v>
      </c>
      <c r="D856" s="1">
        <v>45688</v>
      </c>
      <c r="E856">
        <v>97.5</v>
      </c>
      <c r="F856" s="2">
        <v>1465.98</v>
      </c>
      <c r="G856" s="2">
        <v>1465.98</v>
      </c>
    </row>
    <row r="857" spans="1:7" hidden="1" x14ac:dyDescent="0.3">
      <c r="A857" t="s">
        <v>329</v>
      </c>
      <c r="B857" t="s">
        <v>330</v>
      </c>
      <c r="C857" t="s">
        <v>6</v>
      </c>
      <c r="D857" s="1">
        <v>45716</v>
      </c>
      <c r="E857">
        <v>130.5</v>
      </c>
      <c r="F857" s="2">
        <v>1510.6400000000003</v>
      </c>
      <c r="G857" s="2">
        <v>1510.6400000000003</v>
      </c>
    </row>
    <row r="858" spans="1:7" hidden="1" x14ac:dyDescent="0.3">
      <c r="A858" t="s">
        <v>329</v>
      </c>
      <c r="B858" t="s">
        <v>330</v>
      </c>
      <c r="C858" t="s">
        <v>6</v>
      </c>
      <c r="D858" s="1">
        <v>45747</v>
      </c>
      <c r="E858">
        <v>127</v>
      </c>
      <c r="F858" s="2">
        <v>1510.1299999999997</v>
      </c>
      <c r="G858" s="2">
        <v>1510.1299999999997</v>
      </c>
    </row>
    <row r="859" spans="1:7" hidden="1" x14ac:dyDescent="0.3">
      <c r="A859" t="s">
        <v>329</v>
      </c>
      <c r="B859" t="s">
        <v>330</v>
      </c>
      <c r="C859" t="s">
        <v>6</v>
      </c>
      <c r="D859" s="1">
        <v>45777</v>
      </c>
      <c r="E859">
        <v>136.5</v>
      </c>
      <c r="F859" s="2">
        <v>1764.62</v>
      </c>
      <c r="G859" s="2">
        <v>1764.62</v>
      </c>
    </row>
    <row r="860" spans="1:7" hidden="1" x14ac:dyDescent="0.3">
      <c r="A860" t="s">
        <v>329</v>
      </c>
      <c r="B860" t="s">
        <v>330</v>
      </c>
      <c r="C860" t="s">
        <v>6</v>
      </c>
      <c r="D860" s="1">
        <v>45808</v>
      </c>
      <c r="E860">
        <v>104</v>
      </c>
      <c r="F860" s="2">
        <v>1690.6000000000004</v>
      </c>
      <c r="G860" s="2">
        <v>1690.6000000000004</v>
      </c>
    </row>
    <row r="861" spans="1:7" hidden="1" x14ac:dyDescent="0.3">
      <c r="A861" t="s">
        <v>329</v>
      </c>
      <c r="B861" t="s">
        <v>330</v>
      </c>
      <c r="C861" t="s">
        <v>6</v>
      </c>
      <c r="D861" s="1">
        <v>45838</v>
      </c>
      <c r="E861">
        <v>126</v>
      </c>
      <c r="F861" s="2">
        <v>1624.1600000000026</v>
      </c>
      <c r="G861" s="2">
        <v>1588.394</v>
      </c>
    </row>
    <row r="862" spans="1:7" hidden="1" x14ac:dyDescent="0.3">
      <c r="A862" t="s">
        <v>331</v>
      </c>
      <c r="B862" t="s">
        <v>332</v>
      </c>
      <c r="C862" t="s">
        <v>3</v>
      </c>
      <c r="D862" s="1">
        <v>45688</v>
      </c>
      <c r="E862">
        <v>32</v>
      </c>
      <c r="F862" s="2">
        <v>269.47000000000003</v>
      </c>
      <c r="G862" s="2">
        <v>269.47000000000003</v>
      </c>
    </row>
    <row r="863" spans="1:7" hidden="1" x14ac:dyDescent="0.3">
      <c r="A863" t="s">
        <v>331</v>
      </c>
      <c r="B863" t="s">
        <v>332</v>
      </c>
      <c r="C863" t="s">
        <v>3</v>
      </c>
      <c r="D863" s="1">
        <v>45716</v>
      </c>
      <c r="E863">
        <v>72</v>
      </c>
      <c r="F863" s="2">
        <v>820.86999999999989</v>
      </c>
      <c r="G863" s="2">
        <v>820.86999999999989</v>
      </c>
    </row>
    <row r="864" spans="1:7" hidden="1" x14ac:dyDescent="0.3">
      <c r="A864" t="s">
        <v>331</v>
      </c>
      <c r="B864" t="s">
        <v>332</v>
      </c>
      <c r="C864" t="s">
        <v>3</v>
      </c>
      <c r="D864" s="1">
        <v>45747</v>
      </c>
      <c r="E864">
        <v>76</v>
      </c>
      <c r="F864" s="2">
        <v>859.47</v>
      </c>
      <c r="G864" s="2">
        <v>859.47</v>
      </c>
    </row>
    <row r="865" spans="1:7" hidden="1" x14ac:dyDescent="0.3">
      <c r="A865" t="s">
        <v>331</v>
      </c>
      <c r="B865" t="s">
        <v>332</v>
      </c>
      <c r="C865" t="s">
        <v>3</v>
      </c>
      <c r="D865" s="1">
        <v>45777</v>
      </c>
      <c r="E865">
        <v>48</v>
      </c>
      <c r="F865" s="2">
        <v>694.88000000000011</v>
      </c>
      <c r="G865" s="2">
        <v>694.88000000000011</v>
      </c>
    </row>
    <row r="866" spans="1:7" hidden="1" x14ac:dyDescent="0.3">
      <c r="A866" t="s">
        <v>331</v>
      </c>
      <c r="B866" t="s">
        <v>332</v>
      </c>
      <c r="C866" t="s">
        <v>3</v>
      </c>
      <c r="D866" s="1">
        <v>45808</v>
      </c>
      <c r="E866">
        <v>68</v>
      </c>
      <c r="F866" s="2">
        <v>828.61999999999989</v>
      </c>
      <c r="G866" s="2">
        <v>828.61999999999989</v>
      </c>
    </row>
    <row r="867" spans="1:7" hidden="1" x14ac:dyDescent="0.3">
      <c r="A867" t="s">
        <v>331</v>
      </c>
      <c r="B867" t="s">
        <v>332</v>
      </c>
      <c r="C867" t="s">
        <v>3</v>
      </c>
      <c r="D867" s="1">
        <v>45838</v>
      </c>
      <c r="E867">
        <v>80</v>
      </c>
      <c r="F867" s="2">
        <v>965.43999999999915</v>
      </c>
      <c r="G867" s="2">
        <v>828.61999999999989</v>
      </c>
    </row>
    <row r="868" spans="1:7" x14ac:dyDescent="0.3">
      <c r="A868" t="s">
        <v>333</v>
      </c>
      <c r="B868" t="s">
        <v>334</v>
      </c>
      <c r="C868" t="s">
        <v>14</v>
      </c>
      <c r="D868" s="1">
        <v>45688</v>
      </c>
      <c r="E868">
        <v>20</v>
      </c>
      <c r="F868" s="2">
        <v>216.52</v>
      </c>
      <c r="G868" s="2">
        <v>0</v>
      </c>
    </row>
    <row r="869" spans="1:7" x14ac:dyDescent="0.3">
      <c r="A869" t="s">
        <v>333</v>
      </c>
      <c r="B869" t="s">
        <v>334</v>
      </c>
      <c r="C869" t="s">
        <v>14</v>
      </c>
      <c r="D869" s="1">
        <v>45716</v>
      </c>
      <c r="E869">
        <v>80</v>
      </c>
      <c r="F869" s="2">
        <v>1408.6100000000001</v>
      </c>
      <c r="G869" s="2">
        <v>0</v>
      </c>
    </row>
    <row r="870" spans="1:7" x14ac:dyDescent="0.3">
      <c r="A870" t="s">
        <v>333</v>
      </c>
      <c r="B870" t="s">
        <v>334</v>
      </c>
      <c r="C870" t="s">
        <v>14</v>
      </c>
      <c r="D870" s="1">
        <v>45747</v>
      </c>
      <c r="E870">
        <v>84</v>
      </c>
      <c r="F870" s="2">
        <v>2105.5299999999997</v>
      </c>
      <c r="G870" s="2">
        <v>0</v>
      </c>
    </row>
    <row r="871" spans="1:7" x14ac:dyDescent="0.3">
      <c r="A871" t="s">
        <v>333</v>
      </c>
      <c r="B871" t="s">
        <v>334</v>
      </c>
      <c r="C871" t="s">
        <v>14</v>
      </c>
      <c r="D871" s="1">
        <v>45777</v>
      </c>
      <c r="E871">
        <v>80</v>
      </c>
      <c r="F871" s="2">
        <v>1671.5400000000009</v>
      </c>
      <c r="G871" s="2">
        <v>0</v>
      </c>
    </row>
    <row r="872" spans="1:7" x14ac:dyDescent="0.3">
      <c r="A872" t="s">
        <v>333</v>
      </c>
      <c r="B872" t="s">
        <v>334</v>
      </c>
      <c r="C872" t="s">
        <v>14</v>
      </c>
      <c r="D872" s="1">
        <v>45808</v>
      </c>
      <c r="E872">
        <v>84</v>
      </c>
      <c r="F872" s="2">
        <v>1671.5200000000004</v>
      </c>
      <c r="G872" s="2">
        <v>0</v>
      </c>
    </row>
    <row r="873" spans="1:7" x14ac:dyDescent="0.3">
      <c r="A873" t="s">
        <v>333</v>
      </c>
      <c r="B873" t="s">
        <v>334</v>
      </c>
      <c r="C873" t="s">
        <v>14</v>
      </c>
      <c r="D873" s="1">
        <v>45838</v>
      </c>
      <c r="E873">
        <v>220.75</v>
      </c>
      <c r="F873" s="2">
        <v>5607.5199999999986</v>
      </c>
      <c r="G873" s="2">
        <v>0</v>
      </c>
    </row>
    <row r="874" spans="1:7" hidden="1" x14ac:dyDescent="0.3">
      <c r="A874" t="s">
        <v>335</v>
      </c>
      <c r="B874" t="s">
        <v>336</v>
      </c>
      <c r="C874" t="s">
        <v>2</v>
      </c>
      <c r="D874" s="1">
        <v>45688</v>
      </c>
      <c r="E874">
        <v>22.5</v>
      </c>
      <c r="F874" s="2">
        <v>498.25</v>
      </c>
      <c r="G874" s="2">
        <v>498.25</v>
      </c>
    </row>
    <row r="875" spans="1:7" hidden="1" x14ac:dyDescent="0.3">
      <c r="A875" t="s">
        <v>335</v>
      </c>
      <c r="B875" t="s">
        <v>336</v>
      </c>
      <c r="C875" t="s">
        <v>2</v>
      </c>
      <c r="D875" s="1">
        <v>45716</v>
      </c>
      <c r="E875">
        <v>98.25</v>
      </c>
      <c r="F875" s="2">
        <v>1599.73</v>
      </c>
      <c r="G875" s="2">
        <v>1599.73</v>
      </c>
    </row>
    <row r="876" spans="1:7" hidden="1" x14ac:dyDescent="0.3">
      <c r="A876" t="s">
        <v>335</v>
      </c>
      <c r="B876" t="s">
        <v>336</v>
      </c>
      <c r="C876" t="s">
        <v>2</v>
      </c>
      <c r="D876" s="1">
        <v>45747</v>
      </c>
      <c r="E876">
        <v>95.75</v>
      </c>
      <c r="F876" s="2">
        <v>1594.3000000000002</v>
      </c>
      <c r="G876" s="2">
        <v>1594.3000000000002</v>
      </c>
    </row>
    <row r="877" spans="1:7" hidden="1" x14ac:dyDescent="0.3">
      <c r="A877" t="s">
        <v>335</v>
      </c>
      <c r="B877" t="s">
        <v>336</v>
      </c>
      <c r="C877" t="s">
        <v>2</v>
      </c>
      <c r="D877" s="1">
        <v>45777</v>
      </c>
      <c r="E877">
        <v>105</v>
      </c>
      <c r="F877" s="2">
        <v>1793.44</v>
      </c>
      <c r="G877" s="2">
        <v>1793.44</v>
      </c>
    </row>
    <row r="878" spans="1:7" hidden="1" x14ac:dyDescent="0.3">
      <c r="A878" t="s">
        <v>335</v>
      </c>
      <c r="B878" t="s">
        <v>336</v>
      </c>
      <c r="C878" t="s">
        <v>2</v>
      </c>
      <c r="D878" s="1">
        <v>45808</v>
      </c>
      <c r="E878">
        <v>112</v>
      </c>
      <c r="F878" s="2">
        <v>1682.2400000000007</v>
      </c>
      <c r="G878" s="2">
        <v>1682.2400000000007</v>
      </c>
    </row>
    <row r="879" spans="1:7" hidden="1" x14ac:dyDescent="0.3">
      <c r="A879" t="s">
        <v>335</v>
      </c>
      <c r="B879" t="s">
        <v>336</v>
      </c>
      <c r="C879" t="s">
        <v>2</v>
      </c>
      <c r="D879" s="1">
        <v>45838</v>
      </c>
      <c r="E879">
        <v>85.5</v>
      </c>
      <c r="F879" s="2">
        <v>1418.6399999999994</v>
      </c>
      <c r="G879" s="2">
        <v>1682.2400000000007</v>
      </c>
    </row>
    <row r="880" spans="1:7" hidden="1" x14ac:dyDescent="0.3">
      <c r="A880" t="s">
        <v>337</v>
      </c>
      <c r="B880" t="s">
        <v>338</v>
      </c>
      <c r="C880" t="s">
        <v>5</v>
      </c>
      <c r="D880" s="1">
        <v>45688</v>
      </c>
      <c r="E880">
        <v>0</v>
      </c>
      <c r="F880" s="2">
        <v>566.08000000000004</v>
      </c>
      <c r="G880" s="2">
        <v>0</v>
      </c>
    </row>
    <row r="881" spans="1:7" hidden="1" x14ac:dyDescent="0.3">
      <c r="A881" t="s">
        <v>339</v>
      </c>
      <c r="B881" t="s">
        <v>340</v>
      </c>
      <c r="C881" t="s">
        <v>8</v>
      </c>
      <c r="D881" s="1">
        <v>45688</v>
      </c>
      <c r="E881">
        <v>0</v>
      </c>
      <c r="F881" s="2">
        <v>466.08</v>
      </c>
      <c r="G881" s="2">
        <v>466.08</v>
      </c>
    </row>
    <row r="882" spans="1:7" hidden="1" x14ac:dyDescent="0.3">
      <c r="A882" t="s">
        <v>339</v>
      </c>
      <c r="B882" t="s">
        <v>340</v>
      </c>
      <c r="C882" t="s">
        <v>8</v>
      </c>
      <c r="D882" s="1">
        <v>45716</v>
      </c>
      <c r="E882">
        <v>0</v>
      </c>
      <c r="F882" s="2">
        <v>466.08</v>
      </c>
      <c r="G882" s="2">
        <v>466.08</v>
      </c>
    </row>
    <row r="883" spans="1:7" hidden="1" x14ac:dyDescent="0.3">
      <c r="A883" t="s">
        <v>339</v>
      </c>
      <c r="B883" t="s">
        <v>340</v>
      </c>
      <c r="C883" t="s">
        <v>8</v>
      </c>
      <c r="D883" s="1">
        <v>45747</v>
      </c>
      <c r="E883">
        <v>0</v>
      </c>
      <c r="F883" s="2">
        <v>108.86000000000001</v>
      </c>
      <c r="G883" s="2">
        <v>108.86000000000001</v>
      </c>
    </row>
    <row r="884" spans="1:7" x14ac:dyDescent="0.3">
      <c r="A884" t="s">
        <v>341</v>
      </c>
      <c r="B884" t="s">
        <v>342</v>
      </c>
      <c r="C884" t="s">
        <v>13</v>
      </c>
      <c r="D884" s="1">
        <v>45688</v>
      </c>
      <c r="E884">
        <v>0</v>
      </c>
      <c r="F884" s="2">
        <v>676.83</v>
      </c>
      <c r="G884" s="2">
        <v>676.83</v>
      </c>
    </row>
    <row r="885" spans="1:7" x14ac:dyDescent="0.3">
      <c r="A885" t="s">
        <v>341</v>
      </c>
      <c r="B885" t="s">
        <v>342</v>
      </c>
      <c r="C885" t="s">
        <v>13</v>
      </c>
      <c r="D885" s="1">
        <v>45716</v>
      </c>
      <c r="E885">
        <v>0</v>
      </c>
      <c r="F885" s="2">
        <v>661.36</v>
      </c>
      <c r="G885" s="2">
        <v>661.36</v>
      </c>
    </row>
    <row r="886" spans="1:7" hidden="1" x14ac:dyDescent="0.3">
      <c r="A886" t="s">
        <v>343</v>
      </c>
      <c r="B886" t="s">
        <v>336</v>
      </c>
      <c r="C886" t="s">
        <v>2</v>
      </c>
      <c r="D886" s="1">
        <v>45688</v>
      </c>
      <c r="E886">
        <v>0</v>
      </c>
      <c r="F886" s="2">
        <v>11.58</v>
      </c>
      <c r="G886" s="2">
        <v>11.58</v>
      </c>
    </row>
    <row r="887" spans="1:7" hidden="1" x14ac:dyDescent="0.3">
      <c r="A887" t="s">
        <v>344</v>
      </c>
      <c r="B887" t="s">
        <v>345</v>
      </c>
      <c r="C887" t="s">
        <v>5</v>
      </c>
      <c r="D887" s="1">
        <v>45688</v>
      </c>
      <c r="E887">
        <v>0</v>
      </c>
      <c r="F887" s="2">
        <v>516.08000000000004</v>
      </c>
      <c r="G887" s="2">
        <v>0</v>
      </c>
    </row>
    <row r="888" spans="1:7" hidden="1" x14ac:dyDescent="0.3">
      <c r="A888" t="s">
        <v>344</v>
      </c>
      <c r="B888" t="s">
        <v>345</v>
      </c>
      <c r="C888" t="s">
        <v>5</v>
      </c>
      <c r="D888" s="1">
        <v>45716</v>
      </c>
      <c r="E888">
        <v>0</v>
      </c>
      <c r="F888" s="2">
        <v>516.08000000000004</v>
      </c>
      <c r="G888" s="2">
        <v>0</v>
      </c>
    </row>
    <row r="889" spans="1:7" hidden="1" x14ac:dyDescent="0.3">
      <c r="A889" t="s">
        <v>344</v>
      </c>
      <c r="B889" t="s">
        <v>345</v>
      </c>
      <c r="C889" t="s">
        <v>5</v>
      </c>
      <c r="D889" s="1">
        <v>45747</v>
      </c>
      <c r="E889">
        <v>0</v>
      </c>
      <c r="F889" s="2">
        <v>516.07999999999993</v>
      </c>
      <c r="G889" s="2">
        <v>0</v>
      </c>
    </row>
    <row r="890" spans="1:7" hidden="1" x14ac:dyDescent="0.3">
      <c r="A890" t="s">
        <v>346</v>
      </c>
      <c r="B890" t="s">
        <v>347</v>
      </c>
      <c r="C890" t="s">
        <v>5</v>
      </c>
      <c r="D890" s="1">
        <v>45688</v>
      </c>
      <c r="E890">
        <v>0</v>
      </c>
      <c r="F890" s="2">
        <v>516.08000000000004</v>
      </c>
      <c r="G890" s="2">
        <v>516.08000000000004</v>
      </c>
    </row>
    <row r="891" spans="1:7" hidden="1" x14ac:dyDescent="0.3">
      <c r="A891" t="s">
        <v>346</v>
      </c>
      <c r="B891" t="s">
        <v>347</v>
      </c>
      <c r="C891" t="s">
        <v>5</v>
      </c>
      <c r="D891" s="1">
        <v>45716</v>
      </c>
      <c r="E891">
        <v>0</v>
      </c>
      <c r="F891" s="2">
        <v>516.08000000000004</v>
      </c>
      <c r="G891" s="2">
        <v>516.08000000000004</v>
      </c>
    </row>
    <row r="892" spans="1:7" hidden="1" x14ac:dyDescent="0.3">
      <c r="A892" t="s">
        <v>346</v>
      </c>
      <c r="B892" t="s">
        <v>347</v>
      </c>
      <c r="C892" t="s">
        <v>5</v>
      </c>
      <c r="D892" s="1">
        <v>45747</v>
      </c>
      <c r="E892">
        <v>0</v>
      </c>
      <c r="F892" s="2">
        <v>516.07999999999993</v>
      </c>
      <c r="G892" s="2">
        <v>516.07999999999993</v>
      </c>
    </row>
    <row r="893" spans="1:7" hidden="1" x14ac:dyDescent="0.3">
      <c r="A893" t="s">
        <v>348</v>
      </c>
      <c r="B893" t="s">
        <v>330</v>
      </c>
      <c r="C893" t="s">
        <v>6</v>
      </c>
      <c r="D893" s="1">
        <v>45688</v>
      </c>
      <c r="E893">
        <v>0</v>
      </c>
      <c r="F893" s="2">
        <v>23.91</v>
      </c>
      <c r="G893" s="2">
        <v>23.91</v>
      </c>
    </row>
    <row r="894" spans="1:7" hidden="1" x14ac:dyDescent="0.3">
      <c r="A894" t="s">
        <v>349</v>
      </c>
      <c r="B894" t="s">
        <v>350</v>
      </c>
      <c r="C894" t="s">
        <v>5</v>
      </c>
      <c r="D894" s="1">
        <v>45688</v>
      </c>
      <c r="E894">
        <v>0</v>
      </c>
      <c r="F894" s="2">
        <v>466.08</v>
      </c>
      <c r="G894" s="2">
        <v>466.08</v>
      </c>
    </row>
    <row r="895" spans="1:7" hidden="1" x14ac:dyDescent="0.3">
      <c r="A895" t="s">
        <v>349</v>
      </c>
      <c r="B895" t="s">
        <v>350</v>
      </c>
      <c r="C895" t="s">
        <v>5</v>
      </c>
      <c r="D895" s="1">
        <v>45716</v>
      </c>
      <c r="E895">
        <v>0</v>
      </c>
      <c r="F895" s="2">
        <v>465.44</v>
      </c>
      <c r="G895" s="2">
        <v>465.44</v>
      </c>
    </row>
    <row r="896" spans="1:7" hidden="1" x14ac:dyDescent="0.3">
      <c r="A896" t="s">
        <v>351</v>
      </c>
      <c r="B896" t="s">
        <v>352</v>
      </c>
      <c r="C896" t="s">
        <v>2</v>
      </c>
      <c r="D896" s="1">
        <v>45688</v>
      </c>
      <c r="E896">
        <v>0</v>
      </c>
      <c r="F896" s="2">
        <v>16.079999999999998</v>
      </c>
      <c r="G896" s="2">
        <v>16.079999999999998</v>
      </c>
    </row>
    <row r="897" spans="1:7" hidden="1" x14ac:dyDescent="0.3">
      <c r="A897" t="s">
        <v>351</v>
      </c>
      <c r="B897" t="s">
        <v>352</v>
      </c>
      <c r="C897" t="s">
        <v>2</v>
      </c>
      <c r="D897" s="1">
        <v>45716</v>
      </c>
      <c r="E897">
        <v>0</v>
      </c>
      <c r="F897" s="2">
        <v>10.940000000000001</v>
      </c>
      <c r="G897" s="2">
        <v>10.940000000000001</v>
      </c>
    </row>
    <row r="898" spans="1:7" hidden="1" x14ac:dyDescent="0.3">
      <c r="A898" t="s">
        <v>353</v>
      </c>
      <c r="B898" t="s">
        <v>354</v>
      </c>
      <c r="C898" t="s">
        <v>5</v>
      </c>
      <c r="D898" s="1">
        <v>45688</v>
      </c>
      <c r="E898">
        <v>0</v>
      </c>
      <c r="F898" s="2">
        <v>466.08</v>
      </c>
      <c r="G898" s="2">
        <v>466.08</v>
      </c>
    </row>
    <row r="899" spans="1:7" hidden="1" x14ac:dyDescent="0.3">
      <c r="A899" t="s">
        <v>353</v>
      </c>
      <c r="B899" t="s">
        <v>354</v>
      </c>
      <c r="C899" t="s">
        <v>5</v>
      </c>
      <c r="D899" s="1">
        <v>45716</v>
      </c>
      <c r="E899">
        <v>0</v>
      </c>
      <c r="F899" s="2">
        <v>466.08</v>
      </c>
      <c r="G899" s="2">
        <v>466.08</v>
      </c>
    </row>
    <row r="900" spans="1:7" hidden="1" x14ac:dyDescent="0.3">
      <c r="A900" t="s">
        <v>353</v>
      </c>
      <c r="B900" t="s">
        <v>354</v>
      </c>
      <c r="C900" t="s">
        <v>5</v>
      </c>
      <c r="D900" s="1">
        <v>45747</v>
      </c>
      <c r="E900">
        <v>0</v>
      </c>
      <c r="F900" s="2">
        <v>466.08000000000004</v>
      </c>
      <c r="G900" s="2">
        <v>466.08000000000004</v>
      </c>
    </row>
    <row r="901" spans="1:7" hidden="1" x14ac:dyDescent="0.3">
      <c r="A901" t="s">
        <v>353</v>
      </c>
      <c r="B901" t="s">
        <v>354</v>
      </c>
      <c r="C901" t="s">
        <v>5</v>
      </c>
      <c r="D901" s="1">
        <v>45777</v>
      </c>
      <c r="E901">
        <v>0</v>
      </c>
      <c r="F901" s="2">
        <v>516.07999999999993</v>
      </c>
      <c r="G901" s="2">
        <v>516.07999999999993</v>
      </c>
    </row>
    <row r="902" spans="1:7" hidden="1" x14ac:dyDescent="0.3">
      <c r="A902" t="s">
        <v>353</v>
      </c>
      <c r="B902" t="s">
        <v>354</v>
      </c>
      <c r="C902" t="s">
        <v>5</v>
      </c>
      <c r="D902" s="1">
        <v>45808</v>
      </c>
      <c r="E902">
        <v>0</v>
      </c>
      <c r="F902" s="2">
        <v>516.08000000000015</v>
      </c>
      <c r="G902" s="2">
        <v>516.08000000000015</v>
      </c>
    </row>
    <row r="903" spans="1:7" hidden="1" x14ac:dyDescent="0.3">
      <c r="A903" t="s">
        <v>353</v>
      </c>
      <c r="B903" t="s">
        <v>354</v>
      </c>
      <c r="C903" t="s">
        <v>5</v>
      </c>
      <c r="D903" s="1">
        <v>45838</v>
      </c>
      <c r="E903">
        <v>152</v>
      </c>
      <c r="F903" s="2">
        <v>516.07999999999993</v>
      </c>
      <c r="G903" s="2">
        <v>500</v>
      </c>
    </row>
    <row r="904" spans="1:7" hidden="1" x14ac:dyDescent="0.3">
      <c r="A904" t="s">
        <v>355</v>
      </c>
      <c r="B904" t="s">
        <v>356</v>
      </c>
      <c r="C904" t="s">
        <v>5</v>
      </c>
      <c r="D904" s="1">
        <v>45688</v>
      </c>
      <c r="E904">
        <v>0</v>
      </c>
      <c r="F904" s="2">
        <v>466.08</v>
      </c>
      <c r="G904" s="2">
        <v>466.08</v>
      </c>
    </row>
    <row r="905" spans="1:7" hidden="1" x14ac:dyDescent="0.3">
      <c r="A905" t="s">
        <v>355</v>
      </c>
      <c r="B905" t="s">
        <v>356</v>
      </c>
      <c r="C905" t="s">
        <v>5</v>
      </c>
      <c r="D905" s="1">
        <v>45716</v>
      </c>
      <c r="E905">
        <v>0</v>
      </c>
      <c r="F905" s="2">
        <v>466.08</v>
      </c>
      <c r="G905" s="2">
        <v>466.08</v>
      </c>
    </row>
    <row r="906" spans="1:7" hidden="1" x14ac:dyDescent="0.3">
      <c r="A906" t="s">
        <v>355</v>
      </c>
      <c r="B906" t="s">
        <v>356</v>
      </c>
      <c r="C906" t="s">
        <v>5</v>
      </c>
      <c r="D906" s="1">
        <v>45747</v>
      </c>
      <c r="E906">
        <v>0</v>
      </c>
      <c r="F906" s="2">
        <v>466.08000000000004</v>
      </c>
      <c r="G906" s="2">
        <v>466.08000000000004</v>
      </c>
    </row>
    <row r="907" spans="1:7" hidden="1" x14ac:dyDescent="0.3">
      <c r="A907" t="s">
        <v>355</v>
      </c>
      <c r="B907" t="s">
        <v>356</v>
      </c>
      <c r="C907" t="s">
        <v>5</v>
      </c>
      <c r="D907" s="1">
        <v>45777</v>
      </c>
      <c r="E907">
        <v>0</v>
      </c>
      <c r="F907" s="2">
        <v>516.07999999999993</v>
      </c>
      <c r="G907" s="2">
        <v>516.07999999999993</v>
      </c>
    </row>
    <row r="908" spans="1:7" hidden="1" x14ac:dyDescent="0.3">
      <c r="A908" t="s">
        <v>355</v>
      </c>
      <c r="B908" t="s">
        <v>356</v>
      </c>
      <c r="C908" t="s">
        <v>5</v>
      </c>
      <c r="D908" s="1">
        <v>45808</v>
      </c>
      <c r="E908">
        <v>0</v>
      </c>
      <c r="F908" s="2">
        <v>516.08000000000015</v>
      </c>
      <c r="G908" s="2">
        <v>516.08000000000015</v>
      </c>
    </row>
    <row r="909" spans="1:7" hidden="1" x14ac:dyDescent="0.3">
      <c r="A909" t="s">
        <v>355</v>
      </c>
      <c r="B909" t="s">
        <v>356</v>
      </c>
      <c r="C909" t="s">
        <v>5</v>
      </c>
      <c r="D909" s="1">
        <v>45838</v>
      </c>
      <c r="E909">
        <v>152</v>
      </c>
      <c r="F909" s="2">
        <v>516.07999999999993</v>
      </c>
      <c r="G909" s="2">
        <v>500</v>
      </c>
    </row>
    <row r="910" spans="1:7" hidden="1" x14ac:dyDescent="0.3">
      <c r="A910" t="s">
        <v>357</v>
      </c>
      <c r="B910" t="s">
        <v>358</v>
      </c>
      <c r="C910" t="s">
        <v>3</v>
      </c>
      <c r="D910" s="1">
        <v>45688</v>
      </c>
      <c r="E910">
        <v>0</v>
      </c>
      <c r="F910" s="2">
        <v>16.079999999999998</v>
      </c>
      <c r="G910" s="2">
        <v>16.079999999999998</v>
      </c>
    </row>
    <row r="911" spans="1:7" hidden="1" x14ac:dyDescent="0.3">
      <c r="A911" t="s">
        <v>357</v>
      </c>
      <c r="B911" t="s">
        <v>358</v>
      </c>
      <c r="C911" t="s">
        <v>3</v>
      </c>
      <c r="D911" s="1">
        <v>45716</v>
      </c>
      <c r="E911">
        <v>0</v>
      </c>
      <c r="F911" s="2">
        <v>16.079999999999998</v>
      </c>
      <c r="G911" s="2">
        <v>16.079999999999998</v>
      </c>
    </row>
    <row r="912" spans="1:7" hidden="1" x14ac:dyDescent="0.3">
      <c r="A912" t="s">
        <v>357</v>
      </c>
      <c r="B912" t="s">
        <v>358</v>
      </c>
      <c r="C912" t="s">
        <v>3</v>
      </c>
      <c r="D912" s="1">
        <v>45747</v>
      </c>
      <c r="E912">
        <v>0</v>
      </c>
      <c r="F912" s="2">
        <v>15.440000000000005</v>
      </c>
      <c r="G912" s="2">
        <v>15.440000000000005</v>
      </c>
    </row>
    <row r="913" spans="1:7" hidden="1" x14ac:dyDescent="0.3">
      <c r="A913" t="s">
        <v>359</v>
      </c>
      <c r="B913" t="s">
        <v>360</v>
      </c>
      <c r="C913" t="s">
        <v>3</v>
      </c>
      <c r="D913" s="1">
        <v>45688</v>
      </c>
      <c r="E913">
        <v>0</v>
      </c>
      <c r="F913" s="2">
        <v>7.08</v>
      </c>
      <c r="G913" s="2">
        <v>7.08</v>
      </c>
    </row>
    <row r="914" spans="1:7" hidden="1" x14ac:dyDescent="0.3">
      <c r="A914" t="s">
        <v>359</v>
      </c>
      <c r="B914" t="s">
        <v>360</v>
      </c>
      <c r="C914" t="s">
        <v>3</v>
      </c>
      <c r="D914" s="1">
        <v>45716</v>
      </c>
      <c r="E914">
        <v>0</v>
      </c>
      <c r="F914" s="2">
        <v>16.079999999999998</v>
      </c>
      <c r="G914" s="2">
        <v>16.079999999999998</v>
      </c>
    </row>
    <row r="915" spans="1:7" hidden="1" x14ac:dyDescent="0.3">
      <c r="A915" t="s">
        <v>359</v>
      </c>
      <c r="B915" t="s">
        <v>360</v>
      </c>
      <c r="C915" t="s">
        <v>3</v>
      </c>
      <c r="D915" s="1">
        <v>45747</v>
      </c>
      <c r="E915">
        <v>0</v>
      </c>
      <c r="F915" s="2">
        <v>10.940000000000005</v>
      </c>
      <c r="G915" s="2">
        <v>10.940000000000005</v>
      </c>
    </row>
    <row r="916" spans="1:7" hidden="1" x14ac:dyDescent="0.3">
      <c r="A916" t="s">
        <v>361</v>
      </c>
      <c r="B916" t="s">
        <v>362</v>
      </c>
      <c r="C916" t="s">
        <v>5</v>
      </c>
      <c r="D916" s="1">
        <v>45688</v>
      </c>
      <c r="E916">
        <v>0</v>
      </c>
      <c r="F916" s="2">
        <v>62.58</v>
      </c>
      <c r="G916" s="2">
        <v>62.58</v>
      </c>
    </row>
    <row r="917" spans="1:7" hidden="1" x14ac:dyDescent="0.3">
      <c r="A917" t="s">
        <v>361</v>
      </c>
      <c r="B917" t="s">
        <v>362</v>
      </c>
      <c r="C917" t="s">
        <v>5</v>
      </c>
      <c r="D917" s="1">
        <v>45716</v>
      </c>
      <c r="E917">
        <v>0</v>
      </c>
      <c r="F917" s="2">
        <v>186.43</v>
      </c>
      <c r="G917" s="2">
        <v>186.43</v>
      </c>
    </row>
    <row r="918" spans="1:7" x14ac:dyDescent="0.3">
      <c r="A918" t="s">
        <v>363</v>
      </c>
      <c r="B918" t="s">
        <v>364</v>
      </c>
      <c r="C918" t="s">
        <v>11</v>
      </c>
      <c r="D918" s="1">
        <v>45688</v>
      </c>
      <c r="E918">
        <v>0</v>
      </c>
      <c r="F918" s="2">
        <v>289.39999999999998</v>
      </c>
      <c r="G918" s="2">
        <v>289.39999999999998</v>
      </c>
    </row>
    <row r="919" spans="1:7" x14ac:dyDescent="0.3">
      <c r="A919" t="s">
        <v>363</v>
      </c>
      <c r="B919" t="s">
        <v>364</v>
      </c>
      <c r="C919" t="s">
        <v>11</v>
      </c>
      <c r="D919" s="1">
        <v>45716</v>
      </c>
      <c r="E919">
        <v>0</v>
      </c>
      <c r="F919" s="2">
        <v>456.47</v>
      </c>
      <c r="G919" s="2">
        <v>456.47</v>
      </c>
    </row>
    <row r="920" spans="1:7" x14ac:dyDescent="0.3">
      <c r="A920" t="s">
        <v>363</v>
      </c>
      <c r="B920" t="s">
        <v>364</v>
      </c>
      <c r="C920" t="s">
        <v>11</v>
      </c>
      <c r="D920" s="1">
        <v>45747</v>
      </c>
      <c r="E920">
        <v>0</v>
      </c>
      <c r="F920" s="2">
        <v>456.46999999999991</v>
      </c>
      <c r="G920" s="2">
        <v>456.46999999999991</v>
      </c>
    </row>
    <row r="921" spans="1:7" x14ac:dyDescent="0.3">
      <c r="A921" t="s">
        <v>363</v>
      </c>
      <c r="B921" t="s">
        <v>364</v>
      </c>
      <c r="C921" t="s">
        <v>11</v>
      </c>
      <c r="D921" s="1">
        <v>45777</v>
      </c>
      <c r="E921">
        <v>0</v>
      </c>
      <c r="F921" s="2">
        <v>213.11000000000013</v>
      </c>
      <c r="G921" s="2">
        <v>213.11000000000013</v>
      </c>
    </row>
    <row r="922" spans="1:7" x14ac:dyDescent="0.3">
      <c r="A922" t="s">
        <v>365</v>
      </c>
      <c r="B922" t="s">
        <v>52</v>
      </c>
      <c r="C922" t="s">
        <v>11</v>
      </c>
      <c r="D922" s="1">
        <v>45688</v>
      </c>
      <c r="E922">
        <v>0</v>
      </c>
      <c r="F922" s="2">
        <v>1450</v>
      </c>
      <c r="G922" s="2">
        <v>1450</v>
      </c>
    </row>
    <row r="923" spans="1:7" x14ac:dyDescent="0.3">
      <c r="A923" t="s">
        <v>365</v>
      </c>
      <c r="B923" t="s">
        <v>52</v>
      </c>
      <c r="C923" t="s">
        <v>11</v>
      </c>
      <c r="D923" s="1">
        <v>45716</v>
      </c>
      <c r="E923">
        <v>0</v>
      </c>
      <c r="F923" s="2">
        <v>1450</v>
      </c>
      <c r="G923" s="2">
        <v>1450</v>
      </c>
    </row>
    <row r="924" spans="1:7" x14ac:dyDescent="0.3">
      <c r="A924" t="s">
        <v>365</v>
      </c>
      <c r="B924" t="s">
        <v>52</v>
      </c>
      <c r="C924" t="s">
        <v>11</v>
      </c>
      <c r="D924" s="1">
        <v>45747</v>
      </c>
      <c r="E924">
        <v>0</v>
      </c>
      <c r="F924" s="2">
        <v>1450</v>
      </c>
      <c r="G924" s="2">
        <v>1450</v>
      </c>
    </row>
    <row r="925" spans="1:7" x14ac:dyDescent="0.3">
      <c r="A925" t="s">
        <v>365</v>
      </c>
      <c r="B925" t="s">
        <v>52</v>
      </c>
      <c r="C925" t="s">
        <v>11</v>
      </c>
      <c r="D925" s="1">
        <v>45777</v>
      </c>
      <c r="E925">
        <v>0</v>
      </c>
      <c r="F925" s="2">
        <v>1450</v>
      </c>
      <c r="G925" s="2">
        <v>1450</v>
      </c>
    </row>
    <row r="926" spans="1:7" x14ac:dyDescent="0.3">
      <c r="A926" t="s">
        <v>365</v>
      </c>
      <c r="B926" t="s">
        <v>52</v>
      </c>
      <c r="C926" t="s">
        <v>11</v>
      </c>
      <c r="D926" s="1">
        <v>45808</v>
      </c>
      <c r="E926">
        <v>0</v>
      </c>
      <c r="F926" s="2">
        <v>1450</v>
      </c>
      <c r="G926" s="2">
        <v>1450</v>
      </c>
    </row>
    <row r="927" spans="1:7" x14ac:dyDescent="0.3">
      <c r="A927" t="s">
        <v>365</v>
      </c>
      <c r="B927" t="s">
        <v>52</v>
      </c>
      <c r="C927" t="s">
        <v>11</v>
      </c>
      <c r="D927" s="1">
        <v>45838</v>
      </c>
      <c r="E927">
        <v>0</v>
      </c>
      <c r="F927" s="2">
        <v>1450</v>
      </c>
      <c r="G927" s="2">
        <v>1666</v>
      </c>
    </row>
    <row r="928" spans="1:7" hidden="1" x14ac:dyDescent="0.3">
      <c r="A928" t="s">
        <v>366</v>
      </c>
      <c r="B928" t="s">
        <v>367</v>
      </c>
      <c r="C928" t="s">
        <v>5</v>
      </c>
      <c r="D928" s="1">
        <v>45716</v>
      </c>
      <c r="E928">
        <v>105.25</v>
      </c>
      <c r="F928" s="2">
        <v>1363.4</v>
      </c>
      <c r="G928" s="2">
        <v>1363.4</v>
      </c>
    </row>
    <row r="929" spans="1:7" hidden="1" x14ac:dyDescent="0.3">
      <c r="A929" t="s">
        <v>366</v>
      </c>
      <c r="B929" t="s">
        <v>367</v>
      </c>
      <c r="C929" t="s">
        <v>5</v>
      </c>
      <c r="D929" s="1">
        <v>45747</v>
      </c>
      <c r="E929">
        <v>82</v>
      </c>
      <c r="F929" s="2">
        <v>1057.8899999999999</v>
      </c>
      <c r="G929" s="2">
        <v>1057.8899999999999</v>
      </c>
    </row>
    <row r="930" spans="1:7" hidden="1" x14ac:dyDescent="0.3">
      <c r="A930" t="s">
        <v>366</v>
      </c>
      <c r="B930" t="s">
        <v>367</v>
      </c>
      <c r="C930" t="s">
        <v>5</v>
      </c>
      <c r="D930" s="1">
        <v>45808</v>
      </c>
      <c r="E930">
        <v>0</v>
      </c>
      <c r="F930" s="2">
        <v>4.5474735088646412E-13</v>
      </c>
      <c r="G930" s="2">
        <v>4.5474735088646412E-13</v>
      </c>
    </row>
    <row r="931" spans="1:7" x14ac:dyDescent="0.3">
      <c r="A931" t="s">
        <v>368</v>
      </c>
      <c r="B931" t="s">
        <v>369</v>
      </c>
      <c r="C931" t="s">
        <v>13</v>
      </c>
      <c r="D931" s="1">
        <v>45716</v>
      </c>
      <c r="E931">
        <v>90</v>
      </c>
      <c r="F931" s="2">
        <v>1379.55</v>
      </c>
      <c r="G931" s="2">
        <v>1379.55</v>
      </c>
    </row>
    <row r="932" spans="1:7" x14ac:dyDescent="0.3">
      <c r="A932" t="s">
        <v>368</v>
      </c>
      <c r="B932" t="s">
        <v>369</v>
      </c>
      <c r="C932" t="s">
        <v>13</v>
      </c>
      <c r="D932" s="1">
        <v>45747</v>
      </c>
      <c r="E932">
        <v>112</v>
      </c>
      <c r="F932" s="2">
        <v>1559.6499999999999</v>
      </c>
      <c r="G932" s="2">
        <v>1559.6499999999999</v>
      </c>
    </row>
    <row r="933" spans="1:7" x14ac:dyDescent="0.3">
      <c r="A933" t="s">
        <v>368</v>
      </c>
      <c r="B933" t="s">
        <v>369</v>
      </c>
      <c r="C933" t="s">
        <v>13</v>
      </c>
      <c r="D933" s="1">
        <v>45777</v>
      </c>
      <c r="E933">
        <v>96.5</v>
      </c>
      <c r="F933" s="2">
        <v>1772.9800000000005</v>
      </c>
      <c r="G933" s="2">
        <v>1772.9800000000005</v>
      </c>
    </row>
    <row r="934" spans="1:7" x14ac:dyDescent="0.3">
      <c r="A934" t="s">
        <v>368</v>
      </c>
      <c r="B934" t="s">
        <v>369</v>
      </c>
      <c r="C934" t="s">
        <v>13</v>
      </c>
      <c r="D934" s="1">
        <v>45808</v>
      </c>
      <c r="E934">
        <v>113.5</v>
      </c>
      <c r="F934" s="2">
        <v>1708.3999999999996</v>
      </c>
      <c r="G934" s="2">
        <v>1708.3999999999996</v>
      </c>
    </row>
    <row r="935" spans="1:7" x14ac:dyDescent="0.3">
      <c r="A935" t="s">
        <v>368</v>
      </c>
      <c r="B935" t="s">
        <v>369</v>
      </c>
      <c r="C935" t="s">
        <v>13</v>
      </c>
      <c r="D935" s="1">
        <v>45838</v>
      </c>
      <c r="E935">
        <v>108.5</v>
      </c>
      <c r="F935" s="2">
        <v>1726.71</v>
      </c>
      <c r="G935" s="2">
        <v>1605.145</v>
      </c>
    </row>
    <row r="936" spans="1:7" hidden="1" x14ac:dyDescent="0.3">
      <c r="A936" t="s">
        <v>370</v>
      </c>
      <c r="B936" t="s">
        <v>338</v>
      </c>
      <c r="C936" t="s">
        <v>5</v>
      </c>
      <c r="D936" s="1">
        <v>45716</v>
      </c>
      <c r="E936">
        <v>120</v>
      </c>
      <c r="F936" s="2">
        <v>1482.66</v>
      </c>
      <c r="G936" s="2">
        <v>1482.66</v>
      </c>
    </row>
    <row r="937" spans="1:7" hidden="1" x14ac:dyDescent="0.3">
      <c r="A937" t="s">
        <v>370</v>
      </c>
      <c r="B937" t="s">
        <v>338</v>
      </c>
      <c r="C937" t="s">
        <v>5</v>
      </c>
      <c r="D937" s="1">
        <v>45747</v>
      </c>
      <c r="E937">
        <v>117.75</v>
      </c>
      <c r="F937" s="2">
        <v>1407.1899999999998</v>
      </c>
      <c r="G937" s="2">
        <v>1407.1899999999998</v>
      </c>
    </row>
    <row r="938" spans="1:7" hidden="1" x14ac:dyDescent="0.3">
      <c r="A938" t="s">
        <v>370</v>
      </c>
      <c r="B938" t="s">
        <v>338</v>
      </c>
      <c r="C938" t="s">
        <v>5</v>
      </c>
      <c r="D938" s="1">
        <v>45777</v>
      </c>
      <c r="E938">
        <v>135</v>
      </c>
      <c r="F938" s="2">
        <v>1609.2200000000007</v>
      </c>
      <c r="G938" s="2">
        <v>1609.2200000000007</v>
      </c>
    </row>
    <row r="939" spans="1:7" hidden="1" x14ac:dyDescent="0.3">
      <c r="A939" t="s">
        <v>370</v>
      </c>
      <c r="B939" t="s">
        <v>338</v>
      </c>
      <c r="C939" t="s">
        <v>5</v>
      </c>
      <c r="D939" s="1">
        <v>45808</v>
      </c>
      <c r="E939">
        <v>144.25</v>
      </c>
      <c r="F939" s="2">
        <v>1627.8499999999995</v>
      </c>
      <c r="G939" s="2">
        <v>1627.8499999999995</v>
      </c>
    </row>
    <row r="940" spans="1:7" hidden="1" x14ac:dyDescent="0.3">
      <c r="A940" t="s">
        <v>370</v>
      </c>
      <c r="B940" t="s">
        <v>338</v>
      </c>
      <c r="C940" t="s">
        <v>5</v>
      </c>
      <c r="D940" s="1">
        <v>45838</v>
      </c>
      <c r="E940">
        <v>131.75</v>
      </c>
      <c r="F940" s="2">
        <v>1580.239999999998</v>
      </c>
      <c r="G940" s="2">
        <v>1338.6000000000001</v>
      </c>
    </row>
    <row r="941" spans="1:7" x14ac:dyDescent="0.3">
      <c r="A941" t="s">
        <v>371</v>
      </c>
      <c r="B941" t="s">
        <v>372</v>
      </c>
      <c r="C941" t="s">
        <v>11</v>
      </c>
      <c r="D941" s="1">
        <v>45716</v>
      </c>
      <c r="E941">
        <v>31</v>
      </c>
      <c r="F941" s="2">
        <v>2850.92</v>
      </c>
      <c r="G941" s="2">
        <v>2850.92</v>
      </c>
    </row>
    <row r="942" spans="1:7" x14ac:dyDescent="0.3">
      <c r="A942" t="s">
        <v>371</v>
      </c>
      <c r="B942" t="s">
        <v>372</v>
      </c>
      <c r="C942" t="s">
        <v>11</v>
      </c>
      <c r="D942" s="1">
        <v>45747</v>
      </c>
      <c r="E942">
        <v>43</v>
      </c>
      <c r="F942" s="2">
        <v>2730.5299999999997</v>
      </c>
      <c r="G942" s="2">
        <v>2730.5299999999997</v>
      </c>
    </row>
    <row r="943" spans="1:7" x14ac:dyDescent="0.3">
      <c r="A943" t="s">
        <v>371</v>
      </c>
      <c r="B943" t="s">
        <v>372</v>
      </c>
      <c r="C943" t="s">
        <v>11</v>
      </c>
      <c r="D943" s="1">
        <v>45777</v>
      </c>
      <c r="E943">
        <v>39</v>
      </c>
      <c r="F943" s="2">
        <v>3136.3400000000011</v>
      </c>
      <c r="G943" s="2">
        <v>3136.3400000000011</v>
      </c>
    </row>
    <row r="944" spans="1:7" x14ac:dyDescent="0.3">
      <c r="A944" t="s">
        <v>371</v>
      </c>
      <c r="B944" t="s">
        <v>372</v>
      </c>
      <c r="C944" t="s">
        <v>11</v>
      </c>
      <c r="D944" s="1">
        <v>45808</v>
      </c>
      <c r="E944">
        <v>51</v>
      </c>
      <c r="F944" s="2">
        <v>2959.5300000000025</v>
      </c>
      <c r="G944" s="2">
        <v>2959.5300000000025</v>
      </c>
    </row>
    <row r="945" spans="1:7" x14ac:dyDescent="0.3">
      <c r="A945" t="s">
        <v>371</v>
      </c>
      <c r="B945" t="s">
        <v>372</v>
      </c>
      <c r="C945" t="s">
        <v>11</v>
      </c>
      <c r="D945" s="1">
        <v>45838</v>
      </c>
      <c r="E945">
        <v>48</v>
      </c>
      <c r="F945" s="2">
        <v>2945.5699999999961</v>
      </c>
      <c r="G945" s="2">
        <v>2919.3300000000008</v>
      </c>
    </row>
    <row r="946" spans="1:7" x14ac:dyDescent="0.3">
      <c r="A946" t="s">
        <v>373</v>
      </c>
      <c r="B946" t="s">
        <v>374</v>
      </c>
      <c r="C946" t="s">
        <v>13</v>
      </c>
      <c r="D946" s="1">
        <v>45716</v>
      </c>
      <c r="E946">
        <v>76</v>
      </c>
      <c r="F946" s="2">
        <v>1208.42</v>
      </c>
      <c r="G946" s="2">
        <v>1208.42</v>
      </c>
    </row>
    <row r="947" spans="1:7" x14ac:dyDescent="0.3">
      <c r="A947" t="s">
        <v>373</v>
      </c>
      <c r="B947" t="s">
        <v>374</v>
      </c>
      <c r="C947" t="s">
        <v>13</v>
      </c>
      <c r="D947" s="1">
        <v>45747</v>
      </c>
      <c r="E947">
        <v>159.5</v>
      </c>
      <c r="F947" s="2">
        <v>3401.29</v>
      </c>
      <c r="G947" s="2">
        <v>3401.29</v>
      </c>
    </row>
    <row r="948" spans="1:7" x14ac:dyDescent="0.3">
      <c r="A948" t="s">
        <v>373</v>
      </c>
      <c r="B948" t="s">
        <v>374</v>
      </c>
      <c r="C948" t="s">
        <v>13</v>
      </c>
      <c r="D948" s="1">
        <v>45777</v>
      </c>
      <c r="E948">
        <v>129.25</v>
      </c>
      <c r="F948" s="2">
        <v>2975.2699999999995</v>
      </c>
      <c r="G948" s="2">
        <v>2975.2699999999995</v>
      </c>
    </row>
    <row r="949" spans="1:7" x14ac:dyDescent="0.3">
      <c r="A949" t="s">
        <v>373</v>
      </c>
      <c r="B949" t="s">
        <v>374</v>
      </c>
      <c r="C949" t="s">
        <v>13</v>
      </c>
      <c r="D949" s="1">
        <v>45808</v>
      </c>
      <c r="E949">
        <v>113</v>
      </c>
      <c r="F949" s="2">
        <v>2857.7199999999993</v>
      </c>
      <c r="G949" s="2">
        <v>2857.7199999999993</v>
      </c>
    </row>
    <row r="950" spans="1:7" x14ac:dyDescent="0.3">
      <c r="A950" t="s">
        <v>373</v>
      </c>
      <c r="B950" t="s">
        <v>374</v>
      </c>
      <c r="C950" t="s">
        <v>13</v>
      </c>
      <c r="D950" s="1">
        <v>45838</v>
      </c>
      <c r="E950">
        <v>135.75</v>
      </c>
      <c r="F950" s="2">
        <v>3036.630000000001</v>
      </c>
      <c r="G950" s="2">
        <v>2610.6749999999997</v>
      </c>
    </row>
    <row r="951" spans="1:7" x14ac:dyDescent="0.3">
      <c r="A951" t="s">
        <v>375</v>
      </c>
      <c r="B951" t="s">
        <v>376</v>
      </c>
      <c r="C951" t="s">
        <v>13</v>
      </c>
      <c r="D951" s="1">
        <v>45716</v>
      </c>
      <c r="E951">
        <v>30</v>
      </c>
      <c r="F951" s="2">
        <v>355.66</v>
      </c>
      <c r="G951" s="2">
        <v>355.66</v>
      </c>
    </row>
    <row r="952" spans="1:7" x14ac:dyDescent="0.3">
      <c r="A952" t="s">
        <v>375</v>
      </c>
      <c r="B952" t="s">
        <v>376</v>
      </c>
      <c r="C952" t="s">
        <v>13</v>
      </c>
      <c r="D952" s="1">
        <v>45747</v>
      </c>
      <c r="E952">
        <v>78.5</v>
      </c>
      <c r="F952" s="2">
        <v>1282.6599999999999</v>
      </c>
      <c r="G952" s="2">
        <v>1282.6599999999999</v>
      </c>
    </row>
    <row r="953" spans="1:7" hidden="1" x14ac:dyDescent="0.3">
      <c r="A953" t="s">
        <v>377</v>
      </c>
      <c r="B953" t="s">
        <v>378</v>
      </c>
      <c r="C953" t="s">
        <v>2</v>
      </c>
      <c r="D953" s="1">
        <v>45716</v>
      </c>
      <c r="E953">
        <v>38.5</v>
      </c>
      <c r="F953" s="2">
        <v>317.36</v>
      </c>
      <c r="G953" s="2">
        <v>317.36</v>
      </c>
    </row>
    <row r="954" spans="1:7" hidden="1" x14ac:dyDescent="0.3">
      <c r="A954" t="s">
        <v>377</v>
      </c>
      <c r="B954" t="s">
        <v>378</v>
      </c>
      <c r="C954" t="s">
        <v>2</v>
      </c>
      <c r="D954" s="1">
        <v>45747</v>
      </c>
      <c r="E954">
        <v>102</v>
      </c>
      <c r="F954" s="2">
        <v>1272.3499999999999</v>
      </c>
      <c r="G954" s="2">
        <v>1272.3499999999999</v>
      </c>
    </row>
    <row r="955" spans="1:7" hidden="1" x14ac:dyDescent="0.3">
      <c r="A955" t="s">
        <v>377</v>
      </c>
      <c r="B955" t="s">
        <v>378</v>
      </c>
      <c r="C955" t="s">
        <v>2</v>
      </c>
      <c r="D955" s="1">
        <v>45777</v>
      </c>
      <c r="E955">
        <v>103</v>
      </c>
      <c r="F955" s="2">
        <v>1382.75</v>
      </c>
      <c r="G955" s="2">
        <v>1382.75</v>
      </c>
    </row>
    <row r="956" spans="1:7" hidden="1" x14ac:dyDescent="0.3">
      <c r="A956" t="s">
        <v>377</v>
      </c>
      <c r="B956" t="s">
        <v>378</v>
      </c>
      <c r="C956" t="s">
        <v>2</v>
      </c>
      <c r="D956" s="1">
        <v>45808</v>
      </c>
      <c r="E956">
        <v>99</v>
      </c>
      <c r="F956" s="2">
        <v>1197.6000000000004</v>
      </c>
      <c r="G956" s="2">
        <v>1197.6000000000004</v>
      </c>
    </row>
    <row r="957" spans="1:7" hidden="1" x14ac:dyDescent="0.3">
      <c r="A957" t="s">
        <v>377</v>
      </c>
      <c r="B957" t="s">
        <v>378</v>
      </c>
      <c r="C957" t="s">
        <v>2</v>
      </c>
      <c r="D957" s="1">
        <v>45838</v>
      </c>
      <c r="E957">
        <v>99</v>
      </c>
      <c r="F957" s="2">
        <v>1159.3599999999997</v>
      </c>
      <c r="G957" s="2">
        <v>1197.6000000000004</v>
      </c>
    </row>
    <row r="958" spans="1:7" hidden="1" x14ac:dyDescent="0.3">
      <c r="A958" t="s">
        <v>379</v>
      </c>
      <c r="B958" t="s">
        <v>352</v>
      </c>
      <c r="C958" t="s">
        <v>2</v>
      </c>
      <c r="D958" s="1">
        <v>45716</v>
      </c>
      <c r="E958">
        <v>33</v>
      </c>
      <c r="F958" s="2">
        <v>272.04000000000002</v>
      </c>
      <c r="G958" s="2">
        <v>272.04000000000002</v>
      </c>
    </row>
    <row r="959" spans="1:7" hidden="1" x14ac:dyDescent="0.3">
      <c r="A959" t="s">
        <v>379</v>
      </c>
      <c r="B959" t="s">
        <v>352</v>
      </c>
      <c r="C959" t="s">
        <v>2</v>
      </c>
      <c r="D959" s="1">
        <v>45747</v>
      </c>
      <c r="E959">
        <v>112.75</v>
      </c>
      <c r="F959" s="2">
        <v>1228.8500000000001</v>
      </c>
      <c r="G959" s="2">
        <v>1228.8500000000001</v>
      </c>
    </row>
    <row r="960" spans="1:7" hidden="1" x14ac:dyDescent="0.3">
      <c r="A960" t="s">
        <v>379</v>
      </c>
      <c r="B960" t="s">
        <v>352</v>
      </c>
      <c r="C960" t="s">
        <v>2</v>
      </c>
      <c r="D960" s="1">
        <v>45777</v>
      </c>
      <c r="E960">
        <v>76</v>
      </c>
      <c r="F960" s="2">
        <v>1315.95</v>
      </c>
      <c r="G960" s="2">
        <v>1315.95</v>
      </c>
    </row>
    <row r="961" spans="1:7" hidden="1" x14ac:dyDescent="0.3">
      <c r="A961" t="s">
        <v>379</v>
      </c>
      <c r="B961" t="s">
        <v>352</v>
      </c>
      <c r="C961" t="s">
        <v>2</v>
      </c>
      <c r="D961" s="1">
        <v>45808</v>
      </c>
      <c r="E961">
        <v>83</v>
      </c>
      <c r="F961" s="2">
        <v>1147.0300000000007</v>
      </c>
      <c r="G961" s="2">
        <v>1147.0300000000007</v>
      </c>
    </row>
    <row r="962" spans="1:7" hidden="1" x14ac:dyDescent="0.3">
      <c r="A962" t="s">
        <v>379</v>
      </c>
      <c r="B962" t="s">
        <v>352</v>
      </c>
      <c r="C962" t="s">
        <v>2</v>
      </c>
      <c r="D962" s="1">
        <v>45838</v>
      </c>
      <c r="E962">
        <v>86.25</v>
      </c>
      <c r="F962" s="2">
        <v>1214.0299999999988</v>
      </c>
      <c r="G962" s="2">
        <v>1147.0300000000007</v>
      </c>
    </row>
    <row r="963" spans="1:7" x14ac:dyDescent="0.3">
      <c r="A963" t="s">
        <v>380</v>
      </c>
      <c r="B963" t="s">
        <v>342</v>
      </c>
      <c r="C963" t="s">
        <v>13</v>
      </c>
      <c r="D963" s="1">
        <v>45747</v>
      </c>
      <c r="E963">
        <v>165.25</v>
      </c>
      <c r="F963" s="2">
        <v>2044.67</v>
      </c>
      <c r="G963" s="2">
        <v>2044.67</v>
      </c>
    </row>
    <row r="964" spans="1:7" x14ac:dyDescent="0.3">
      <c r="A964" t="s">
        <v>380</v>
      </c>
      <c r="B964" t="s">
        <v>342</v>
      </c>
      <c r="C964" t="s">
        <v>13</v>
      </c>
      <c r="D964" s="1">
        <v>45777</v>
      </c>
      <c r="E964">
        <v>144</v>
      </c>
      <c r="F964" s="2">
        <v>2025.33</v>
      </c>
      <c r="G964" s="2">
        <v>2025.33</v>
      </c>
    </row>
    <row r="965" spans="1:7" x14ac:dyDescent="0.3">
      <c r="A965" t="s">
        <v>380</v>
      </c>
      <c r="B965" t="s">
        <v>342</v>
      </c>
      <c r="C965" t="s">
        <v>13</v>
      </c>
      <c r="D965" s="1">
        <v>45808</v>
      </c>
      <c r="E965">
        <v>173.25</v>
      </c>
      <c r="F965" s="2">
        <v>2358.37</v>
      </c>
      <c r="G965" s="2">
        <v>2358.37</v>
      </c>
    </row>
    <row r="966" spans="1:7" x14ac:dyDescent="0.3">
      <c r="A966" t="s">
        <v>380</v>
      </c>
      <c r="B966" t="s">
        <v>342</v>
      </c>
      <c r="C966" t="s">
        <v>13</v>
      </c>
      <c r="D966" s="1">
        <v>45838</v>
      </c>
      <c r="E966">
        <v>161</v>
      </c>
      <c r="F966" s="2">
        <v>2197.5099999999993</v>
      </c>
      <c r="G966" s="2">
        <v>2142.79</v>
      </c>
    </row>
    <row r="967" spans="1:7" hidden="1" x14ac:dyDescent="0.3">
      <c r="A967" t="s">
        <v>381</v>
      </c>
      <c r="B967" t="s">
        <v>382</v>
      </c>
      <c r="C967" t="s">
        <v>7</v>
      </c>
      <c r="D967" s="1">
        <v>45747</v>
      </c>
      <c r="E967">
        <v>121.75</v>
      </c>
      <c r="F967" s="2">
        <v>3408.99</v>
      </c>
      <c r="G967" s="2">
        <v>3408.99</v>
      </c>
    </row>
    <row r="968" spans="1:7" hidden="1" x14ac:dyDescent="0.3">
      <c r="A968" t="s">
        <v>381</v>
      </c>
      <c r="B968" t="s">
        <v>382</v>
      </c>
      <c r="C968" t="s">
        <v>7</v>
      </c>
      <c r="D968" s="1">
        <v>45777</v>
      </c>
      <c r="E968">
        <v>143.75</v>
      </c>
      <c r="F968" s="2">
        <v>4367.16</v>
      </c>
      <c r="G968" s="2">
        <v>4367.16</v>
      </c>
    </row>
    <row r="969" spans="1:7" hidden="1" x14ac:dyDescent="0.3">
      <c r="A969" t="s">
        <v>381</v>
      </c>
      <c r="B969" t="s">
        <v>382</v>
      </c>
      <c r="C969" t="s">
        <v>7</v>
      </c>
      <c r="D969" s="1">
        <v>45808</v>
      </c>
      <c r="E969">
        <v>151.25</v>
      </c>
      <c r="F969" s="2">
        <v>4225.1700000000019</v>
      </c>
      <c r="G969" s="2">
        <v>4225.1700000000019</v>
      </c>
    </row>
    <row r="970" spans="1:7" hidden="1" x14ac:dyDescent="0.3">
      <c r="A970" t="s">
        <v>381</v>
      </c>
      <c r="B970" t="s">
        <v>382</v>
      </c>
      <c r="C970" t="s">
        <v>7</v>
      </c>
      <c r="D970" s="1">
        <v>45838</v>
      </c>
      <c r="E970">
        <v>129</v>
      </c>
      <c r="F970" s="2">
        <v>4327.9799999999977</v>
      </c>
      <c r="G970" s="2">
        <v>4000.4400000000005</v>
      </c>
    </row>
    <row r="971" spans="1:7" hidden="1" x14ac:dyDescent="0.3">
      <c r="A971" t="s">
        <v>383</v>
      </c>
      <c r="B971" t="s">
        <v>340</v>
      </c>
      <c r="C971" t="s">
        <v>8</v>
      </c>
      <c r="D971" s="1">
        <v>45747</v>
      </c>
      <c r="E971">
        <v>122</v>
      </c>
      <c r="F971" s="2">
        <v>1633.9</v>
      </c>
      <c r="G971" s="2">
        <v>1633.9</v>
      </c>
    </row>
    <row r="972" spans="1:7" hidden="1" x14ac:dyDescent="0.3">
      <c r="A972" t="s">
        <v>383</v>
      </c>
      <c r="B972" t="s">
        <v>340</v>
      </c>
      <c r="C972" t="s">
        <v>8</v>
      </c>
      <c r="D972" s="1">
        <v>45777</v>
      </c>
      <c r="E972">
        <v>141</v>
      </c>
      <c r="F972" s="2">
        <v>2017.0100000000002</v>
      </c>
      <c r="G972" s="2">
        <v>2017.0100000000002</v>
      </c>
    </row>
    <row r="973" spans="1:7" hidden="1" x14ac:dyDescent="0.3">
      <c r="A973" t="s">
        <v>383</v>
      </c>
      <c r="B973" t="s">
        <v>340</v>
      </c>
      <c r="C973" t="s">
        <v>8</v>
      </c>
      <c r="D973" s="1">
        <v>45808</v>
      </c>
      <c r="E973">
        <v>127</v>
      </c>
      <c r="F973" s="2">
        <v>1780.8099999999981</v>
      </c>
      <c r="G973" s="2">
        <v>1780.8099999999981</v>
      </c>
    </row>
    <row r="974" spans="1:7" hidden="1" x14ac:dyDescent="0.3">
      <c r="A974" t="s">
        <v>383</v>
      </c>
      <c r="B974" t="s">
        <v>340</v>
      </c>
      <c r="C974" t="s">
        <v>8</v>
      </c>
      <c r="D974" s="1">
        <v>45838</v>
      </c>
      <c r="E974">
        <v>135</v>
      </c>
      <c r="F974" s="2">
        <v>2040.7200000000012</v>
      </c>
      <c r="G974" s="2">
        <v>1810.5733333333328</v>
      </c>
    </row>
    <row r="975" spans="1:7" hidden="1" x14ac:dyDescent="0.3">
      <c r="A975" t="s">
        <v>384</v>
      </c>
      <c r="B975" t="s">
        <v>385</v>
      </c>
      <c r="C975" t="s">
        <v>2</v>
      </c>
      <c r="D975" s="1">
        <v>45747</v>
      </c>
      <c r="E975">
        <v>99</v>
      </c>
      <c r="F975" s="2">
        <v>1662.92</v>
      </c>
      <c r="G975" s="2">
        <v>1662.92</v>
      </c>
    </row>
    <row r="976" spans="1:7" hidden="1" x14ac:dyDescent="0.3">
      <c r="A976" t="s">
        <v>384</v>
      </c>
      <c r="B976" t="s">
        <v>385</v>
      </c>
      <c r="C976" t="s">
        <v>2</v>
      </c>
      <c r="D976" s="1">
        <v>45777</v>
      </c>
      <c r="E976">
        <v>151.5</v>
      </c>
      <c r="F976" s="2">
        <v>2484.4300000000003</v>
      </c>
      <c r="G976" s="2">
        <v>2484.4300000000003</v>
      </c>
    </row>
    <row r="977" spans="1:7" hidden="1" x14ac:dyDescent="0.3">
      <c r="A977" t="s">
        <v>384</v>
      </c>
      <c r="B977" t="s">
        <v>385</v>
      </c>
      <c r="C977" t="s">
        <v>2</v>
      </c>
      <c r="D977" s="1">
        <v>45808</v>
      </c>
      <c r="E977">
        <v>157</v>
      </c>
      <c r="F977" s="2">
        <v>2444.5200000000004</v>
      </c>
      <c r="G977" s="2">
        <v>2444.5200000000004</v>
      </c>
    </row>
    <row r="978" spans="1:7" hidden="1" x14ac:dyDescent="0.3">
      <c r="A978" t="s">
        <v>384</v>
      </c>
      <c r="B978" t="s">
        <v>385</v>
      </c>
      <c r="C978" t="s">
        <v>2</v>
      </c>
      <c r="D978" s="1">
        <v>45838</v>
      </c>
      <c r="E978">
        <v>142</v>
      </c>
      <c r="F978" s="2">
        <v>2212.0499999999993</v>
      </c>
      <c r="G978" s="2">
        <v>2444.5200000000004</v>
      </c>
    </row>
    <row r="979" spans="1:7" hidden="1" x14ac:dyDescent="0.3">
      <c r="A979" t="s">
        <v>386</v>
      </c>
      <c r="B979" t="s">
        <v>387</v>
      </c>
      <c r="C979" t="s">
        <v>2</v>
      </c>
      <c r="D979" s="1">
        <v>45747</v>
      </c>
      <c r="E979">
        <v>84</v>
      </c>
      <c r="F979" s="2">
        <v>1101.54</v>
      </c>
      <c r="G979" s="2">
        <v>1101.54</v>
      </c>
    </row>
    <row r="980" spans="1:7" hidden="1" x14ac:dyDescent="0.3">
      <c r="A980" t="s">
        <v>386</v>
      </c>
      <c r="B980" t="s">
        <v>387</v>
      </c>
      <c r="C980" t="s">
        <v>2</v>
      </c>
      <c r="D980" s="1">
        <v>45777</v>
      </c>
      <c r="E980">
        <v>140.5</v>
      </c>
      <c r="F980" s="2">
        <v>2388.41</v>
      </c>
      <c r="G980" s="2">
        <v>2388.41</v>
      </c>
    </row>
    <row r="981" spans="1:7" hidden="1" x14ac:dyDescent="0.3">
      <c r="A981" t="s">
        <v>386</v>
      </c>
      <c r="B981" t="s">
        <v>387</v>
      </c>
      <c r="C981" t="s">
        <v>2</v>
      </c>
      <c r="D981" s="1">
        <v>45808</v>
      </c>
      <c r="E981">
        <v>153</v>
      </c>
      <c r="F981" s="2">
        <v>2390.2200000000003</v>
      </c>
      <c r="G981" s="2">
        <v>2390.2200000000003</v>
      </c>
    </row>
    <row r="982" spans="1:7" hidden="1" x14ac:dyDescent="0.3">
      <c r="A982" t="s">
        <v>386</v>
      </c>
      <c r="B982" t="s">
        <v>387</v>
      </c>
      <c r="C982" t="s">
        <v>2</v>
      </c>
      <c r="D982" s="1">
        <v>45838</v>
      </c>
      <c r="E982">
        <v>152</v>
      </c>
      <c r="F982" s="2">
        <v>2226.0099999999993</v>
      </c>
      <c r="G982" s="2">
        <v>2390.2200000000003</v>
      </c>
    </row>
    <row r="983" spans="1:7" hidden="1" x14ac:dyDescent="0.3">
      <c r="A983" t="s">
        <v>388</v>
      </c>
      <c r="B983" t="s">
        <v>389</v>
      </c>
      <c r="C983" t="s">
        <v>2</v>
      </c>
      <c r="D983" s="1">
        <v>45747</v>
      </c>
      <c r="E983">
        <v>42</v>
      </c>
      <c r="F983" s="2">
        <v>386.23</v>
      </c>
      <c r="G983" s="2">
        <v>386.23</v>
      </c>
    </row>
    <row r="984" spans="1:7" hidden="1" x14ac:dyDescent="0.3">
      <c r="A984" t="s">
        <v>388</v>
      </c>
      <c r="B984" t="s">
        <v>389</v>
      </c>
      <c r="C984" t="s">
        <v>2</v>
      </c>
      <c r="D984" s="1">
        <v>45777</v>
      </c>
      <c r="E984">
        <v>75.5</v>
      </c>
      <c r="F984" s="2">
        <v>1674.0700000000002</v>
      </c>
      <c r="G984" s="2">
        <v>1674.0700000000002</v>
      </c>
    </row>
    <row r="985" spans="1:7" hidden="1" x14ac:dyDescent="0.3">
      <c r="A985" t="s">
        <v>388</v>
      </c>
      <c r="B985" t="s">
        <v>389</v>
      </c>
      <c r="C985" t="s">
        <v>2</v>
      </c>
      <c r="D985" s="1">
        <v>45808</v>
      </c>
      <c r="E985">
        <v>138.5</v>
      </c>
      <c r="F985" s="2">
        <v>1743.9900000000002</v>
      </c>
      <c r="G985" s="2">
        <v>1743.9900000000002</v>
      </c>
    </row>
    <row r="986" spans="1:7" hidden="1" x14ac:dyDescent="0.3">
      <c r="A986" t="s">
        <v>388</v>
      </c>
      <c r="B986" t="s">
        <v>389</v>
      </c>
      <c r="C986" t="s">
        <v>2</v>
      </c>
      <c r="D986" s="1">
        <v>45838</v>
      </c>
      <c r="E986">
        <v>140.5</v>
      </c>
      <c r="F986" s="2">
        <v>1636.8700000000003</v>
      </c>
      <c r="G986" s="2">
        <v>1743.9900000000002</v>
      </c>
    </row>
    <row r="987" spans="1:7" hidden="1" x14ac:dyDescent="0.3">
      <c r="A987" t="s">
        <v>390</v>
      </c>
      <c r="B987" t="s">
        <v>391</v>
      </c>
      <c r="C987" t="s">
        <v>3</v>
      </c>
      <c r="D987" s="1">
        <v>45747</v>
      </c>
      <c r="E987">
        <v>31.5</v>
      </c>
      <c r="F987" s="2">
        <v>256.95000000000005</v>
      </c>
      <c r="G987" s="2">
        <v>256.95000000000005</v>
      </c>
    </row>
    <row r="988" spans="1:7" hidden="1" x14ac:dyDescent="0.3">
      <c r="A988" t="s">
        <v>390</v>
      </c>
      <c r="B988" t="s">
        <v>391</v>
      </c>
      <c r="C988" t="s">
        <v>3</v>
      </c>
      <c r="D988" s="1">
        <v>45777</v>
      </c>
      <c r="E988">
        <v>116.25</v>
      </c>
      <c r="F988" s="2">
        <v>1625.43</v>
      </c>
      <c r="G988" s="2">
        <v>1625.43</v>
      </c>
    </row>
    <row r="989" spans="1:7" hidden="1" x14ac:dyDescent="0.3">
      <c r="A989" t="s">
        <v>390</v>
      </c>
      <c r="B989" t="s">
        <v>391</v>
      </c>
      <c r="C989" t="s">
        <v>3</v>
      </c>
      <c r="D989" s="1">
        <v>45808</v>
      </c>
      <c r="E989">
        <v>144.5</v>
      </c>
      <c r="F989" s="2">
        <v>1724.56</v>
      </c>
      <c r="G989" s="2">
        <v>1724.56</v>
      </c>
    </row>
    <row r="990" spans="1:7" hidden="1" x14ac:dyDescent="0.3">
      <c r="A990" t="s">
        <v>390</v>
      </c>
      <c r="B990" t="s">
        <v>391</v>
      </c>
      <c r="C990" t="s">
        <v>3</v>
      </c>
      <c r="D990" s="1">
        <v>45838</v>
      </c>
      <c r="E990">
        <v>129.5</v>
      </c>
      <c r="F990" s="2">
        <v>1559.23</v>
      </c>
      <c r="G990" s="2">
        <v>1724.56</v>
      </c>
    </row>
    <row r="991" spans="1:7" hidden="1" x14ac:dyDescent="0.3">
      <c r="A991" t="s">
        <v>392</v>
      </c>
      <c r="B991" t="s">
        <v>393</v>
      </c>
      <c r="C991" t="s">
        <v>2</v>
      </c>
      <c r="D991" s="1">
        <v>45747</v>
      </c>
      <c r="E991">
        <v>25.5</v>
      </c>
      <c r="F991" s="2">
        <v>210.20999999999998</v>
      </c>
      <c r="G991" s="2">
        <v>210.20999999999998</v>
      </c>
    </row>
    <row r="992" spans="1:7" hidden="1" x14ac:dyDescent="0.3">
      <c r="A992" t="s">
        <v>392</v>
      </c>
      <c r="B992" t="s">
        <v>393</v>
      </c>
      <c r="C992" t="s">
        <v>2</v>
      </c>
      <c r="D992" s="1">
        <v>45777</v>
      </c>
      <c r="E992">
        <v>84</v>
      </c>
      <c r="F992" s="2">
        <v>993.75</v>
      </c>
      <c r="G992" s="2">
        <v>993.75</v>
      </c>
    </row>
    <row r="993" spans="1:7" hidden="1" x14ac:dyDescent="0.3">
      <c r="A993" t="s">
        <v>392</v>
      </c>
      <c r="B993" t="s">
        <v>393</v>
      </c>
      <c r="C993" t="s">
        <v>2</v>
      </c>
      <c r="D993" s="1">
        <v>45808</v>
      </c>
      <c r="E993">
        <v>78</v>
      </c>
      <c r="F993" s="2">
        <v>907.00999999999976</v>
      </c>
      <c r="G993" s="2">
        <v>907.00999999999976</v>
      </c>
    </row>
    <row r="994" spans="1:7" hidden="1" x14ac:dyDescent="0.3">
      <c r="A994" t="s">
        <v>392</v>
      </c>
      <c r="B994" t="s">
        <v>393</v>
      </c>
      <c r="C994" t="s">
        <v>2</v>
      </c>
      <c r="D994" s="1">
        <v>45838</v>
      </c>
      <c r="E994">
        <v>78</v>
      </c>
      <c r="F994" s="2">
        <v>908.08000000000038</v>
      </c>
      <c r="G994" s="2">
        <v>907.00999999999976</v>
      </c>
    </row>
    <row r="995" spans="1:7" hidden="1" x14ac:dyDescent="0.3">
      <c r="A995" t="s">
        <v>394</v>
      </c>
      <c r="B995" t="s">
        <v>395</v>
      </c>
      <c r="C995" t="s">
        <v>2</v>
      </c>
      <c r="D995" s="1">
        <v>45747</v>
      </c>
      <c r="E995">
        <v>26</v>
      </c>
      <c r="F995" s="2">
        <v>214.33</v>
      </c>
      <c r="G995" s="2">
        <v>214.33</v>
      </c>
    </row>
    <row r="996" spans="1:7" hidden="1" x14ac:dyDescent="0.3">
      <c r="A996" t="s">
        <v>394</v>
      </c>
      <c r="B996" t="s">
        <v>395</v>
      </c>
      <c r="C996" t="s">
        <v>2</v>
      </c>
      <c r="D996" s="1">
        <v>45777</v>
      </c>
      <c r="E996">
        <v>125.75</v>
      </c>
      <c r="F996" s="2">
        <v>1576.48</v>
      </c>
      <c r="G996" s="2">
        <v>1576.48</v>
      </c>
    </row>
    <row r="997" spans="1:7" hidden="1" x14ac:dyDescent="0.3">
      <c r="A997" t="s">
        <v>394</v>
      </c>
      <c r="B997" t="s">
        <v>395</v>
      </c>
      <c r="C997" t="s">
        <v>2</v>
      </c>
      <c r="D997" s="1">
        <v>45808</v>
      </c>
      <c r="E997">
        <v>152</v>
      </c>
      <c r="F997" s="2">
        <v>1731.67</v>
      </c>
      <c r="G997" s="2">
        <v>1731.67</v>
      </c>
    </row>
    <row r="998" spans="1:7" hidden="1" x14ac:dyDescent="0.3">
      <c r="A998" t="s">
        <v>394</v>
      </c>
      <c r="B998" t="s">
        <v>395</v>
      </c>
      <c r="C998" t="s">
        <v>2</v>
      </c>
      <c r="D998" s="1">
        <v>45838</v>
      </c>
      <c r="E998">
        <v>150.5</v>
      </c>
      <c r="F998" s="2">
        <v>1723.3300000000004</v>
      </c>
      <c r="G998" s="2">
        <v>1731.67</v>
      </c>
    </row>
    <row r="999" spans="1:7" hidden="1" x14ac:dyDescent="0.3">
      <c r="A999" t="s">
        <v>396</v>
      </c>
      <c r="B999" t="s">
        <v>360</v>
      </c>
      <c r="C999" t="s">
        <v>3</v>
      </c>
      <c r="D999" s="1">
        <v>45747</v>
      </c>
      <c r="E999">
        <v>30</v>
      </c>
      <c r="F999" s="2">
        <v>244.72</v>
      </c>
      <c r="G999" s="2">
        <v>244.72</v>
      </c>
    </row>
    <row r="1000" spans="1:7" hidden="1" x14ac:dyDescent="0.3">
      <c r="A1000" t="s">
        <v>396</v>
      </c>
      <c r="B1000" t="s">
        <v>360</v>
      </c>
      <c r="C1000" t="s">
        <v>3</v>
      </c>
      <c r="D1000" s="1">
        <v>45777</v>
      </c>
      <c r="E1000">
        <v>86.25</v>
      </c>
      <c r="F1000" s="2">
        <v>1259.94</v>
      </c>
      <c r="G1000" s="2">
        <v>1259.94</v>
      </c>
    </row>
    <row r="1001" spans="1:7" hidden="1" x14ac:dyDescent="0.3">
      <c r="A1001" t="s">
        <v>396</v>
      </c>
      <c r="B1001" t="s">
        <v>360</v>
      </c>
      <c r="C1001" t="s">
        <v>3</v>
      </c>
      <c r="D1001" s="1">
        <v>45808</v>
      </c>
      <c r="E1001">
        <v>114</v>
      </c>
      <c r="F1001" s="2">
        <v>1306.8500000000001</v>
      </c>
      <c r="G1001" s="2">
        <v>1306.8500000000001</v>
      </c>
    </row>
    <row r="1002" spans="1:7" hidden="1" x14ac:dyDescent="0.3">
      <c r="A1002" t="s">
        <v>396</v>
      </c>
      <c r="B1002" t="s">
        <v>360</v>
      </c>
      <c r="C1002" t="s">
        <v>3</v>
      </c>
      <c r="D1002" s="1">
        <v>45838</v>
      </c>
      <c r="E1002">
        <v>114</v>
      </c>
      <c r="F1002" s="2">
        <v>1352.1800000000003</v>
      </c>
      <c r="G1002" s="2">
        <v>1306.8500000000001</v>
      </c>
    </row>
    <row r="1003" spans="1:7" x14ac:dyDescent="0.3">
      <c r="A1003" t="s">
        <v>397</v>
      </c>
      <c r="B1003" t="s">
        <v>398</v>
      </c>
      <c r="C1003" t="s">
        <v>12</v>
      </c>
      <c r="D1003" s="1">
        <v>45747</v>
      </c>
      <c r="E1003">
        <v>0</v>
      </c>
      <c r="F1003" s="2">
        <v>106.82</v>
      </c>
      <c r="G1003" s="2">
        <v>106.82</v>
      </c>
    </row>
    <row r="1004" spans="1:7" x14ac:dyDescent="0.3">
      <c r="A1004" t="s">
        <v>397</v>
      </c>
      <c r="B1004" t="s">
        <v>398</v>
      </c>
      <c r="C1004" t="s">
        <v>12</v>
      </c>
      <c r="D1004" s="1">
        <v>45777</v>
      </c>
      <c r="E1004">
        <v>0</v>
      </c>
      <c r="F1004" s="2">
        <v>456.46999999999997</v>
      </c>
      <c r="G1004" s="2">
        <v>456.46999999999997</v>
      </c>
    </row>
    <row r="1005" spans="1:7" x14ac:dyDescent="0.3">
      <c r="A1005" t="s">
        <v>397</v>
      </c>
      <c r="B1005" t="s">
        <v>398</v>
      </c>
      <c r="C1005" t="s">
        <v>12</v>
      </c>
      <c r="D1005" s="1">
        <v>45808</v>
      </c>
      <c r="E1005">
        <v>0</v>
      </c>
      <c r="F1005" s="2">
        <v>456.47</v>
      </c>
      <c r="G1005" s="2">
        <v>456.47</v>
      </c>
    </row>
    <row r="1006" spans="1:7" x14ac:dyDescent="0.3">
      <c r="A1006" t="s">
        <v>397</v>
      </c>
      <c r="B1006" t="s">
        <v>398</v>
      </c>
      <c r="C1006" t="s">
        <v>12</v>
      </c>
      <c r="D1006" s="1">
        <v>45838</v>
      </c>
      <c r="E1006">
        <v>0</v>
      </c>
      <c r="F1006" s="2">
        <v>456.47</v>
      </c>
      <c r="G1006" s="2">
        <v>500</v>
      </c>
    </row>
    <row r="1007" spans="1:7" x14ac:dyDescent="0.3">
      <c r="A1007" t="s">
        <v>399</v>
      </c>
      <c r="B1007" t="s">
        <v>400</v>
      </c>
      <c r="C1007" t="s">
        <v>12</v>
      </c>
      <c r="D1007" s="1">
        <v>45777</v>
      </c>
      <c r="E1007">
        <v>114.5</v>
      </c>
      <c r="F1007" s="2">
        <v>2357.5099999999998</v>
      </c>
      <c r="G1007" s="2">
        <v>2357.5099999999998</v>
      </c>
    </row>
    <row r="1008" spans="1:7" x14ac:dyDescent="0.3">
      <c r="A1008" t="s">
        <v>399</v>
      </c>
      <c r="B1008" t="s">
        <v>400</v>
      </c>
      <c r="C1008" t="s">
        <v>12</v>
      </c>
      <c r="D1008" s="1">
        <v>45808</v>
      </c>
      <c r="E1008">
        <v>138</v>
      </c>
      <c r="F1008" s="2">
        <v>4573.630000000001</v>
      </c>
      <c r="G1008" s="2">
        <v>4573.630000000001</v>
      </c>
    </row>
    <row r="1009" spans="1:7" x14ac:dyDescent="0.3">
      <c r="A1009" t="s">
        <v>399</v>
      </c>
      <c r="B1009" t="s">
        <v>400</v>
      </c>
      <c r="C1009" t="s">
        <v>12</v>
      </c>
      <c r="D1009" s="1">
        <v>45838</v>
      </c>
      <c r="E1009">
        <v>151.75</v>
      </c>
      <c r="F1009" s="2">
        <v>2809.9399999999987</v>
      </c>
      <c r="G1009" s="2">
        <v>3228.9999999999995</v>
      </c>
    </row>
    <row r="1010" spans="1:7" hidden="1" x14ac:dyDescent="0.3">
      <c r="A1010" t="s">
        <v>401</v>
      </c>
      <c r="B1010" t="s">
        <v>345</v>
      </c>
      <c r="C1010" t="s">
        <v>5</v>
      </c>
      <c r="D1010" s="1">
        <v>45777</v>
      </c>
      <c r="E1010">
        <v>69.5</v>
      </c>
      <c r="F1010" s="2">
        <v>1029.93</v>
      </c>
      <c r="G1010" s="2">
        <v>1029.93</v>
      </c>
    </row>
    <row r="1011" spans="1:7" hidden="1" x14ac:dyDescent="0.3">
      <c r="A1011" t="s">
        <v>401</v>
      </c>
      <c r="B1011" t="s">
        <v>345</v>
      </c>
      <c r="C1011" t="s">
        <v>5</v>
      </c>
      <c r="D1011" s="1">
        <v>45838</v>
      </c>
      <c r="E1011">
        <v>0</v>
      </c>
      <c r="F1011" s="2">
        <v>0.49000000000000909</v>
      </c>
      <c r="G1011" s="2">
        <v>0</v>
      </c>
    </row>
    <row r="1012" spans="1:7" hidden="1" x14ac:dyDescent="0.3">
      <c r="A1012" t="s">
        <v>402</v>
      </c>
      <c r="B1012" t="s">
        <v>347</v>
      </c>
      <c r="C1012" t="s">
        <v>5</v>
      </c>
      <c r="D1012" s="1">
        <v>45777</v>
      </c>
      <c r="E1012">
        <v>131.5</v>
      </c>
      <c r="F1012" s="2">
        <v>1580.22</v>
      </c>
      <c r="G1012" s="2">
        <v>1580.22</v>
      </c>
    </row>
    <row r="1013" spans="1:7" hidden="1" x14ac:dyDescent="0.3">
      <c r="A1013" t="s">
        <v>402</v>
      </c>
      <c r="B1013" t="s">
        <v>347</v>
      </c>
      <c r="C1013" t="s">
        <v>5</v>
      </c>
      <c r="D1013" s="1">
        <v>45808</v>
      </c>
      <c r="E1013">
        <v>137</v>
      </c>
      <c r="F1013" s="2">
        <v>1567.7900000000002</v>
      </c>
      <c r="G1013" s="2">
        <v>1567.7900000000002</v>
      </c>
    </row>
    <row r="1014" spans="1:7" hidden="1" x14ac:dyDescent="0.3">
      <c r="A1014" t="s">
        <v>402</v>
      </c>
      <c r="B1014" t="s">
        <v>347</v>
      </c>
      <c r="C1014" t="s">
        <v>5</v>
      </c>
      <c r="D1014" s="1">
        <v>45838</v>
      </c>
      <c r="E1014">
        <v>130.25</v>
      </c>
      <c r="F1014" s="2">
        <v>1567.54</v>
      </c>
      <c r="G1014" s="2">
        <v>1567.7900000000002</v>
      </c>
    </row>
    <row r="1015" spans="1:7" hidden="1" x14ac:dyDescent="0.3">
      <c r="A1015" t="s">
        <v>403</v>
      </c>
      <c r="B1015" t="s">
        <v>404</v>
      </c>
      <c r="C1015" t="s">
        <v>3</v>
      </c>
      <c r="D1015" s="1">
        <v>45777</v>
      </c>
      <c r="E1015">
        <v>0</v>
      </c>
      <c r="F1015" s="2">
        <v>15.44</v>
      </c>
      <c r="G1015" s="2">
        <v>15.44</v>
      </c>
    </row>
    <row r="1016" spans="1:7" hidden="1" x14ac:dyDescent="0.3">
      <c r="A1016" t="s">
        <v>403</v>
      </c>
      <c r="B1016" t="s">
        <v>404</v>
      </c>
      <c r="C1016" t="s">
        <v>3</v>
      </c>
      <c r="D1016" s="1">
        <v>45808</v>
      </c>
      <c r="E1016">
        <v>0</v>
      </c>
      <c r="F1016" s="2">
        <v>16.079999999999998</v>
      </c>
      <c r="G1016" s="2">
        <v>0</v>
      </c>
    </row>
    <row r="1017" spans="1:7" hidden="1" x14ac:dyDescent="0.3">
      <c r="A1017" t="s">
        <v>403</v>
      </c>
      <c r="B1017" t="s">
        <v>404</v>
      </c>
      <c r="C1017" t="s">
        <v>3</v>
      </c>
      <c r="D1017" s="1">
        <v>45838</v>
      </c>
      <c r="E1017">
        <v>0</v>
      </c>
      <c r="F1017" s="2">
        <v>16.080000000000005</v>
      </c>
      <c r="G1017" s="2">
        <v>0</v>
      </c>
    </row>
    <row r="1018" spans="1:7" hidden="1" x14ac:dyDescent="0.3">
      <c r="A1018" t="s">
        <v>405</v>
      </c>
      <c r="B1018" t="s">
        <v>406</v>
      </c>
      <c r="C1018" t="s">
        <v>5</v>
      </c>
      <c r="D1018" s="1">
        <v>45777</v>
      </c>
      <c r="E1018">
        <v>0</v>
      </c>
      <c r="F1018" s="2">
        <v>1012.87</v>
      </c>
      <c r="G1018" s="2">
        <v>1012.87</v>
      </c>
    </row>
    <row r="1019" spans="1:7" hidden="1" x14ac:dyDescent="0.3">
      <c r="A1019" t="s">
        <v>405</v>
      </c>
      <c r="B1019" t="s">
        <v>406</v>
      </c>
      <c r="C1019" t="s">
        <v>5</v>
      </c>
      <c r="D1019" s="1">
        <v>45808</v>
      </c>
      <c r="E1019">
        <v>0</v>
      </c>
      <c r="F1019" s="2">
        <v>516.08000000000004</v>
      </c>
      <c r="G1019" s="2">
        <v>516.08000000000004</v>
      </c>
    </row>
    <row r="1020" spans="1:7" hidden="1" x14ac:dyDescent="0.3">
      <c r="A1020" t="s">
        <v>405</v>
      </c>
      <c r="B1020" t="s">
        <v>406</v>
      </c>
      <c r="C1020" t="s">
        <v>5</v>
      </c>
      <c r="D1020" s="1">
        <v>45838</v>
      </c>
      <c r="E1020">
        <v>0</v>
      </c>
      <c r="F1020" s="2">
        <v>516.07999999999993</v>
      </c>
      <c r="G1020" s="2">
        <v>500</v>
      </c>
    </row>
    <row r="1021" spans="1:7" hidden="1" x14ac:dyDescent="0.3">
      <c r="A1021" t="s">
        <v>407</v>
      </c>
      <c r="B1021" t="s">
        <v>408</v>
      </c>
      <c r="C1021" t="s">
        <v>5</v>
      </c>
      <c r="D1021" s="1">
        <v>45777</v>
      </c>
      <c r="E1021">
        <v>0</v>
      </c>
      <c r="F1021" s="2">
        <v>124.5</v>
      </c>
      <c r="G1021" s="2">
        <v>124.5</v>
      </c>
    </row>
    <row r="1022" spans="1:7" hidden="1" x14ac:dyDescent="0.3">
      <c r="A1022" t="s">
        <v>407</v>
      </c>
      <c r="B1022" t="s">
        <v>408</v>
      </c>
      <c r="C1022" t="s">
        <v>5</v>
      </c>
      <c r="D1022" s="1">
        <v>45808</v>
      </c>
      <c r="E1022">
        <v>0</v>
      </c>
      <c r="F1022" s="2">
        <v>466.08000000000004</v>
      </c>
      <c r="G1022" s="2">
        <v>466.08000000000004</v>
      </c>
    </row>
    <row r="1023" spans="1:7" hidden="1" x14ac:dyDescent="0.3">
      <c r="A1023" t="s">
        <v>407</v>
      </c>
      <c r="B1023" t="s">
        <v>408</v>
      </c>
      <c r="C1023" t="s">
        <v>5</v>
      </c>
      <c r="D1023" s="1">
        <v>45838</v>
      </c>
      <c r="E1023">
        <v>0</v>
      </c>
      <c r="F1023" s="2">
        <v>466.08000000000004</v>
      </c>
      <c r="G1023" s="2">
        <v>500</v>
      </c>
    </row>
    <row r="1024" spans="1:7" hidden="1" x14ac:dyDescent="0.3">
      <c r="A1024" t="s">
        <v>409</v>
      </c>
      <c r="B1024" t="s">
        <v>410</v>
      </c>
      <c r="C1024" t="s">
        <v>5</v>
      </c>
      <c r="D1024" s="1">
        <v>45777</v>
      </c>
      <c r="E1024">
        <v>0</v>
      </c>
      <c r="F1024" s="2">
        <v>124.5</v>
      </c>
      <c r="G1024" s="2">
        <v>124.5</v>
      </c>
    </row>
    <row r="1025" spans="1:7" hidden="1" x14ac:dyDescent="0.3">
      <c r="A1025" t="s">
        <v>409</v>
      </c>
      <c r="B1025" t="s">
        <v>410</v>
      </c>
      <c r="C1025" t="s">
        <v>5</v>
      </c>
      <c r="D1025" s="1">
        <v>45808</v>
      </c>
      <c r="E1025">
        <v>0</v>
      </c>
      <c r="F1025" s="2">
        <v>466.08000000000004</v>
      </c>
      <c r="G1025" s="2">
        <v>466.08000000000004</v>
      </c>
    </row>
    <row r="1026" spans="1:7" hidden="1" x14ac:dyDescent="0.3">
      <c r="A1026" t="s">
        <v>409</v>
      </c>
      <c r="B1026" t="s">
        <v>410</v>
      </c>
      <c r="C1026" t="s">
        <v>5</v>
      </c>
      <c r="D1026" s="1">
        <v>45838</v>
      </c>
      <c r="E1026">
        <v>0</v>
      </c>
      <c r="F1026" s="2">
        <v>466.08000000000004</v>
      </c>
      <c r="G1026" s="2">
        <v>500</v>
      </c>
    </row>
    <row r="1027" spans="1:7" hidden="1" x14ac:dyDescent="0.3">
      <c r="A1027" t="s">
        <v>411</v>
      </c>
      <c r="B1027" t="s">
        <v>412</v>
      </c>
      <c r="C1027" t="s">
        <v>5</v>
      </c>
      <c r="D1027" s="1">
        <v>45777</v>
      </c>
      <c r="E1027">
        <v>0</v>
      </c>
      <c r="F1027" s="2">
        <v>687.87</v>
      </c>
      <c r="G1027" s="2">
        <v>687.87</v>
      </c>
    </row>
    <row r="1028" spans="1:7" hidden="1" x14ac:dyDescent="0.3">
      <c r="A1028" t="s">
        <v>411</v>
      </c>
      <c r="B1028" t="s">
        <v>412</v>
      </c>
      <c r="C1028" t="s">
        <v>5</v>
      </c>
      <c r="D1028" s="1">
        <v>45808</v>
      </c>
      <c r="E1028">
        <v>0</v>
      </c>
      <c r="F1028" s="2">
        <v>466.08000000000004</v>
      </c>
      <c r="G1028" s="2">
        <v>466.08000000000004</v>
      </c>
    </row>
    <row r="1029" spans="1:7" hidden="1" x14ac:dyDescent="0.3">
      <c r="A1029" t="s">
        <v>411</v>
      </c>
      <c r="B1029" t="s">
        <v>412</v>
      </c>
      <c r="C1029" t="s">
        <v>5</v>
      </c>
      <c r="D1029" s="1">
        <v>45838</v>
      </c>
      <c r="E1029">
        <v>0</v>
      </c>
      <c r="F1029" s="2">
        <v>466.07999999999993</v>
      </c>
      <c r="G1029" s="2">
        <v>500</v>
      </c>
    </row>
    <row r="1030" spans="1:7" hidden="1" x14ac:dyDescent="0.3">
      <c r="A1030" t="s">
        <v>413</v>
      </c>
      <c r="B1030" t="s">
        <v>414</v>
      </c>
      <c r="C1030" t="s">
        <v>5</v>
      </c>
      <c r="D1030" s="1">
        <v>45777</v>
      </c>
      <c r="E1030">
        <v>0</v>
      </c>
      <c r="F1030" s="2">
        <v>373.5</v>
      </c>
      <c r="G1030" s="2">
        <v>373.5</v>
      </c>
    </row>
    <row r="1031" spans="1:7" hidden="1" x14ac:dyDescent="0.3">
      <c r="A1031" t="s">
        <v>413</v>
      </c>
      <c r="B1031" t="s">
        <v>414</v>
      </c>
      <c r="C1031" t="s">
        <v>5</v>
      </c>
      <c r="D1031" s="1">
        <v>45808</v>
      </c>
      <c r="E1031">
        <v>0</v>
      </c>
      <c r="F1031" s="2">
        <v>466.08000000000004</v>
      </c>
      <c r="G1031" s="2">
        <v>466.08000000000004</v>
      </c>
    </row>
    <row r="1032" spans="1:7" hidden="1" x14ac:dyDescent="0.3">
      <c r="A1032" t="s">
        <v>413</v>
      </c>
      <c r="B1032" t="s">
        <v>414</v>
      </c>
      <c r="C1032" t="s">
        <v>5</v>
      </c>
      <c r="D1032" s="1">
        <v>45838</v>
      </c>
      <c r="E1032">
        <v>0</v>
      </c>
      <c r="F1032" s="2">
        <v>466.08000000000004</v>
      </c>
      <c r="G1032" s="2">
        <v>500</v>
      </c>
    </row>
    <row r="1033" spans="1:7" hidden="1" x14ac:dyDescent="0.3">
      <c r="A1033" t="s">
        <v>415</v>
      </c>
      <c r="B1033" t="s">
        <v>416</v>
      </c>
      <c r="C1033" t="s">
        <v>5</v>
      </c>
      <c r="D1033" s="1">
        <v>45777</v>
      </c>
      <c r="E1033">
        <v>0</v>
      </c>
      <c r="F1033" s="2">
        <v>327.22000000000003</v>
      </c>
      <c r="G1033" s="2">
        <v>327.22000000000003</v>
      </c>
    </row>
    <row r="1034" spans="1:7" hidden="1" x14ac:dyDescent="0.3">
      <c r="A1034" t="s">
        <v>415</v>
      </c>
      <c r="B1034" t="s">
        <v>416</v>
      </c>
      <c r="C1034" t="s">
        <v>5</v>
      </c>
      <c r="D1034" s="1">
        <v>45808</v>
      </c>
      <c r="E1034">
        <v>0</v>
      </c>
      <c r="F1034" s="2">
        <v>466.07999999999993</v>
      </c>
      <c r="G1034" s="2">
        <v>466.07999999999993</v>
      </c>
    </row>
    <row r="1035" spans="1:7" hidden="1" x14ac:dyDescent="0.3">
      <c r="A1035" t="s">
        <v>415</v>
      </c>
      <c r="B1035" t="s">
        <v>416</v>
      </c>
      <c r="C1035" t="s">
        <v>5</v>
      </c>
      <c r="D1035" s="1">
        <v>45838</v>
      </c>
      <c r="E1035">
        <v>0</v>
      </c>
      <c r="F1035" s="2">
        <v>466.08000000000015</v>
      </c>
      <c r="G1035" s="2">
        <v>500</v>
      </c>
    </row>
    <row r="1036" spans="1:7" hidden="1" x14ac:dyDescent="0.3">
      <c r="A1036" t="s">
        <v>31</v>
      </c>
      <c r="B1036" t="s">
        <v>32</v>
      </c>
      <c r="C1036" t="s">
        <v>7</v>
      </c>
      <c r="D1036" s="1">
        <v>45808</v>
      </c>
      <c r="E1036">
        <v>161.75</v>
      </c>
      <c r="F1036" s="2">
        <v>6880.3</v>
      </c>
      <c r="G1036" s="2">
        <v>628.33000000000084</v>
      </c>
    </row>
    <row r="1037" spans="1:7" hidden="1" x14ac:dyDescent="0.3">
      <c r="A1037" t="s">
        <v>31</v>
      </c>
      <c r="B1037" t="s">
        <v>32</v>
      </c>
      <c r="C1037" t="s">
        <v>7</v>
      </c>
      <c r="D1037" s="1">
        <v>45838</v>
      </c>
      <c r="E1037">
        <v>0</v>
      </c>
      <c r="F1037" s="2">
        <v>434.8199999999988</v>
      </c>
      <c r="G1037" s="2">
        <v>0</v>
      </c>
    </row>
    <row r="1038" spans="1:7" x14ac:dyDescent="0.3">
      <c r="A1038" t="s">
        <v>55</v>
      </c>
      <c r="B1038" t="s">
        <v>56</v>
      </c>
      <c r="C1038" t="s">
        <v>12</v>
      </c>
      <c r="D1038" s="1">
        <v>45808</v>
      </c>
      <c r="E1038">
        <v>660.75</v>
      </c>
      <c r="F1038" s="2">
        <v>17426.440000000002</v>
      </c>
      <c r="G1038" s="2">
        <v>3324.3299999999981</v>
      </c>
    </row>
    <row r="1039" spans="1:7" x14ac:dyDescent="0.3">
      <c r="A1039" t="s">
        <v>55</v>
      </c>
      <c r="B1039" t="s">
        <v>56</v>
      </c>
      <c r="C1039" t="s">
        <v>12</v>
      </c>
      <c r="D1039" s="1">
        <v>45838</v>
      </c>
      <c r="E1039">
        <v>99.75</v>
      </c>
      <c r="F1039" s="2">
        <v>2839.6799999999894</v>
      </c>
      <c r="G1039" s="2">
        <v>3485.2880000000005</v>
      </c>
    </row>
    <row r="1040" spans="1:7" hidden="1" x14ac:dyDescent="0.3">
      <c r="A1040" t="s">
        <v>103</v>
      </c>
      <c r="B1040" t="s">
        <v>104</v>
      </c>
      <c r="C1040" t="s">
        <v>3</v>
      </c>
      <c r="D1040" s="1">
        <v>45808</v>
      </c>
      <c r="E1040">
        <v>341.75</v>
      </c>
      <c r="F1040" s="2">
        <v>4962.0200000000004</v>
      </c>
      <c r="G1040" s="2">
        <v>1081</v>
      </c>
    </row>
    <row r="1041" spans="1:7" hidden="1" x14ac:dyDescent="0.3">
      <c r="A1041" t="s">
        <v>103</v>
      </c>
      <c r="B1041" t="s">
        <v>104</v>
      </c>
      <c r="C1041" t="s">
        <v>3</v>
      </c>
      <c r="D1041" s="1">
        <v>45838</v>
      </c>
      <c r="E1041">
        <v>80</v>
      </c>
      <c r="F1041" s="2">
        <v>1108.8899999999994</v>
      </c>
      <c r="G1041" s="2">
        <v>1081</v>
      </c>
    </row>
    <row r="1042" spans="1:7" hidden="1" x14ac:dyDescent="0.3">
      <c r="A1042" t="s">
        <v>157</v>
      </c>
      <c r="B1042" t="s">
        <v>158</v>
      </c>
      <c r="C1042" t="s">
        <v>2</v>
      </c>
      <c r="D1042" s="1">
        <v>45808</v>
      </c>
      <c r="E1042">
        <v>613.5</v>
      </c>
      <c r="F1042" s="2">
        <v>10651.640000000001</v>
      </c>
      <c r="G1042" s="2">
        <v>2188.1200000000008</v>
      </c>
    </row>
    <row r="1043" spans="1:7" hidden="1" x14ac:dyDescent="0.3">
      <c r="A1043" t="s">
        <v>157</v>
      </c>
      <c r="B1043" t="s">
        <v>158</v>
      </c>
      <c r="C1043" t="s">
        <v>2</v>
      </c>
      <c r="D1043" s="1">
        <v>45838</v>
      </c>
      <c r="E1043">
        <v>114</v>
      </c>
      <c r="F1043" s="2">
        <v>2137.1399999999994</v>
      </c>
      <c r="G1043" s="2">
        <v>2188.1200000000008</v>
      </c>
    </row>
    <row r="1044" spans="1:7" hidden="1" x14ac:dyDescent="0.3">
      <c r="A1044" t="s">
        <v>193</v>
      </c>
      <c r="B1044" t="s">
        <v>194</v>
      </c>
      <c r="C1044" t="s">
        <v>2</v>
      </c>
      <c r="D1044" s="1">
        <v>45808</v>
      </c>
      <c r="E1044">
        <v>529.75</v>
      </c>
      <c r="F1044" s="2">
        <v>10440.85</v>
      </c>
      <c r="G1044" s="2">
        <v>0</v>
      </c>
    </row>
    <row r="1045" spans="1:7" hidden="1" x14ac:dyDescent="0.3">
      <c r="A1045" t="s">
        <v>193</v>
      </c>
      <c r="B1045" t="s">
        <v>194</v>
      </c>
      <c r="C1045" t="s">
        <v>2</v>
      </c>
      <c r="D1045" s="1">
        <v>45838</v>
      </c>
      <c r="E1045">
        <v>129</v>
      </c>
      <c r="F1045" s="2">
        <v>2271.9699999999975</v>
      </c>
      <c r="G1045" s="2">
        <v>0</v>
      </c>
    </row>
    <row r="1046" spans="1:7" x14ac:dyDescent="0.3">
      <c r="A1046" t="s">
        <v>227</v>
      </c>
      <c r="B1046" t="s">
        <v>228</v>
      </c>
      <c r="C1046" t="s">
        <v>12</v>
      </c>
      <c r="D1046" s="1">
        <v>45808</v>
      </c>
      <c r="E1046">
        <v>601.25</v>
      </c>
      <c r="F1046" s="2">
        <v>17894.71</v>
      </c>
      <c r="G1046" s="2">
        <v>3885.5399999999991</v>
      </c>
    </row>
    <row r="1047" spans="1:7" x14ac:dyDescent="0.3">
      <c r="A1047" t="s">
        <v>227</v>
      </c>
      <c r="B1047" t="s">
        <v>228</v>
      </c>
      <c r="C1047" t="s">
        <v>12</v>
      </c>
      <c r="D1047" s="1">
        <v>45838</v>
      </c>
      <c r="E1047">
        <v>91.5</v>
      </c>
      <c r="F1047" s="2">
        <v>3166.8899999999994</v>
      </c>
      <c r="G1047" s="2">
        <v>3578.942</v>
      </c>
    </row>
    <row r="1048" spans="1:7" hidden="1" x14ac:dyDescent="0.3">
      <c r="A1048" t="s">
        <v>417</v>
      </c>
      <c r="B1048" t="s">
        <v>232</v>
      </c>
      <c r="C1048" t="s">
        <v>2</v>
      </c>
      <c r="D1048" s="1">
        <v>45808</v>
      </c>
      <c r="E1048">
        <v>101.75</v>
      </c>
      <c r="F1048" s="2">
        <v>1644.61</v>
      </c>
      <c r="G1048" s="2">
        <v>1644.61</v>
      </c>
    </row>
    <row r="1049" spans="1:7" hidden="1" x14ac:dyDescent="0.3">
      <c r="A1049" t="s">
        <v>417</v>
      </c>
      <c r="B1049" t="s">
        <v>232</v>
      </c>
      <c r="C1049" t="s">
        <v>2</v>
      </c>
      <c r="D1049" s="1">
        <v>45838</v>
      </c>
      <c r="E1049">
        <v>-101.75</v>
      </c>
      <c r="F1049" s="2">
        <v>-1644.61</v>
      </c>
      <c r="G1049" s="2">
        <v>1644.61</v>
      </c>
    </row>
    <row r="1050" spans="1:7" hidden="1" x14ac:dyDescent="0.3">
      <c r="A1050" t="s">
        <v>233</v>
      </c>
      <c r="B1050" t="s">
        <v>234</v>
      </c>
      <c r="C1050" t="s">
        <v>3</v>
      </c>
      <c r="D1050" s="1">
        <v>45808</v>
      </c>
      <c r="E1050">
        <v>475.25</v>
      </c>
      <c r="F1050" s="2">
        <v>6525.3000000000011</v>
      </c>
      <c r="G1050" s="2">
        <v>1235.9600000000009</v>
      </c>
    </row>
    <row r="1051" spans="1:7" hidden="1" x14ac:dyDescent="0.3">
      <c r="A1051" t="s">
        <v>233</v>
      </c>
      <c r="B1051" t="s">
        <v>234</v>
      </c>
      <c r="C1051" t="s">
        <v>3</v>
      </c>
      <c r="D1051" s="1">
        <v>45838</v>
      </c>
      <c r="E1051">
        <v>70.25</v>
      </c>
      <c r="F1051" s="2">
        <v>1187.9400000000005</v>
      </c>
      <c r="G1051" s="2">
        <v>1235.9600000000009</v>
      </c>
    </row>
    <row r="1052" spans="1:7" hidden="1" x14ac:dyDescent="0.3">
      <c r="A1052" t="s">
        <v>279</v>
      </c>
      <c r="B1052" t="s">
        <v>280</v>
      </c>
      <c r="C1052" t="s">
        <v>8</v>
      </c>
      <c r="D1052" s="1">
        <v>45808</v>
      </c>
      <c r="E1052">
        <v>693</v>
      </c>
      <c r="F1052" s="2">
        <v>9848.5199999999986</v>
      </c>
      <c r="G1052" s="2">
        <v>1825.5399999999991</v>
      </c>
    </row>
    <row r="1053" spans="1:7" hidden="1" x14ac:dyDescent="0.3">
      <c r="A1053" t="s">
        <v>279</v>
      </c>
      <c r="B1053" t="s">
        <v>280</v>
      </c>
      <c r="C1053" t="s">
        <v>8</v>
      </c>
      <c r="D1053" s="1">
        <v>45838</v>
      </c>
      <c r="E1053">
        <v>149.75</v>
      </c>
      <c r="F1053" s="2">
        <v>2111.2500000000018</v>
      </c>
      <c r="G1053" s="2">
        <v>1969.7039999999997</v>
      </c>
    </row>
    <row r="1054" spans="1:7" hidden="1" x14ac:dyDescent="0.3">
      <c r="A1054" t="s">
        <v>418</v>
      </c>
      <c r="B1054" t="s">
        <v>238</v>
      </c>
      <c r="C1054" t="s">
        <v>5</v>
      </c>
      <c r="D1054" s="1">
        <v>45808</v>
      </c>
      <c r="E1054">
        <v>91</v>
      </c>
      <c r="F1054" s="2">
        <v>1115.03</v>
      </c>
      <c r="G1054" s="2">
        <v>1115.03</v>
      </c>
    </row>
    <row r="1055" spans="1:7" hidden="1" x14ac:dyDescent="0.3">
      <c r="A1055" t="s">
        <v>418</v>
      </c>
      <c r="B1055" t="s">
        <v>238</v>
      </c>
      <c r="C1055" t="s">
        <v>5</v>
      </c>
      <c r="D1055" s="1">
        <v>45838</v>
      </c>
      <c r="E1055">
        <v>152</v>
      </c>
      <c r="F1055" s="2">
        <v>1648.7500000000007</v>
      </c>
      <c r="G1055" s="2">
        <v>1115.03</v>
      </c>
    </row>
    <row r="1056" spans="1:7" hidden="1" x14ac:dyDescent="0.3">
      <c r="A1056" t="s">
        <v>419</v>
      </c>
      <c r="B1056" t="s">
        <v>420</v>
      </c>
      <c r="C1056" t="s">
        <v>5</v>
      </c>
      <c r="D1056" s="1">
        <v>45808</v>
      </c>
      <c r="E1056">
        <v>0</v>
      </c>
      <c r="F1056" s="2">
        <v>296.58</v>
      </c>
      <c r="G1056" s="2">
        <v>296.58</v>
      </c>
    </row>
    <row r="1057" spans="1:7" hidden="1" x14ac:dyDescent="0.3">
      <c r="A1057" t="s">
        <v>419</v>
      </c>
      <c r="B1057" t="s">
        <v>420</v>
      </c>
      <c r="C1057" t="s">
        <v>5</v>
      </c>
      <c r="D1057" s="1">
        <v>45838</v>
      </c>
      <c r="E1057">
        <v>0</v>
      </c>
      <c r="F1057" s="2">
        <v>466.08</v>
      </c>
      <c r="G1057" s="2">
        <v>500</v>
      </c>
    </row>
    <row r="1058" spans="1:7" hidden="1" x14ac:dyDescent="0.3">
      <c r="A1058" t="s">
        <v>421</v>
      </c>
      <c r="B1058" t="s">
        <v>422</v>
      </c>
      <c r="C1058" t="s">
        <v>5</v>
      </c>
      <c r="D1058" s="1">
        <v>45838</v>
      </c>
      <c r="E1058">
        <v>0</v>
      </c>
      <c r="F1058" s="2">
        <v>466.08</v>
      </c>
      <c r="G1058" s="2">
        <v>0</v>
      </c>
    </row>
    <row r="1059" spans="1:7" hidden="1" x14ac:dyDescent="0.3">
      <c r="A1059" t="s">
        <v>423</v>
      </c>
      <c r="B1059" t="s">
        <v>424</v>
      </c>
      <c r="C1059" t="s">
        <v>5</v>
      </c>
      <c r="D1059" s="1">
        <v>45838</v>
      </c>
      <c r="E1059">
        <v>0</v>
      </c>
      <c r="F1059" s="2">
        <v>566.08000000000004</v>
      </c>
      <c r="G1059" s="2">
        <v>0</v>
      </c>
    </row>
    <row r="1060" spans="1:7" hidden="1" x14ac:dyDescent="0.3">
      <c r="A1060" t="s">
        <v>315</v>
      </c>
      <c r="B1060" t="s">
        <v>316</v>
      </c>
      <c r="C1060" t="s">
        <v>6</v>
      </c>
      <c r="D1060" s="1">
        <v>45869</v>
      </c>
      <c r="E1060">
        <v>0</v>
      </c>
      <c r="F1060" s="2">
        <v>0</v>
      </c>
      <c r="G1060" s="2">
        <v>1837.3920000000003</v>
      </c>
    </row>
    <row r="1061" spans="1:7" hidden="1" x14ac:dyDescent="0.3">
      <c r="A1061" t="s">
        <v>315</v>
      </c>
      <c r="B1061" t="s">
        <v>316</v>
      </c>
      <c r="C1061" t="s">
        <v>6</v>
      </c>
      <c r="D1061" s="1">
        <v>45900</v>
      </c>
      <c r="E1061">
        <v>0</v>
      </c>
      <c r="F1061" s="2">
        <v>0</v>
      </c>
      <c r="G1061" s="2">
        <v>1837.3920000000003</v>
      </c>
    </row>
    <row r="1062" spans="1:7" hidden="1" x14ac:dyDescent="0.3">
      <c r="A1062" t="s">
        <v>315</v>
      </c>
      <c r="B1062" t="s">
        <v>316</v>
      </c>
      <c r="C1062" t="s">
        <v>6</v>
      </c>
      <c r="D1062" s="1">
        <v>45930</v>
      </c>
      <c r="E1062">
        <v>0</v>
      </c>
      <c r="F1062" s="2">
        <v>0</v>
      </c>
      <c r="G1062" s="2">
        <v>1837.3920000000003</v>
      </c>
    </row>
    <row r="1063" spans="1:7" hidden="1" x14ac:dyDescent="0.3">
      <c r="A1063" t="s">
        <v>315</v>
      </c>
      <c r="B1063" t="s">
        <v>316</v>
      </c>
      <c r="C1063" t="s">
        <v>6</v>
      </c>
      <c r="D1063" s="1">
        <v>45961</v>
      </c>
      <c r="E1063">
        <v>0</v>
      </c>
      <c r="F1063" s="2">
        <v>0</v>
      </c>
      <c r="G1063" s="2">
        <v>1837.3920000000003</v>
      </c>
    </row>
    <row r="1064" spans="1:7" hidden="1" x14ac:dyDescent="0.3">
      <c r="A1064" t="s">
        <v>315</v>
      </c>
      <c r="B1064" t="s">
        <v>316</v>
      </c>
      <c r="C1064" t="s">
        <v>6</v>
      </c>
      <c r="D1064" s="1">
        <v>45991</v>
      </c>
      <c r="E1064">
        <v>0</v>
      </c>
      <c r="F1064" s="2">
        <v>0</v>
      </c>
      <c r="G1064" s="2">
        <v>1837.3920000000003</v>
      </c>
    </row>
    <row r="1065" spans="1:7" hidden="1" x14ac:dyDescent="0.3">
      <c r="A1065" t="s">
        <v>315</v>
      </c>
      <c r="B1065" t="s">
        <v>316</v>
      </c>
      <c r="C1065" t="s">
        <v>6</v>
      </c>
      <c r="D1065" s="1">
        <v>46022</v>
      </c>
      <c r="E1065">
        <v>0</v>
      </c>
      <c r="F1065" s="2">
        <v>0</v>
      </c>
      <c r="G1065" s="2">
        <v>1837.3920000000003</v>
      </c>
    </row>
    <row r="1066" spans="1:7" hidden="1" x14ac:dyDescent="0.3">
      <c r="A1066" t="s">
        <v>145</v>
      </c>
      <c r="B1066" t="s">
        <v>146</v>
      </c>
      <c r="C1066" t="s">
        <v>6</v>
      </c>
      <c r="D1066" s="1">
        <v>45869</v>
      </c>
      <c r="E1066">
        <v>0</v>
      </c>
      <c r="F1066" s="2">
        <v>0</v>
      </c>
      <c r="G1066" s="2">
        <v>2320.7959999999998</v>
      </c>
    </row>
    <row r="1067" spans="1:7" hidden="1" x14ac:dyDescent="0.3">
      <c r="A1067" t="s">
        <v>145</v>
      </c>
      <c r="B1067" t="s">
        <v>146</v>
      </c>
      <c r="C1067" t="s">
        <v>6</v>
      </c>
      <c r="D1067" s="1">
        <v>45900</v>
      </c>
      <c r="E1067">
        <v>0</v>
      </c>
      <c r="F1067" s="2">
        <v>0</v>
      </c>
      <c r="G1067" s="2">
        <v>2320.7959999999998</v>
      </c>
    </row>
    <row r="1068" spans="1:7" hidden="1" x14ac:dyDescent="0.3">
      <c r="A1068" t="s">
        <v>145</v>
      </c>
      <c r="B1068" t="s">
        <v>146</v>
      </c>
      <c r="C1068" t="s">
        <v>6</v>
      </c>
      <c r="D1068" s="1">
        <v>45930</v>
      </c>
      <c r="E1068">
        <v>0</v>
      </c>
      <c r="F1068" s="2">
        <v>0</v>
      </c>
      <c r="G1068" s="2">
        <v>2320.7959999999998</v>
      </c>
    </row>
    <row r="1069" spans="1:7" hidden="1" x14ac:dyDescent="0.3">
      <c r="A1069" t="s">
        <v>145</v>
      </c>
      <c r="B1069" t="s">
        <v>146</v>
      </c>
      <c r="C1069" t="s">
        <v>6</v>
      </c>
      <c r="D1069" s="1">
        <v>45961</v>
      </c>
      <c r="E1069">
        <v>0</v>
      </c>
      <c r="F1069" s="2">
        <v>0</v>
      </c>
      <c r="G1069" s="2">
        <v>2320.7959999999998</v>
      </c>
    </row>
    <row r="1070" spans="1:7" hidden="1" x14ac:dyDescent="0.3">
      <c r="A1070" t="s">
        <v>145</v>
      </c>
      <c r="B1070" t="s">
        <v>146</v>
      </c>
      <c r="C1070" t="s">
        <v>6</v>
      </c>
      <c r="D1070" s="1">
        <v>45991</v>
      </c>
      <c r="E1070">
        <v>0</v>
      </c>
      <c r="F1070" s="2">
        <v>0</v>
      </c>
      <c r="G1070" s="2">
        <v>2320.7959999999998</v>
      </c>
    </row>
    <row r="1071" spans="1:7" hidden="1" x14ac:dyDescent="0.3">
      <c r="A1071" t="s">
        <v>145</v>
      </c>
      <c r="B1071" t="s">
        <v>146</v>
      </c>
      <c r="C1071" t="s">
        <v>6</v>
      </c>
      <c r="D1071" s="1">
        <v>46022</v>
      </c>
      <c r="E1071">
        <v>0</v>
      </c>
      <c r="F1071" s="2">
        <v>0</v>
      </c>
      <c r="G1071" s="2">
        <v>2320.7959999999998</v>
      </c>
    </row>
    <row r="1072" spans="1:7" hidden="1" x14ac:dyDescent="0.3">
      <c r="A1072" t="s">
        <v>187</v>
      </c>
      <c r="B1072" t="s">
        <v>188</v>
      </c>
      <c r="C1072" t="s">
        <v>6</v>
      </c>
      <c r="D1072" s="1">
        <v>45869</v>
      </c>
      <c r="E1072">
        <v>0</v>
      </c>
      <c r="F1072" s="2">
        <v>0</v>
      </c>
      <c r="G1072" s="2">
        <v>4569.26</v>
      </c>
    </row>
    <row r="1073" spans="1:7" hidden="1" x14ac:dyDescent="0.3">
      <c r="A1073" t="s">
        <v>187</v>
      </c>
      <c r="B1073" t="s">
        <v>188</v>
      </c>
      <c r="C1073" t="s">
        <v>6</v>
      </c>
      <c r="D1073" s="1">
        <v>45900</v>
      </c>
      <c r="E1073">
        <v>0</v>
      </c>
      <c r="F1073" s="2">
        <v>0</v>
      </c>
      <c r="G1073" s="2">
        <v>4569.26</v>
      </c>
    </row>
    <row r="1074" spans="1:7" hidden="1" x14ac:dyDescent="0.3">
      <c r="A1074" t="s">
        <v>187</v>
      </c>
      <c r="B1074" t="s">
        <v>188</v>
      </c>
      <c r="C1074" t="s">
        <v>6</v>
      </c>
      <c r="D1074" s="1">
        <v>45930</v>
      </c>
      <c r="E1074">
        <v>0</v>
      </c>
      <c r="F1074" s="2">
        <v>0</v>
      </c>
      <c r="G1074" s="2">
        <v>4569.26</v>
      </c>
    </row>
    <row r="1075" spans="1:7" hidden="1" x14ac:dyDescent="0.3">
      <c r="A1075" t="s">
        <v>187</v>
      </c>
      <c r="B1075" t="s">
        <v>188</v>
      </c>
      <c r="C1075" t="s">
        <v>6</v>
      </c>
      <c r="D1075" s="1">
        <v>45961</v>
      </c>
      <c r="E1075">
        <v>0</v>
      </c>
      <c r="F1075" s="2">
        <v>0</v>
      </c>
      <c r="G1075" s="2">
        <v>4569.26</v>
      </c>
    </row>
    <row r="1076" spans="1:7" hidden="1" x14ac:dyDescent="0.3">
      <c r="A1076" t="s">
        <v>187</v>
      </c>
      <c r="B1076" t="s">
        <v>188</v>
      </c>
      <c r="C1076" t="s">
        <v>6</v>
      </c>
      <c r="D1076" s="1">
        <v>45991</v>
      </c>
      <c r="E1076">
        <v>0</v>
      </c>
      <c r="F1076" s="2">
        <v>0</v>
      </c>
      <c r="G1076" s="2">
        <v>4569.26</v>
      </c>
    </row>
    <row r="1077" spans="1:7" hidden="1" x14ac:dyDescent="0.3">
      <c r="A1077" t="s">
        <v>187</v>
      </c>
      <c r="B1077" t="s">
        <v>188</v>
      </c>
      <c r="C1077" t="s">
        <v>6</v>
      </c>
      <c r="D1077" s="1">
        <v>46022</v>
      </c>
      <c r="E1077">
        <v>0</v>
      </c>
      <c r="F1077" s="2">
        <v>0</v>
      </c>
      <c r="G1077" s="2">
        <v>4569.26</v>
      </c>
    </row>
    <row r="1078" spans="1:7" hidden="1" x14ac:dyDescent="0.3">
      <c r="A1078" t="s">
        <v>109</v>
      </c>
      <c r="B1078" t="s">
        <v>110</v>
      </c>
      <c r="C1078" t="s">
        <v>6</v>
      </c>
      <c r="D1078" s="1">
        <v>45869</v>
      </c>
      <c r="E1078">
        <v>0</v>
      </c>
      <c r="F1078" s="2">
        <v>0</v>
      </c>
      <c r="G1078" s="2">
        <v>4216.3379999999997</v>
      </c>
    </row>
    <row r="1079" spans="1:7" hidden="1" x14ac:dyDescent="0.3">
      <c r="A1079" t="s">
        <v>329</v>
      </c>
      <c r="B1079" t="s">
        <v>330</v>
      </c>
      <c r="C1079" t="s">
        <v>6</v>
      </c>
      <c r="D1079" s="1">
        <v>45869</v>
      </c>
      <c r="E1079">
        <v>0</v>
      </c>
      <c r="F1079" s="2">
        <v>0</v>
      </c>
      <c r="G1079" s="2">
        <v>1588.394</v>
      </c>
    </row>
    <row r="1080" spans="1:7" hidden="1" x14ac:dyDescent="0.3">
      <c r="A1080" t="s">
        <v>329</v>
      </c>
      <c r="B1080" t="s">
        <v>330</v>
      </c>
      <c r="C1080" t="s">
        <v>6</v>
      </c>
      <c r="D1080" s="1">
        <v>45900</v>
      </c>
      <c r="E1080">
        <v>0</v>
      </c>
      <c r="F1080" s="2">
        <v>0</v>
      </c>
      <c r="G1080" s="2">
        <v>1588.394</v>
      </c>
    </row>
    <row r="1081" spans="1:7" hidden="1" x14ac:dyDescent="0.3">
      <c r="A1081" t="s">
        <v>329</v>
      </c>
      <c r="B1081" t="s">
        <v>330</v>
      </c>
      <c r="C1081" t="s">
        <v>6</v>
      </c>
      <c r="D1081" s="1">
        <v>45930</v>
      </c>
      <c r="E1081">
        <v>0</v>
      </c>
      <c r="F1081" s="2">
        <v>0</v>
      </c>
      <c r="G1081" s="2">
        <v>1588.394</v>
      </c>
    </row>
    <row r="1082" spans="1:7" hidden="1" x14ac:dyDescent="0.3">
      <c r="A1082" t="s">
        <v>329</v>
      </c>
      <c r="B1082" t="s">
        <v>330</v>
      </c>
      <c r="C1082" t="s">
        <v>6</v>
      </c>
      <c r="D1082" s="1">
        <v>45961</v>
      </c>
      <c r="E1082">
        <v>0</v>
      </c>
      <c r="F1082" s="2">
        <v>0</v>
      </c>
      <c r="G1082" s="2">
        <v>1588.394</v>
      </c>
    </row>
    <row r="1083" spans="1:7" hidden="1" x14ac:dyDescent="0.3">
      <c r="A1083" t="s">
        <v>329</v>
      </c>
      <c r="B1083" t="s">
        <v>330</v>
      </c>
      <c r="C1083" t="s">
        <v>6</v>
      </c>
      <c r="D1083" s="1">
        <v>45991</v>
      </c>
      <c r="E1083">
        <v>0</v>
      </c>
      <c r="F1083" s="2">
        <v>0</v>
      </c>
      <c r="G1083" s="2">
        <v>1588.394</v>
      </c>
    </row>
    <row r="1084" spans="1:7" hidden="1" x14ac:dyDescent="0.3">
      <c r="A1084" t="s">
        <v>329</v>
      </c>
      <c r="B1084" t="s">
        <v>330</v>
      </c>
      <c r="C1084" t="s">
        <v>6</v>
      </c>
      <c r="D1084" s="1">
        <v>46022</v>
      </c>
      <c r="E1084">
        <v>0</v>
      </c>
      <c r="F1084" s="2">
        <v>0</v>
      </c>
      <c r="G1084" s="2">
        <v>1588.394</v>
      </c>
    </row>
    <row r="1085" spans="1:7" hidden="1" x14ac:dyDescent="0.3">
      <c r="A1085" t="s">
        <v>348</v>
      </c>
      <c r="B1085" t="s">
        <v>330</v>
      </c>
      <c r="C1085" t="s">
        <v>6</v>
      </c>
      <c r="D1085" s="1">
        <v>45716</v>
      </c>
      <c r="E1085">
        <v>0</v>
      </c>
      <c r="F1085" s="2">
        <v>0</v>
      </c>
      <c r="G1085" s="2">
        <v>0</v>
      </c>
    </row>
    <row r="1086" spans="1:7" hidden="1" x14ac:dyDescent="0.3">
      <c r="A1086" t="s">
        <v>348</v>
      </c>
      <c r="B1086" t="s">
        <v>330</v>
      </c>
      <c r="C1086" t="s">
        <v>6</v>
      </c>
      <c r="D1086" s="1">
        <v>45747</v>
      </c>
      <c r="E1086">
        <v>0</v>
      </c>
      <c r="F1086" s="2">
        <v>0</v>
      </c>
      <c r="G1086" s="2">
        <v>0</v>
      </c>
    </row>
    <row r="1087" spans="1:7" hidden="1" x14ac:dyDescent="0.3">
      <c r="A1087" t="s">
        <v>348</v>
      </c>
      <c r="B1087" t="s">
        <v>330</v>
      </c>
      <c r="C1087" t="s">
        <v>6</v>
      </c>
      <c r="D1087" s="1">
        <v>45777</v>
      </c>
      <c r="E1087">
        <v>0</v>
      </c>
      <c r="F1087" s="2">
        <v>0</v>
      </c>
      <c r="G1087" s="2">
        <v>0</v>
      </c>
    </row>
    <row r="1088" spans="1:7" hidden="1" x14ac:dyDescent="0.3">
      <c r="A1088" t="s">
        <v>348</v>
      </c>
      <c r="B1088" t="s">
        <v>330</v>
      </c>
      <c r="C1088" t="s">
        <v>6</v>
      </c>
      <c r="D1088" s="1">
        <v>45808</v>
      </c>
      <c r="E1088">
        <v>0</v>
      </c>
      <c r="F1088" s="2">
        <v>0</v>
      </c>
      <c r="G1088" s="2">
        <v>0</v>
      </c>
    </row>
    <row r="1089" spans="1:7" hidden="1" x14ac:dyDescent="0.3">
      <c r="A1089" t="s">
        <v>215</v>
      </c>
      <c r="B1089" t="s">
        <v>216</v>
      </c>
      <c r="C1089" t="s">
        <v>6</v>
      </c>
      <c r="D1089" s="1">
        <v>45688</v>
      </c>
      <c r="E1089">
        <v>0</v>
      </c>
      <c r="F1089" s="2">
        <v>0</v>
      </c>
      <c r="G1089" s="2">
        <v>2064.2799999999997</v>
      </c>
    </row>
    <row r="1090" spans="1:7" hidden="1" x14ac:dyDescent="0.3">
      <c r="A1090" t="s">
        <v>215</v>
      </c>
      <c r="B1090" t="s">
        <v>216</v>
      </c>
      <c r="C1090" t="s">
        <v>6</v>
      </c>
      <c r="D1090" s="1">
        <v>45716</v>
      </c>
      <c r="E1090">
        <v>0</v>
      </c>
      <c r="F1090" s="2">
        <v>0</v>
      </c>
      <c r="G1090" s="2">
        <v>2103.3100000000004</v>
      </c>
    </row>
    <row r="1091" spans="1:7" hidden="1" x14ac:dyDescent="0.3">
      <c r="A1091" t="s">
        <v>215</v>
      </c>
      <c r="B1091" t="s">
        <v>216</v>
      </c>
      <c r="C1091" t="s">
        <v>6</v>
      </c>
      <c r="D1091" s="1">
        <v>45747</v>
      </c>
      <c r="E1091">
        <v>0</v>
      </c>
      <c r="F1091" s="2">
        <v>0</v>
      </c>
      <c r="G1091" s="2">
        <v>1911.3999999999996</v>
      </c>
    </row>
    <row r="1092" spans="1:7" hidden="1" x14ac:dyDescent="0.3">
      <c r="A1092" t="s">
        <v>215</v>
      </c>
      <c r="B1092" t="s">
        <v>216</v>
      </c>
      <c r="C1092" t="s">
        <v>6</v>
      </c>
      <c r="D1092" s="1">
        <v>45777</v>
      </c>
      <c r="E1092">
        <v>0</v>
      </c>
      <c r="F1092" s="2">
        <v>0</v>
      </c>
      <c r="G1092" s="2">
        <v>2207.5300000000007</v>
      </c>
    </row>
    <row r="1093" spans="1:7" hidden="1" x14ac:dyDescent="0.3">
      <c r="A1093" t="s">
        <v>215</v>
      </c>
      <c r="B1093" t="s">
        <v>216</v>
      </c>
      <c r="C1093" t="s">
        <v>6</v>
      </c>
      <c r="D1093" s="1">
        <v>45808</v>
      </c>
      <c r="E1093">
        <v>0</v>
      </c>
      <c r="F1093" s="2">
        <v>0</v>
      </c>
      <c r="G1093" s="2">
        <v>2166.5200000000004</v>
      </c>
    </row>
    <row r="1094" spans="1:7" hidden="1" x14ac:dyDescent="0.3">
      <c r="A1094" t="s">
        <v>215</v>
      </c>
      <c r="B1094" t="s">
        <v>216</v>
      </c>
      <c r="C1094" t="s">
        <v>6</v>
      </c>
      <c r="D1094" s="1">
        <v>45838</v>
      </c>
      <c r="E1094">
        <v>0</v>
      </c>
      <c r="F1094" s="2">
        <v>0</v>
      </c>
      <c r="G1094" s="2">
        <v>2090.6080000000002</v>
      </c>
    </row>
    <row r="1095" spans="1:7" hidden="1" x14ac:dyDescent="0.3">
      <c r="A1095" t="s">
        <v>215</v>
      </c>
      <c r="B1095" t="s">
        <v>216</v>
      </c>
      <c r="C1095" t="s">
        <v>6</v>
      </c>
      <c r="D1095" s="1">
        <v>45869</v>
      </c>
      <c r="E1095">
        <v>0</v>
      </c>
      <c r="F1095" s="2">
        <v>0</v>
      </c>
      <c r="G1095" s="2">
        <v>2090.6080000000002</v>
      </c>
    </row>
    <row r="1096" spans="1:7" hidden="1" x14ac:dyDescent="0.3">
      <c r="A1096" t="s">
        <v>215</v>
      </c>
      <c r="B1096" t="s">
        <v>216</v>
      </c>
      <c r="C1096" t="s">
        <v>6</v>
      </c>
      <c r="D1096" s="1">
        <v>45900</v>
      </c>
      <c r="E1096">
        <v>0</v>
      </c>
      <c r="F1096" s="2">
        <v>0</v>
      </c>
      <c r="G1096" s="2">
        <v>2090.6080000000002</v>
      </c>
    </row>
    <row r="1097" spans="1:7" hidden="1" x14ac:dyDescent="0.3">
      <c r="A1097" t="s">
        <v>215</v>
      </c>
      <c r="B1097" t="s">
        <v>216</v>
      </c>
      <c r="C1097" t="s">
        <v>6</v>
      </c>
      <c r="D1097" s="1">
        <v>45930</v>
      </c>
      <c r="E1097">
        <v>0</v>
      </c>
      <c r="F1097" s="2">
        <v>0</v>
      </c>
      <c r="G1097" s="2">
        <v>2090.6080000000002</v>
      </c>
    </row>
    <row r="1098" spans="1:7" hidden="1" x14ac:dyDescent="0.3">
      <c r="A1098" t="s">
        <v>215</v>
      </c>
      <c r="B1098" t="s">
        <v>216</v>
      </c>
      <c r="C1098" t="s">
        <v>6</v>
      </c>
      <c r="D1098" s="1">
        <v>45961</v>
      </c>
      <c r="E1098">
        <v>0</v>
      </c>
      <c r="F1098" s="2">
        <v>0</v>
      </c>
      <c r="G1098" s="2">
        <v>2090.6080000000002</v>
      </c>
    </row>
    <row r="1099" spans="1:7" hidden="1" x14ac:dyDescent="0.3">
      <c r="A1099" t="s">
        <v>215</v>
      </c>
      <c r="B1099" t="s">
        <v>216</v>
      </c>
      <c r="C1099" t="s">
        <v>6</v>
      </c>
      <c r="D1099" s="1">
        <v>45991</v>
      </c>
      <c r="E1099">
        <v>0</v>
      </c>
      <c r="F1099" s="2">
        <v>0</v>
      </c>
      <c r="G1099" s="2">
        <v>2090.6080000000002</v>
      </c>
    </row>
    <row r="1100" spans="1:7" hidden="1" x14ac:dyDescent="0.3">
      <c r="A1100" t="s">
        <v>215</v>
      </c>
      <c r="B1100" t="s">
        <v>216</v>
      </c>
      <c r="C1100" t="s">
        <v>6</v>
      </c>
      <c r="D1100" s="1">
        <v>46022</v>
      </c>
      <c r="E1100">
        <v>0</v>
      </c>
      <c r="F1100" s="2">
        <v>0</v>
      </c>
      <c r="G1100" s="2">
        <v>2090.6080000000002</v>
      </c>
    </row>
    <row r="1101" spans="1:7" hidden="1" x14ac:dyDescent="0.3">
      <c r="A1101" t="s">
        <v>99</v>
      </c>
      <c r="B1101" t="s">
        <v>100</v>
      </c>
      <c r="C1101" t="s">
        <v>6</v>
      </c>
      <c r="D1101" s="1">
        <v>45688</v>
      </c>
      <c r="E1101">
        <v>0</v>
      </c>
      <c r="F1101" s="2">
        <v>0</v>
      </c>
      <c r="G1101" s="2">
        <v>1756.9300000000003</v>
      </c>
    </row>
    <row r="1102" spans="1:7" hidden="1" x14ac:dyDescent="0.3">
      <c r="A1102" t="s">
        <v>99</v>
      </c>
      <c r="B1102" t="s">
        <v>100</v>
      </c>
      <c r="C1102" t="s">
        <v>6</v>
      </c>
      <c r="D1102" s="1">
        <v>45716</v>
      </c>
      <c r="E1102">
        <v>0</v>
      </c>
      <c r="F1102" s="2">
        <v>0</v>
      </c>
      <c r="G1102" s="2">
        <v>1361.1</v>
      </c>
    </row>
    <row r="1103" spans="1:7" hidden="1" x14ac:dyDescent="0.3">
      <c r="A1103" t="s">
        <v>99</v>
      </c>
      <c r="B1103" t="s">
        <v>100</v>
      </c>
      <c r="C1103" t="s">
        <v>6</v>
      </c>
      <c r="D1103" s="1">
        <v>45747</v>
      </c>
      <c r="E1103">
        <v>0</v>
      </c>
      <c r="F1103" s="2">
        <v>0</v>
      </c>
      <c r="G1103" s="2">
        <v>1566.5099999999989</v>
      </c>
    </row>
    <row r="1104" spans="1:7" hidden="1" x14ac:dyDescent="0.3">
      <c r="A1104" t="s">
        <v>99</v>
      </c>
      <c r="B1104" t="s">
        <v>100</v>
      </c>
      <c r="C1104" t="s">
        <v>6</v>
      </c>
      <c r="D1104" s="1">
        <v>45777</v>
      </c>
      <c r="E1104">
        <v>0</v>
      </c>
      <c r="F1104" s="2">
        <v>0</v>
      </c>
      <c r="G1104" s="2">
        <v>1689.7300000000014</v>
      </c>
    </row>
    <row r="1105" spans="1:7" hidden="1" x14ac:dyDescent="0.3">
      <c r="A1105" t="s">
        <v>99</v>
      </c>
      <c r="B1105" t="s">
        <v>100</v>
      </c>
      <c r="C1105" t="s">
        <v>6</v>
      </c>
      <c r="D1105" s="1">
        <v>45808</v>
      </c>
      <c r="E1105">
        <v>0</v>
      </c>
      <c r="F1105" s="2">
        <v>0</v>
      </c>
      <c r="G1105" s="2">
        <v>1863.7000000000007</v>
      </c>
    </row>
    <row r="1106" spans="1:7" hidden="1" x14ac:dyDescent="0.3">
      <c r="A1106" t="s">
        <v>99</v>
      </c>
      <c r="B1106" t="s">
        <v>100</v>
      </c>
      <c r="C1106" t="s">
        <v>6</v>
      </c>
      <c r="D1106" s="1">
        <v>45838</v>
      </c>
      <c r="E1106">
        <v>0</v>
      </c>
      <c r="F1106" s="2">
        <v>0</v>
      </c>
      <c r="G1106" s="2">
        <v>1647.5940000000003</v>
      </c>
    </row>
    <row r="1107" spans="1:7" hidden="1" x14ac:dyDescent="0.3">
      <c r="A1107" t="s">
        <v>99</v>
      </c>
      <c r="B1107" t="s">
        <v>100</v>
      </c>
      <c r="C1107" t="s">
        <v>6</v>
      </c>
      <c r="D1107" s="1">
        <v>45869</v>
      </c>
      <c r="E1107">
        <v>0</v>
      </c>
      <c r="F1107" s="2">
        <v>0</v>
      </c>
      <c r="G1107" s="2">
        <v>1647.5940000000003</v>
      </c>
    </row>
    <row r="1108" spans="1:7" hidden="1" x14ac:dyDescent="0.3">
      <c r="A1108" t="s">
        <v>99</v>
      </c>
      <c r="B1108" t="s">
        <v>100</v>
      </c>
      <c r="C1108" t="s">
        <v>6</v>
      </c>
      <c r="D1108" s="1">
        <v>45900</v>
      </c>
      <c r="E1108">
        <v>0</v>
      </c>
      <c r="F1108" s="2">
        <v>0</v>
      </c>
      <c r="G1108" s="2">
        <v>1647.5940000000003</v>
      </c>
    </row>
    <row r="1109" spans="1:7" hidden="1" x14ac:dyDescent="0.3">
      <c r="A1109" t="s">
        <v>99</v>
      </c>
      <c r="B1109" t="s">
        <v>100</v>
      </c>
      <c r="C1109" t="s">
        <v>6</v>
      </c>
      <c r="D1109" s="1">
        <v>45930</v>
      </c>
      <c r="E1109">
        <v>0</v>
      </c>
      <c r="F1109" s="2">
        <v>0</v>
      </c>
      <c r="G1109" s="2">
        <v>1647.5940000000003</v>
      </c>
    </row>
    <row r="1110" spans="1:7" hidden="1" x14ac:dyDescent="0.3">
      <c r="A1110" t="s">
        <v>99</v>
      </c>
      <c r="B1110" t="s">
        <v>100</v>
      </c>
      <c r="C1110" t="s">
        <v>6</v>
      </c>
      <c r="D1110" s="1">
        <v>45961</v>
      </c>
      <c r="E1110">
        <v>0</v>
      </c>
      <c r="F1110" s="2">
        <v>0</v>
      </c>
      <c r="G1110" s="2">
        <v>1647.5940000000003</v>
      </c>
    </row>
    <row r="1111" spans="1:7" hidden="1" x14ac:dyDescent="0.3">
      <c r="A1111" t="s">
        <v>99</v>
      </c>
      <c r="B1111" t="s">
        <v>100</v>
      </c>
      <c r="C1111" t="s">
        <v>6</v>
      </c>
      <c r="D1111" s="1">
        <v>45991</v>
      </c>
      <c r="E1111">
        <v>0</v>
      </c>
      <c r="F1111" s="2">
        <v>0</v>
      </c>
      <c r="G1111" s="2">
        <v>1647.5940000000003</v>
      </c>
    </row>
    <row r="1112" spans="1:7" hidden="1" x14ac:dyDescent="0.3">
      <c r="A1112" t="s">
        <v>99</v>
      </c>
      <c r="B1112" t="s">
        <v>100</v>
      </c>
      <c r="C1112" t="s">
        <v>6</v>
      </c>
      <c r="D1112" s="1">
        <v>46022</v>
      </c>
      <c r="E1112">
        <v>0</v>
      </c>
      <c r="F1112" s="2">
        <v>0</v>
      </c>
      <c r="G1112" s="2">
        <v>1647.5940000000003</v>
      </c>
    </row>
    <row r="1113" spans="1:7" hidden="1" x14ac:dyDescent="0.3">
      <c r="A1113" t="s">
        <v>139</v>
      </c>
      <c r="B1113" t="s">
        <v>140</v>
      </c>
      <c r="C1113" t="s">
        <v>6</v>
      </c>
      <c r="D1113" s="1">
        <v>45688</v>
      </c>
      <c r="E1113">
        <v>0</v>
      </c>
      <c r="F1113" s="2">
        <v>0</v>
      </c>
      <c r="G1113" s="2">
        <v>3176.65</v>
      </c>
    </row>
    <row r="1114" spans="1:7" hidden="1" x14ac:dyDescent="0.3">
      <c r="A1114" t="s">
        <v>139</v>
      </c>
      <c r="B1114" t="s">
        <v>140</v>
      </c>
      <c r="C1114" t="s">
        <v>6</v>
      </c>
      <c r="D1114" s="1">
        <v>45716</v>
      </c>
      <c r="E1114">
        <v>0</v>
      </c>
      <c r="F1114" s="2">
        <v>0</v>
      </c>
      <c r="G1114" s="2">
        <v>3050.43</v>
      </c>
    </row>
    <row r="1115" spans="1:7" hidden="1" x14ac:dyDescent="0.3">
      <c r="A1115" t="s">
        <v>139</v>
      </c>
      <c r="B1115" t="s">
        <v>140</v>
      </c>
      <c r="C1115" t="s">
        <v>6</v>
      </c>
      <c r="D1115" s="1">
        <v>45747</v>
      </c>
      <c r="E1115">
        <v>0</v>
      </c>
      <c r="F1115" s="2">
        <v>0</v>
      </c>
      <c r="G1115" s="2">
        <v>3368.5500000000011</v>
      </c>
    </row>
    <row r="1116" spans="1:7" hidden="1" x14ac:dyDescent="0.3">
      <c r="A1116" t="s">
        <v>139</v>
      </c>
      <c r="B1116" t="s">
        <v>140</v>
      </c>
      <c r="C1116" t="s">
        <v>6</v>
      </c>
      <c r="D1116" s="1">
        <v>45777</v>
      </c>
      <c r="E1116">
        <v>0</v>
      </c>
      <c r="F1116" s="2">
        <v>0</v>
      </c>
      <c r="G1116" s="2">
        <v>3394.8299999999981</v>
      </c>
    </row>
    <row r="1117" spans="1:7" hidden="1" x14ac:dyDescent="0.3">
      <c r="A1117" t="s">
        <v>139</v>
      </c>
      <c r="B1117" t="s">
        <v>140</v>
      </c>
      <c r="C1117" t="s">
        <v>6</v>
      </c>
      <c r="D1117" s="1">
        <v>45808</v>
      </c>
      <c r="E1117">
        <v>0</v>
      </c>
      <c r="F1117" s="2">
        <v>0</v>
      </c>
      <c r="G1117" s="2">
        <v>2940.6299999999992</v>
      </c>
    </row>
    <row r="1118" spans="1:7" hidden="1" x14ac:dyDescent="0.3">
      <c r="A1118" t="s">
        <v>139</v>
      </c>
      <c r="B1118" t="s">
        <v>140</v>
      </c>
      <c r="C1118" t="s">
        <v>6</v>
      </c>
      <c r="D1118" s="1">
        <v>45838</v>
      </c>
      <c r="E1118">
        <v>0</v>
      </c>
      <c r="F1118" s="2">
        <v>0</v>
      </c>
      <c r="G1118" s="2">
        <v>3186.2179999999998</v>
      </c>
    </row>
    <row r="1119" spans="1:7" hidden="1" x14ac:dyDescent="0.3">
      <c r="A1119" t="s">
        <v>139</v>
      </c>
      <c r="B1119" t="s">
        <v>140</v>
      </c>
      <c r="C1119" t="s">
        <v>6</v>
      </c>
      <c r="D1119" s="1">
        <v>45869</v>
      </c>
      <c r="E1119">
        <v>0</v>
      </c>
      <c r="F1119" s="2">
        <v>0</v>
      </c>
      <c r="G1119" s="2">
        <v>3186.2179999999998</v>
      </c>
    </row>
    <row r="1120" spans="1:7" hidden="1" x14ac:dyDescent="0.3">
      <c r="A1120" t="s">
        <v>139</v>
      </c>
      <c r="B1120" t="s">
        <v>140</v>
      </c>
      <c r="C1120" t="s">
        <v>6</v>
      </c>
      <c r="D1120" s="1">
        <v>45900</v>
      </c>
      <c r="E1120">
        <v>0</v>
      </c>
      <c r="F1120" s="2">
        <v>0</v>
      </c>
      <c r="G1120" s="2">
        <v>3186.2179999999998</v>
      </c>
    </row>
    <row r="1121" spans="1:7" hidden="1" x14ac:dyDescent="0.3">
      <c r="A1121" t="s">
        <v>139</v>
      </c>
      <c r="B1121" t="s">
        <v>140</v>
      </c>
      <c r="C1121" t="s">
        <v>6</v>
      </c>
      <c r="D1121" s="1">
        <v>45930</v>
      </c>
      <c r="E1121">
        <v>0</v>
      </c>
      <c r="F1121" s="2">
        <v>0</v>
      </c>
      <c r="G1121" s="2">
        <v>3186.2179999999998</v>
      </c>
    </row>
    <row r="1122" spans="1:7" hidden="1" x14ac:dyDescent="0.3">
      <c r="A1122" t="s">
        <v>139</v>
      </c>
      <c r="B1122" t="s">
        <v>140</v>
      </c>
      <c r="C1122" t="s">
        <v>6</v>
      </c>
      <c r="D1122" s="1">
        <v>45961</v>
      </c>
      <c r="E1122">
        <v>0</v>
      </c>
      <c r="F1122" s="2">
        <v>0</v>
      </c>
      <c r="G1122" s="2">
        <v>3186.2179999999998</v>
      </c>
    </row>
    <row r="1123" spans="1:7" hidden="1" x14ac:dyDescent="0.3">
      <c r="A1123" t="s">
        <v>139</v>
      </c>
      <c r="B1123" t="s">
        <v>140</v>
      </c>
      <c r="C1123" t="s">
        <v>6</v>
      </c>
      <c r="D1123" s="1">
        <v>45991</v>
      </c>
      <c r="E1123">
        <v>0</v>
      </c>
      <c r="F1123" s="2">
        <v>0</v>
      </c>
      <c r="G1123" s="2">
        <v>3186.2179999999998</v>
      </c>
    </row>
    <row r="1124" spans="1:7" hidden="1" x14ac:dyDescent="0.3">
      <c r="A1124" t="s">
        <v>139</v>
      </c>
      <c r="B1124" t="s">
        <v>140</v>
      </c>
      <c r="C1124" t="s">
        <v>6</v>
      </c>
      <c r="D1124" s="1">
        <v>46022</v>
      </c>
      <c r="E1124">
        <v>0</v>
      </c>
      <c r="F1124" s="2">
        <v>0</v>
      </c>
      <c r="G1124" s="2">
        <v>3186.2179999999998</v>
      </c>
    </row>
    <row r="1125" spans="1:7" hidden="1" x14ac:dyDescent="0.3">
      <c r="A1125" t="s">
        <v>155</v>
      </c>
      <c r="B1125" t="s">
        <v>156</v>
      </c>
      <c r="C1125" t="s">
        <v>7</v>
      </c>
      <c r="D1125" s="1">
        <v>45869</v>
      </c>
      <c r="E1125">
        <v>0</v>
      </c>
      <c r="F1125" s="2">
        <v>0</v>
      </c>
      <c r="G1125" s="2">
        <v>1680.914</v>
      </c>
    </row>
    <row r="1126" spans="1:7" hidden="1" x14ac:dyDescent="0.3">
      <c r="A1126" t="s">
        <v>155</v>
      </c>
      <c r="B1126" t="s">
        <v>156</v>
      </c>
      <c r="C1126" t="s">
        <v>7</v>
      </c>
      <c r="D1126" s="1">
        <v>45900</v>
      </c>
      <c r="E1126">
        <v>0</v>
      </c>
      <c r="F1126" s="2">
        <v>0</v>
      </c>
      <c r="G1126" s="2">
        <v>1680.914</v>
      </c>
    </row>
    <row r="1127" spans="1:7" hidden="1" x14ac:dyDescent="0.3">
      <c r="A1127" t="s">
        <v>155</v>
      </c>
      <c r="B1127" t="s">
        <v>156</v>
      </c>
      <c r="C1127" t="s">
        <v>7</v>
      </c>
      <c r="D1127" s="1">
        <v>45930</v>
      </c>
      <c r="E1127">
        <v>0</v>
      </c>
      <c r="F1127" s="2">
        <v>0</v>
      </c>
      <c r="G1127" s="2">
        <v>1680.914</v>
      </c>
    </row>
    <row r="1128" spans="1:7" hidden="1" x14ac:dyDescent="0.3">
      <c r="A1128" t="s">
        <v>155</v>
      </c>
      <c r="B1128" t="s">
        <v>156</v>
      </c>
      <c r="C1128" t="s">
        <v>7</v>
      </c>
      <c r="D1128" s="1">
        <v>45961</v>
      </c>
      <c r="E1128">
        <v>0</v>
      </c>
      <c r="F1128" s="2">
        <v>0</v>
      </c>
      <c r="G1128" s="2">
        <v>1680.914</v>
      </c>
    </row>
    <row r="1129" spans="1:7" hidden="1" x14ac:dyDescent="0.3">
      <c r="A1129" t="s">
        <v>155</v>
      </c>
      <c r="B1129" t="s">
        <v>156</v>
      </c>
      <c r="C1129" t="s">
        <v>7</v>
      </c>
      <c r="D1129" s="1">
        <v>45991</v>
      </c>
      <c r="E1129">
        <v>0</v>
      </c>
      <c r="F1129" s="2">
        <v>0</v>
      </c>
      <c r="G1129" s="2">
        <v>1680.914</v>
      </c>
    </row>
    <row r="1130" spans="1:7" hidden="1" x14ac:dyDescent="0.3">
      <c r="A1130" t="s">
        <v>155</v>
      </c>
      <c r="B1130" t="s">
        <v>156</v>
      </c>
      <c r="C1130" t="s">
        <v>7</v>
      </c>
      <c r="D1130" s="1">
        <v>46022</v>
      </c>
      <c r="E1130">
        <v>0</v>
      </c>
      <c r="F1130" s="2">
        <v>0</v>
      </c>
      <c r="G1130" s="2">
        <v>1680.914</v>
      </c>
    </row>
    <row r="1131" spans="1:7" hidden="1" x14ac:dyDescent="0.3">
      <c r="A1131" t="s">
        <v>265</v>
      </c>
      <c r="B1131" t="s">
        <v>266</v>
      </c>
      <c r="C1131" t="s">
        <v>7</v>
      </c>
      <c r="D1131" s="1">
        <v>45869</v>
      </c>
      <c r="E1131">
        <v>0</v>
      </c>
      <c r="F1131" s="2">
        <v>0</v>
      </c>
      <c r="G1131" s="2">
        <v>5917.9379999999992</v>
      </c>
    </row>
    <row r="1132" spans="1:7" hidden="1" x14ac:dyDescent="0.3">
      <c r="A1132" t="s">
        <v>265</v>
      </c>
      <c r="B1132" t="s">
        <v>266</v>
      </c>
      <c r="C1132" t="s">
        <v>7</v>
      </c>
      <c r="D1132" s="1">
        <v>45900</v>
      </c>
      <c r="E1132">
        <v>0</v>
      </c>
      <c r="F1132" s="2">
        <v>0</v>
      </c>
      <c r="G1132" s="2">
        <v>5917.9379999999992</v>
      </c>
    </row>
    <row r="1133" spans="1:7" hidden="1" x14ac:dyDescent="0.3">
      <c r="A1133" t="s">
        <v>265</v>
      </c>
      <c r="B1133" t="s">
        <v>266</v>
      </c>
      <c r="C1133" t="s">
        <v>7</v>
      </c>
      <c r="D1133" s="1">
        <v>45930</v>
      </c>
      <c r="E1133">
        <v>0</v>
      </c>
      <c r="F1133" s="2">
        <v>0</v>
      </c>
      <c r="G1133" s="2">
        <v>5917.9379999999992</v>
      </c>
    </row>
    <row r="1134" spans="1:7" hidden="1" x14ac:dyDescent="0.3">
      <c r="A1134" t="s">
        <v>265</v>
      </c>
      <c r="B1134" t="s">
        <v>266</v>
      </c>
      <c r="C1134" t="s">
        <v>7</v>
      </c>
      <c r="D1134" s="1">
        <v>45961</v>
      </c>
      <c r="E1134">
        <v>0</v>
      </c>
      <c r="F1134" s="2">
        <v>0</v>
      </c>
      <c r="G1134" s="2">
        <v>5917.9379999999992</v>
      </c>
    </row>
    <row r="1135" spans="1:7" hidden="1" x14ac:dyDescent="0.3">
      <c r="A1135" t="s">
        <v>265</v>
      </c>
      <c r="B1135" t="s">
        <v>266</v>
      </c>
      <c r="C1135" t="s">
        <v>7</v>
      </c>
      <c r="D1135" s="1">
        <v>45991</v>
      </c>
      <c r="E1135">
        <v>0</v>
      </c>
      <c r="F1135" s="2">
        <v>0</v>
      </c>
      <c r="G1135" s="2">
        <v>5917.9379999999992</v>
      </c>
    </row>
    <row r="1136" spans="1:7" hidden="1" x14ac:dyDescent="0.3">
      <c r="A1136" t="s">
        <v>265</v>
      </c>
      <c r="B1136" t="s">
        <v>266</v>
      </c>
      <c r="C1136" t="s">
        <v>7</v>
      </c>
      <c r="D1136" s="1">
        <v>46022</v>
      </c>
      <c r="E1136">
        <v>0</v>
      </c>
      <c r="F1136" s="2">
        <v>0</v>
      </c>
      <c r="G1136" s="2">
        <v>5917.9379999999992</v>
      </c>
    </row>
    <row r="1137" spans="1:7" hidden="1" x14ac:dyDescent="0.3">
      <c r="A1137" t="s">
        <v>281</v>
      </c>
      <c r="B1137" t="s">
        <v>282</v>
      </c>
      <c r="C1137" t="s">
        <v>7</v>
      </c>
      <c r="D1137" s="1">
        <v>45869</v>
      </c>
      <c r="E1137">
        <v>0</v>
      </c>
      <c r="F1137" s="2">
        <v>0</v>
      </c>
      <c r="G1137" s="2">
        <v>3441.1400000000003</v>
      </c>
    </row>
    <row r="1138" spans="1:7" hidden="1" x14ac:dyDescent="0.3">
      <c r="A1138" t="s">
        <v>281</v>
      </c>
      <c r="B1138" t="s">
        <v>282</v>
      </c>
      <c r="C1138" t="s">
        <v>7</v>
      </c>
      <c r="D1138" s="1">
        <v>45900</v>
      </c>
      <c r="E1138">
        <v>0</v>
      </c>
      <c r="F1138" s="2">
        <v>0</v>
      </c>
      <c r="G1138" s="2">
        <v>3441.1400000000003</v>
      </c>
    </row>
    <row r="1139" spans="1:7" hidden="1" x14ac:dyDescent="0.3">
      <c r="A1139" t="s">
        <v>281</v>
      </c>
      <c r="B1139" t="s">
        <v>282</v>
      </c>
      <c r="C1139" t="s">
        <v>7</v>
      </c>
      <c r="D1139" s="1">
        <v>45930</v>
      </c>
      <c r="E1139">
        <v>0</v>
      </c>
      <c r="F1139" s="2">
        <v>0</v>
      </c>
      <c r="G1139" s="2">
        <v>3441.1400000000003</v>
      </c>
    </row>
    <row r="1140" spans="1:7" hidden="1" x14ac:dyDescent="0.3">
      <c r="A1140" t="s">
        <v>281</v>
      </c>
      <c r="B1140" t="s">
        <v>282</v>
      </c>
      <c r="C1140" t="s">
        <v>7</v>
      </c>
      <c r="D1140" s="1">
        <v>45961</v>
      </c>
      <c r="E1140">
        <v>0</v>
      </c>
      <c r="F1140" s="2">
        <v>0</v>
      </c>
      <c r="G1140" s="2">
        <v>3441.1400000000003</v>
      </c>
    </row>
    <row r="1141" spans="1:7" hidden="1" x14ac:dyDescent="0.3">
      <c r="A1141" t="s">
        <v>281</v>
      </c>
      <c r="B1141" t="s">
        <v>282</v>
      </c>
      <c r="C1141" t="s">
        <v>7</v>
      </c>
      <c r="D1141" s="1">
        <v>45991</v>
      </c>
      <c r="E1141">
        <v>0</v>
      </c>
      <c r="F1141" s="2">
        <v>0</v>
      </c>
      <c r="G1141" s="2">
        <v>3441.1400000000003</v>
      </c>
    </row>
    <row r="1142" spans="1:7" hidden="1" x14ac:dyDescent="0.3">
      <c r="A1142" t="s">
        <v>281</v>
      </c>
      <c r="B1142" t="s">
        <v>282</v>
      </c>
      <c r="C1142" t="s">
        <v>7</v>
      </c>
      <c r="D1142" s="1">
        <v>46022</v>
      </c>
      <c r="E1142">
        <v>0</v>
      </c>
      <c r="F1142" s="2">
        <v>0</v>
      </c>
      <c r="G1142" s="2">
        <v>3441.1400000000003</v>
      </c>
    </row>
    <row r="1143" spans="1:7" hidden="1" x14ac:dyDescent="0.3">
      <c r="A1143" t="s">
        <v>31</v>
      </c>
      <c r="B1143" t="s">
        <v>32</v>
      </c>
      <c r="C1143" t="s">
        <v>7</v>
      </c>
      <c r="D1143" s="1">
        <v>45688</v>
      </c>
      <c r="E1143">
        <v>0</v>
      </c>
      <c r="F1143" s="2">
        <v>0</v>
      </c>
      <c r="G1143" s="2">
        <v>2127.1999999999998</v>
      </c>
    </row>
    <row r="1144" spans="1:7" hidden="1" x14ac:dyDescent="0.3">
      <c r="A1144" t="s">
        <v>31</v>
      </c>
      <c r="B1144" t="s">
        <v>32</v>
      </c>
      <c r="C1144" t="s">
        <v>7</v>
      </c>
      <c r="D1144" s="1">
        <v>45716</v>
      </c>
      <c r="E1144">
        <v>0</v>
      </c>
      <c r="F1144" s="2">
        <v>0</v>
      </c>
      <c r="G1144" s="2">
        <v>2426.7799999999997</v>
      </c>
    </row>
    <row r="1145" spans="1:7" hidden="1" x14ac:dyDescent="0.3">
      <c r="A1145" t="s">
        <v>31</v>
      </c>
      <c r="B1145" t="s">
        <v>32</v>
      </c>
      <c r="C1145" t="s">
        <v>7</v>
      </c>
      <c r="D1145" s="1">
        <v>45747</v>
      </c>
      <c r="E1145">
        <v>0</v>
      </c>
      <c r="F1145" s="2">
        <v>0</v>
      </c>
      <c r="G1145" s="2">
        <v>1083.1400000000003</v>
      </c>
    </row>
    <row r="1146" spans="1:7" hidden="1" x14ac:dyDescent="0.3">
      <c r="A1146" t="s">
        <v>31</v>
      </c>
      <c r="B1146" t="s">
        <v>32</v>
      </c>
      <c r="C1146" t="s">
        <v>7</v>
      </c>
      <c r="D1146" s="1">
        <v>45777</v>
      </c>
      <c r="E1146">
        <v>0</v>
      </c>
      <c r="F1146" s="2">
        <v>0</v>
      </c>
      <c r="G1146" s="2">
        <v>614.84999999999945</v>
      </c>
    </row>
    <row r="1147" spans="1:7" hidden="1" x14ac:dyDescent="0.3">
      <c r="A1147" t="s">
        <v>31</v>
      </c>
      <c r="B1147" t="s">
        <v>32</v>
      </c>
      <c r="C1147" t="s">
        <v>7</v>
      </c>
      <c r="D1147" s="1">
        <v>45869</v>
      </c>
      <c r="E1147">
        <v>0</v>
      </c>
      <c r="F1147" s="2">
        <v>0</v>
      </c>
      <c r="G1147" s="2">
        <v>0</v>
      </c>
    </row>
    <row r="1148" spans="1:7" hidden="1" x14ac:dyDescent="0.3">
      <c r="A1148" t="s">
        <v>31</v>
      </c>
      <c r="B1148" t="s">
        <v>32</v>
      </c>
      <c r="C1148" t="s">
        <v>7</v>
      </c>
      <c r="D1148" s="1">
        <v>45900</v>
      </c>
      <c r="E1148">
        <v>0</v>
      </c>
      <c r="F1148" s="2">
        <v>0</v>
      </c>
      <c r="G1148" s="2">
        <v>0</v>
      </c>
    </row>
    <row r="1149" spans="1:7" hidden="1" x14ac:dyDescent="0.3">
      <c r="A1149" t="s">
        <v>31</v>
      </c>
      <c r="B1149" t="s">
        <v>32</v>
      </c>
      <c r="C1149" t="s">
        <v>7</v>
      </c>
      <c r="D1149" s="1">
        <v>45930</v>
      </c>
      <c r="E1149">
        <v>0</v>
      </c>
      <c r="F1149" s="2">
        <v>0</v>
      </c>
      <c r="G1149" s="2">
        <v>0</v>
      </c>
    </row>
    <row r="1150" spans="1:7" hidden="1" x14ac:dyDescent="0.3">
      <c r="A1150" t="s">
        <v>31</v>
      </c>
      <c r="B1150" t="s">
        <v>32</v>
      </c>
      <c r="C1150" t="s">
        <v>7</v>
      </c>
      <c r="D1150" s="1">
        <v>45961</v>
      </c>
      <c r="E1150">
        <v>0</v>
      </c>
      <c r="F1150" s="2">
        <v>0</v>
      </c>
      <c r="G1150" s="2">
        <v>0</v>
      </c>
    </row>
    <row r="1151" spans="1:7" hidden="1" x14ac:dyDescent="0.3">
      <c r="A1151" t="s">
        <v>31</v>
      </c>
      <c r="B1151" t="s">
        <v>32</v>
      </c>
      <c r="C1151" t="s">
        <v>7</v>
      </c>
      <c r="D1151" s="1">
        <v>45991</v>
      </c>
      <c r="E1151">
        <v>0</v>
      </c>
      <c r="F1151" s="2">
        <v>0</v>
      </c>
      <c r="G1151" s="2">
        <v>0</v>
      </c>
    </row>
    <row r="1152" spans="1:7" hidden="1" x14ac:dyDescent="0.3">
      <c r="A1152" t="s">
        <v>31</v>
      </c>
      <c r="B1152" t="s">
        <v>32</v>
      </c>
      <c r="C1152" t="s">
        <v>7</v>
      </c>
      <c r="D1152" s="1">
        <v>46022</v>
      </c>
      <c r="E1152">
        <v>0</v>
      </c>
      <c r="F1152" s="2">
        <v>0</v>
      </c>
      <c r="G1152" s="2">
        <v>0</v>
      </c>
    </row>
    <row r="1153" spans="1:7" hidden="1" x14ac:dyDescent="0.3">
      <c r="A1153" t="s">
        <v>381</v>
      </c>
      <c r="B1153" t="s">
        <v>382</v>
      </c>
      <c r="C1153" t="s">
        <v>7</v>
      </c>
      <c r="D1153" s="1">
        <v>45688</v>
      </c>
      <c r="E1153">
        <v>0</v>
      </c>
      <c r="F1153" s="2">
        <v>0</v>
      </c>
      <c r="G1153" s="2">
        <v>0</v>
      </c>
    </row>
    <row r="1154" spans="1:7" hidden="1" x14ac:dyDescent="0.3">
      <c r="A1154" t="s">
        <v>381</v>
      </c>
      <c r="B1154" t="s">
        <v>382</v>
      </c>
      <c r="C1154" t="s">
        <v>7</v>
      </c>
      <c r="D1154" s="1">
        <v>45716</v>
      </c>
      <c r="E1154">
        <v>0</v>
      </c>
      <c r="F1154" s="2">
        <v>0</v>
      </c>
      <c r="G1154" s="2">
        <v>0</v>
      </c>
    </row>
    <row r="1155" spans="1:7" hidden="1" x14ac:dyDescent="0.3">
      <c r="A1155" t="s">
        <v>381</v>
      </c>
      <c r="B1155" t="s">
        <v>382</v>
      </c>
      <c r="C1155" t="s">
        <v>7</v>
      </c>
      <c r="D1155" s="1">
        <v>45869</v>
      </c>
      <c r="E1155">
        <v>0</v>
      </c>
      <c r="F1155" s="2">
        <v>0</v>
      </c>
      <c r="G1155" s="2">
        <v>4000.4400000000005</v>
      </c>
    </row>
    <row r="1156" spans="1:7" hidden="1" x14ac:dyDescent="0.3">
      <c r="A1156" t="s">
        <v>381</v>
      </c>
      <c r="B1156" t="s">
        <v>382</v>
      </c>
      <c r="C1156" t="s">
        <v>7</v>
      </c>
      <c r="D1156" s="1">
        <v>45900</v>
      </c>
      <c r="E1156">
        <v>0</v>
      </c>
      <c r="F1156" s="2">
        <v>0</v>
      </c>
      <c r="G1156" s="2">
        <v>4000.4400000000005</v>
      </c>
    </row>
    <row r="1157" spans="1:7" hidden="1" x14ac:dyDescent="0.3">
      <c r="A1157" t="s">
        <v>381</v>
      </c>
      <c r="B1157" t="s">
        <v>382</v>
      </c>
      <c r="C1157" t="s">
        <v>7</v>
      </c>
      <c r="D1157" s="1">
        <v>45930</v>
      </c>
      <c r="E1157">
        <v>0</v>
      </c>
      <c r="F1157" s="2">
        <v>0</v>
      </c>
      <c r="G1157" s="2">
        <v>4000.4400000000005</v>
      </c>
    </row>
    <row r="1158" spans="1:7" hidden="1" x14ac:dyDescent="0.3">
      <c r="A1158" t="s">
        <v>381</v>
      </c>
      <c r="B1158" t="s">
        <v>382</v>
      </c>
      <c r="C1158" t="s">
        <v>7</v>
      </c>
      <c r="D1158" s="1">
        <v>45961</v>
      </c>
      <c r="E1158">
        <v>0</v>
      </c>
      <c r="F1158" s="2">
        <v>0</v>
      </c>
      <c r="G1158" s="2">
        <v>4000.4400000000005</v>
      </c>
    </row>
    <row r="1159" spans="1:7" hidden="1" x14ac:dyDescent="0.3">
      <c r="A1159" t="s">
        <v>381</v>
      </c>
      <c r="B1159" t="s">
        <v>382</v>
      </c>
      <c r="C1159" t="s">
        <v>7</v>
      </c>
      <c r="D1159" s="1">
        <v>45991</v>
      </c>
      <c r="E1159">
        <v>0</v>
      </c>
      <c r="F1159" s="2">
        <v>0</v>
      </c>
      <c r="G1159" s="2">
        <v>4000.4400000000005</v>
      </c>
    </row>
    <row r="1160" spans="1:7" hidden="1" x14ac:dyDescent="0.3">
      <c r="A1160" t="s">
        <v>381</v>
      </c>
      <c r="B1160" t="s">
        <v>382</v>
      </c>
      <c r="C1160" t="s">
        <v>7</v>
      </c>
      <c r="D1160" s="1">
        <v>46022</v>
      </c>
      <c r="E1160">
        <v>0</v>
      </c>
      <c r="F1160" s="2">
        <v>0</v>
      </c>
      <c r="G1160" s="2">
        <v>4000.4400000000005</v>
      </c>
    </row>
    <row r="1161" spans="1:7" hidden="1" x14ac:dyDescent="0.3">
      <c r="A1161" t="s">
        <v>163</v>
      </c>
      <c r="B1161" t="s">
        <v>164</v>
      </c>
      <c r="C1161" t="s">
        <v>8</v>
      </c>
      <c r="D1161" s="1">
        <v>45869</v>
      </c>
      <c r="E1161">
        <v>0</v>
      </c>
      <c r="F1161" s="2">
        <v>0</v>
      </c>
      <c r="G1161" s="2">
        <v>3116.12</v>
      </c>
    </row>
    <row r="1162" spans="1:7" hidden="1" x14ac:dyDescent="0.3">
      <c r="A1162" t="s">
        <v>163</v>
      </c>
      <c r="B1162" t="s">
        <v>164</v>
      </c>
      <c r="C1162" t="s">
        <v>8</v>
      </c>
      <c r="D1162" s="1">
        <v>45900</v>
      </c>
      <c r="E1162">
        <v>0</v>
      </c>
      <c r="F1162" s="2">
        <v>0</v>
      </c>
      <c r="G1162" s="2">
        <v>3116.12</v>
      </c>
    </row>
    <row r="1163" spans="1:7" hidden="1" x14ac:dyDescent="0.3">
      <c r="A1163" t="s">
        <v>163</v>
      </c>
      <c r="B1163" t="s">
        <v>164</v>
      </c>
      <c r="C1163" t="s">
        <v>8</v>
      </c>
      <c r="D1163" s="1">
        <v>45930</v>
      </c>
      <c r="E1163">
        <v>0</v>
      </c>
      <c r="F1163" s="2">
        <v>0</v>
      </c>
      <c r="G1163" s="2">
        <v>3116.12</v>
      </c>
    </row>
    <row r="1164" spans="1:7" hidden="1" x14ac:dyDescent="0.3">
      <c r="A1164" t="s">
        <v>163</v>
      </c>
      <c r="B1164" t="s">
        <v>164</v>
      </c>
      <c r="C1164" t="s">
        <v>8</v>
      </c>
      <c r="D1164" s="1">
        <v>45961</v>
      </c>
      <c r="E1164">
        <v>0</v>
      </c>
      <c r="F1164" s="2">
        <v>0</v>
      </c>
      <c r="G1164" s="2">
        <v>3116.12</v>
      </c>
    </row>
    <row r="1165" spans="1:7" hidden="1" x14ac:dyDescent="0.3">
      <c r="A1165" t="s">
        <v>163</v>
      </c>
      <c r="B1165" t="s">
        <v>164</v>
      </c>
      <c r="C1165" t="s">
        <v>8</v>
      </c>
      <c r="D1165" s="1">
        <v>45991</v>
      </c>
      <c r="E1165">
        <v>0</v>
      </c>
      <c r="F1165" s="2">
        <v>0</v>
      </c>
      <c r="G1165" s="2">
        <v>3116.12</v>
      </c>
    </row>
    <row r="1166" spans="1:7" hidden="1" x14ac:dyDescent="0.3">
      <c r="A1166" t="s">
        <v>163</v>
      </c>
      <c r="B1166" t="s">
        <v>164</v>
      </c>
      <c r="C1166" t="s">
        <v>8</v>
      </c>
      <c r="D1166" s="1">
        <v>46022</v>
      </c>
      <c r="E1166">
        <v>0</v>
      </c>
      <c r="F1166" s="2">
        <v>0</v>
      </c>
      <c r="G1166" s="2">
        <v>3116.12</v>
      </c>
    </row>
    <row r="1167" spans="1:7" hidden="1" x14ac:dyDescent="0.3">
      <c r="A1167" t="s">
        <v>339</v>
      </c>
      <c r="B1167" t="s">
        <v>340</v>
      </c>
      <c r="C1167" t="s">
        <v>8</v>
      </c>
      <c r="D1167" s="1">
        <v>45777</v>
      </c>
      <c r="E1167">
        <v>0</v>
      </c>
      <c r="F1167" s="2">
        <v>0</v>
      </c>
      <c r="G1167" s="2">
        <v>0</v>
      </c>
    </row>
    <row r="1168" spans="1:7" hidden="1" x14ac:dyDescent="0.3">
      <c r="A1168" t="s">
        <v>339</v>
      </c>
      <c r="B1168" t="s">
        <v>340</v>
      </c>
      <c r="C1168" t="s">
        <v>8</v>
      </c>
      <c r="D1168" s="1">
        <v>45808</v>
      </c>
      <c r="E1168">
        <v>0</v>
      </c>
      <c r="F1168" s="2">
        <v>0</v>
      </c>
      <c r="G1168" s="2">
        <v>0</v>
      </c>
    </row>
    <row r="1169" spans="1:7" hidden="1" x14ac:dyDescent="0.3">
      <c r="A1169" t="s">
        <v>383</v>
      </c>
      <c r="B1169" t="s">
        <v>340</v>
      </c>
      <c r="C1169" t="s">
        <v>8</v>
      </c>
      <c r="D1169" s="1">
        <v>45688</v>
      </c>
      <c r="E1169">
        <v>0</v>
      </c>
      <c r="F1169" s="2">
        <v>0</v>
      </c>
      <c r="G1169" s="2">
        <v>0</v>
      </c>
    </row>
    <row r="1170" spans="1:7" hidden="1" x14ac:dyDescent="0.3">
      <c r="A1170" t="s">
        <v>383</v>
      </c>
      <c r="B1170" t="s">
        <v>340</v>
      </c>
      <c r="C1170" t="s">
        <v>8</v>
      </c>
      <c r="D1170" s="1">
        <v>45716</v>
      </c>
      <c r="E1170">
        <v>0</v>
      </c>
      <c r="F1170" s="2">
        <v>0</v>
      </c>
      <c r="G1170" s="2">
        <v>0</v>
      </c>
    </row>
    <row r="1171" spans="1:7" hidden="1" x14ac:dyDescent="0.3">
      <c r="A1171" t="s">
        <v>383</v>
      </c>
      <c r="B1171" t="s">
        <v>340</v>
      </c>
      <c r="C1171" t="s">
        <v>8</v>
      </c>
      <c r="D1171" s="1">
        <v>45869</v>
      </c>
      <c r="E1171">
        <v>0</v>
      </c>
      <c r="F1171" s="2">
        <v>0</v>
      </c>
      <c r="G1171" s="2">
        <v>1810.5733333333328</v>
      </c>
    </row>
    <row r="1172" spans="1:7" hidden="1" x14ac:dyDescent="0.3">
      <c r="A1172" t="s">
        <v>383</v>
      </c>
      <c r="B1172" t="s">
        <v>340</v>
      </c>
      <c r="C1172" t="s">
        <v>8</v>
      </c>
      <c r="D1172" s="1">
        <v>45900</v>
      </c>
      <c r="E1172">
        <v>0</v>
      </c>
      <c r="F1172" s="2">
        <v>0</v>
      </c>
      <c r="G1172" s="2">
        <v>1810.5733333333328</v>
      </c>
    </row>
    <row r="1173" spans="1:7" hidden="1" x14ac:dyDescent="0.3">
      <c r="A1173" t="s">
        <v>383</v>
      </c>
      <c r="B1173" t="s">
        <v>340</v>
      </c>
      <c r="C1173" t="s">
        <v>8</v>
      </c>
      <c r="D1173" s="1">
        <v>45930</v>
      </c>
      <c r="E1173">
        <v>0</v>
      </c>
      <c r="F1173" s="2">
        <v>0</v>
      </c>
      <c r="G1173" s="2">
        <v>1810.5733333333328</v>
      </c>
    </row>
    <row r="1174" spans="1:7" hidden="1" x14ac:dyDescent="0.3">
      <c r="A1174" t="s">
        <v>383</v>
      </c>
      <c r="B1174" t="s">
        <v>340</v>
      </c>
      <c r="C1174" t="s">
        <v>8</v>
      </c>
      <c r="D1174" s="1">
        <v>45961</v>
      </c>
      <c r="E1174">
        <v>0</v>
      </c>
      <c r="F1174" s="2">
        <v>0</v>
      </c>
      <c r="G1174" s="2">
        <v>1810.5733333333328</v>
      </c>
    </row>
    <row r="1175" spans="1:7" hidden="1" x14ac:dyDescent="0.3">
      <c r="A1175" t="s">
        <v>383</v>
      </c>
      <c r="B1175" t="s">
        <v>340</v>
      </c>
      <c r="C1175" t="s">
        <v>8</v>
      </c>
      <c r="D1175" s="1">
        <v>45991</v>
      </c>
      <c r="E1175">
        <v>0</v>
      </c>
      <c r="F1175" s="2">
        <v>0</v>
      </c>
      <c r="G1175" s="2">
        <v>1810.5733333333328</v>
      </c>
    </row>
    <row r="1176" spans="1:7" hidden="1" x14ac:dyDescent="0.3">
      <c r="A1176" t="s">
        <v>383</v>
      </c>
      <c r="B1176" t="s">
        <v>340</v>
      </c>
      <c r="C1176" t="s">
        <v>8</v>
      </c>
      <c r="D1176" s="1">
        <v>46022</v>
      </c>
      <c r="E1176">
        <v>0</v>
      </c>
      <c r="F1176" s="2">
        <v>0</v>
      </c>
      <c r="G1176" s="2">
        <v>1810.5733333333328</v>
      </c>
    </row>
    <row r="1177" spans="1:7" hidden="1" x14ac:dyDescent="0.3">
      <c r="A1177" t="s">
        <v>213</v>
      </c>
      <c r="B1177" t="s">
        <v>214</v>
      </c>
      <c r="C1177" t="s">
        <v>8</v>
      </c>
      <c r="D1177" s="1">
        <v>45869</v>
      </c>
      <c r="E1177">
        <v>0</v>
      </c>
      <c r="F1177" s="2">
        <v>0</v>
      </c>
      <c r="G1177" s="2">
        <v>2930.5039999999999</v>
      </c>
    </row>
    <row r="1178" spans="1:7" hidden="1" x14ac:dyDescent="0.3">
      <c r="A1178" t="s">
        <v>213</v>
      </c>
      <c r="B1178" t="s">
        <v>214</v>
      </c>
      <c r="C1178" t="s">
        <v>8</v>
      </c>
      <c r="D1178" s="1">
        <v>45900</v>
      </c>
      <c r="E1178">
        <v>0</v>
      </c>
      <c r="F1178" s="2">
        <v>0</v>
      </c>
      <c r="G1178" s="2">
        <v>2930.5039999999999</v>
      </c>
    </row>
    <row r="1179" spans="1:7" hidden="1" x14ac:dyDescent="0.3">
      <c r="A1179" t="s">
        <v>213</v>
      </c>
      <c r="B1179" t="s">
        <v>214</v>
      </c>
      <c r="C1179" t="s">
        <v>8</v>
      </c>
      <c r="D1179" s="1">
        <v>45930</v>
      </c>
      <c r="E1179">
        <v>0</v>
      </c>
      <c r="F1179" s="2">
        <v>0</v>
      </c>
      <c r="G1179" s="2">
        <v>2930.5039999999999</v>
      </c>
    </row>
    <row r="1180" spans="1:7" hidden="1" x14ac:dyDescent="0.3">
      <c r="A1180" t="s">
        <v>213</v>
      </c>
      <c r="B1180" t="s">
        <v>214</v>
      </c>
      <c r="C1180" t="s">
        <v>8</v>
      </c>
      <c r="D1180" s="1">
        <v>45961</v>
      </c>
      <c r="E1180">
        <v>0</v>
      </c>
      <c r="F1180" s="2">
        <v>0</v>
      </c>
      <c r="G1180" s="2">
        <v>2930.5039999999999</v>
      </c>
    </row>
    <row r="1181" spans="1:7" hidden="1" x14ac:dyDescent="0.3">
      <c r="A1181" t="s">
        <v>213</v>
      </c>
      <c r="B1181" t="s">
        <v>214</v>
      </c>
      <c r="C1181" t="s">
        <v>8</v>
      </c>
      <c r="D1181" s="1">
        <v>45991</v>
      </c>
      <c r="E1181">
        <v>0</v>
      </c>
      <c r="F1181" s="2">
        <v>0</v>
      </c>
      <c r="G1181" s="2">
        <v>2930.5039999999999</v>
      </c>
    </row>
    <row r="1182" spans="1:7" hidden="1" x14ac:dyDescent="0.3">
      <c r="A1182" t="s">
        <v>213</v>
      </c>
      <c r="B1182" t="s">
        <v>214</v>
      </c>
      <c r="C1182" t="s">
        <v>8</v>
      </c>
      <c r="D1182" s="1">
        <v>46022</v>
      </c>
      <c r="E1182">
        <v>0</v>
      </c>
      <c r="F1182" s="2">
        <v>0</v>
      </c>
      <c r="G1182" s="2">
        <v>2930.5039999999999</v>
      </c>
    </row>
    <row r="1183" spans="1:7" hidden="1" x14ac:dyDescent="0.3">
      <c r="A1183" t="s">
        <v>195</v>
      </c>
      <c r="B1183" t="s">
        <v>196</v>
      </c>
      <c r="C1183" t="s">
        <v>8</v>
      </c>
      <c r="D1183" s="1">
        <v>45869</v>
      </c>
      <c r="E1183">
        <v>0</v>
      </c>
      <c r="F1183" s="2">
        <v>0</v>
      </c>
      <c r="G1183" s="2">
        <v>4298.1379999999999</v>
      </c>
    </row>
    <row r="1184" spans="1:7" hidden="1" x14ac:dyDescent="0.3">
      <c r="A1184" t="s">
        <v>195</v>
      </c>
      <c r="B1184" t="s">
        <v>196</v>
      </c>
      <c r="C1184" t="s">
        <v>8</v>
      </c>
      <c r="D1184" s="1">
        <v>45900</v>
      </c>
      <c r="E1184">
        <v>0</v>
      </c>
      <c r="F1184" s="2">
        <v>0</v>
      </c>
      <c r="G1184" s="2">
        <v>4298.1379999999999</v>
      </c>
    </row>
    <row r="1185" spans="1:7" hidden="1" x14ac:dyDescent="0.3">
      <c r="A1185" t="s">
        <v>195</v>
      </c>
      <c r="B1185" t="s">
        <v>196</v>
      </c>
      <c r="C1185" t="s">
        <v>8</v>
      </c>
      <c r="D1185" s="1">
        <v>45930</v>
      </c>
      <c r="E1185">
        <v>0</v>
      </c>
      <c r="F1185" s="2">
        <v>0</v>
      </c>
      <c r="G1185" s="2">
        <v>4298.1379999999999</v>
      </c>
    </row>
    <row r="1186" spans="1:7" hidden="1" x14ac:dyDescent="0.3">
      <c r="A1186" t="s">
        <v>195</v>
      </c>
      <c r="B1186" t="s">
        <v>196</v>
      </c>
      <c r="C1186" t="s">
        <v>8</v>
      </c>
      <c r="D1186" s="1">
        <v>45961</v>
      </c>
      <c r="E1186">
        <v>0</v>
      </c>
      <c r="F1186" s="2">
        <v>0</v>
      </c>
      <c r="G1186" s="2">
        <v>4298.1379999999999</v>
      </c>
    </row>
    <row r="1187" spans="1:7" hidden="1" x14ac:dyDescent="0.3">
      <c r="A1187" t="s">
        <v>195</v>
      </c>
      <c r="B1187" t="s">
        <v>196</v>
      </c>
      <c r="C1187" t="s">
        <v>8</v>
      </c>
      <c r="D1187" s="1">
        <v>45991</v>
      </c>
      <c r="E1187">
        <v>0</v>
      </c>
      <c r="F1187" s="2">
        <v>0</v>
      </c>
      <c r="G1187" s="2">
        <v>4298.1379999999999</v>
      </c>
    </row>
    <row r="1188" spans="1:7" hidden="1" x14ac:dyDescent="0.3">
      <c r="A1188" t="s">
        <v>195</v>
      </c>
      <c r="B1188" t="s">
        <v>196</v>
      </c>
      <c r="C1188" t="s">
        <v>8</v>
      </c>
      <c r="D1188" s="1">
        <v>46022</v>
      </c>
      <c r="E1188">
        <v>0</v>
      </c>
      <c r="F1188" s="2">
        <v>0</v>
      </c>
      <c r="G1188" s="2">
        <v>4298.1379999999999</v>
      </c>
    </row>
    <row r="1189" spans="1:7" hidden="1" x14ac:dyDescent="0.3">
      <c r="A1189" t="s">
        <v>279</v>
      </c>
      <c r="B1189" t="s">
        <v>280</v>
      </c>
      <c r="C1189" t="s">
        <v>8</v>
      </c>
      <c r="D1189" s="1">
        <v>45688</v>
      </c>
      <c r="E1189">
        <v>0</v>
      </c>
      <c r="F1189" s="2">
        <v>0</v>
      </c>
      <c r="G1189" s="2">
        <v>2257.94</v>
      </c>
    </row>
    <row r="1190" spans="1:7" hidden="1" x14ac:dyDescent="0.3">
      <c r="A1190" t="s">
        <v>279</v>
      </c>
      <c r="B1190" t="s">
        <v>280</v>
      </c>
      <c r="C1190" t="s">
        <v>8</v>
      </c>
      <c r="D1190" s="1">
        <v>45716</v>
      </c>
      <c r="E1190">
        <v>0</v>
      </c>
      <c r="F1190" s="2">
        <v>0</v>
      </c>
      <c r="G1190" s="2">
        <v>1941.6399999999999</v>
      </c>
    </row>
    <row r="1191" spans="1:7" hidden="1" x14ac:dyDescent="0.3">
      <c r="A1191" t="s">
        <v>279</v>
      </c>
      <c r="B1191" t="s">
        <v>280</v>
      </c>
      <c r="C1191" t="s">
        <v>8</v>
      </c>
      <c r="D1191" s="1">
        <v>45747</v>
      </c>
      <c r="E1191">
        <v>0</v>
      </c>
      <c r="F1191" s="2">
        <v>0</v>
      </c>
      <c r="G1191" s="2">
        <v>1931.0699999999997</v>
      </c>
    </row>
    <row r="1192" spans="1:7" hidden="1" x14ac:dyDescent="0.3">
      <c r="A1192" t="s">
        <v>279</v>
      </c>
      <c r="B1192" t="s">
        <v>280</v>
      </c>
      <c r="C1192" t="s">
        <v>8</v>
      </c>
      <c r="D1192" s="1">
        <v>45777</v>
      </c>
      <c r="E1192">
        <v>0</v>
      </c>
      <c r="F1192" s="2">
        <v>0</v>
      </c>
      <c r="G1192" s="2">
        <v>1892.33</v>
      </c>
    </row>
    <row r="1193" spans="1:7" hidden="1" x14ac:dyDescent="0.3">
      <c r="A1193" t="s">
        <v>279</v>
      </c>
      <c r="B1193" t="s">
        <v>280</v>
      </c>
      <c r="C1193" t="s">
        <v>8</v>
      </c>
      <c r="D1193" s="1">
        <v>45869</v>
      </c>
      <c r="E1193">
        <v>0</v>
      </c>
      <c r="F1193" s="2">
        <v>0</v>
      </c>
      <c r="G1193" s="2">
        <v>1969.7039999999997</v>
      </c>
    </row>
    <row r="1194" spans="1:7" hidden="1" x14ac:dyDescent="0.3">
      <c r="A1194" t="s">
        <v>279</v>
      </c>
      <c r="B1194" t="s">
        <v>280</v>
      </c>
      <c r="C1194" t="s">
        <v>8</v>
      </c>
      <c r="D1194" s="1">
        <v>45900</v>
      </c>
      <c r="E1194">
        <v>0</v>
      </c>
      <c r="F1194" s="2">
        <v>0</v>
      </c>
      <c r="G1194" s="2">
        <v>1969.7039999999997</v>
      </c>
    </row>
    <row r="1195" spans="1:7" hidden="1" x14ac:dyDescent="0.3">
      <c r="A1195" t="s">
        <v>279</v>
      </c>
      <c r="B1195" t="s">
        <v>280</v>
      </c>
      <c r="C1195" t="s">
        <v>8</v>
      </c>
      <c r="D1195" s="1">
        <v>45930</v>
      </c>
      <c r="E1195">
        <v>0</v>
      </c>
      <c r="F1195" s="2">
        <v>0</v>
      </c>
      <c r="G1195" s="2">
        <v>1969.7039999999997</v>
      </c>
    </row>
    <row r="1196" spans="1:7" hidden="1" x14ac:dyDescent="0.3">
      <c r="A1196" t="s">
        <v>279</v>
      </c>
      <c r="B1196" t="s">
        <v>280</v>
      </c>
      <c r="C1196" t="s">
        <v>8</v>
      </c>
      <c r="D1196" s="1">
        <v>45961</v>
      </c>
      <c r="E1196">
        <v>0</v>
      </c>
      <c r="F1196" s="2">
        <v>0</v>
      </c>
      <c r="G1196" s="2">
        <v>1969.7039999999997</v>
      </c>
    </row>
    <row r="1197" spans="1:7" hidden="1" x14ac:dyDescent="0.3">
      <c r="A1197" t="s">
        <v>279</v>
      </c>
      <c r="B1197" t="s">
        <v>280</v>
      </c>
      <c r="C1197" t="s">
        <v>8</v>
      </c>
      <c r="D1197" s="1">
        <v>45991</v>
      </c>
      <c r="E1197">
        <v>0</v>
      </c>
      <c r="F1197" s="2">
        <v>0</v>
      </c>
      <c r="G1197" s="2">
        <v>1969.7039999999997</v>
      </c>
    </row>
    <row r="1198" spans="1:7" hidden="1" x14ac:dyDescent="0.3">
      <c r="A1198" t="s">
        <v>279</v>
      </c>
      <c r="B1198" t="s">
        <v>280</v>
      </c>
      <c r="C1198" t="s">
        <v>8</v>
      </c>
      <c r="D1198" s="1">
        <v>46022</v>
      </c>
      <c r="E1198">
        <v>0</v>
      </c>
      <c r="F1198" s="2">
        <v>0</v>
      </c>
      <c r="G1198" s="2">
        <v>1969.7039999999997</v>
      </c>
    </row>
    <row r="1199" spans="1:7" hidden="1" x14ac:dyDescent="0.3">
      <c r="A1199" t="s">
        <v>147</v>
      </c>
      <c r="B1199" t="s">
        <v>148</v>
      </c>
      <c r="C1199" t="s">
        <v>8</v>
      </c>
      <c r="D1199" s="1">
        <v>45869</v>
      </c>
      <c r="E1199">
        <v>0</v>
      </c>
      <c r="F1199" s="2">
        <v>0</v>
      </c>
      <c r="G1199" s="2">
        <v>3048.0119999999997</v>
      </c>
    </row>
    <row r="1200" spans="1:7" hidden="1" x14ac:dyDescent="0.3">
      <c r="A1200" t="s">
        <v>147</v>
      </c>
      <c r="B1200" t="s">
        <v>148</v>
      </c>
      <c r="C1200" t="s">
        <v>8</v>
      </c>
      <c r="D1200" s="1">
        <v>45900</v>
      </c>
      <c r="E1200">
        <v>0</v>
      </c>
      <c r="F1200" s="2">
        <v>0</v>
      </c>
      <c r="G1200" s="2">
        <v>3048.0119999999997</v>
      </c>
    </row>
    <row r="1201" spans="1:7" hidden="1" x14ac:dyDescent="0.3">
      <c r="A1201" t="s">
        <v>147</v>
      </c>
      <c r="B1201" t="s">
        <v>148</v>
      </c>
      <c r="C1201" t="s">
        <v>8</v>
      </c>
      <c r="D1201" s="1">
        <v>45930</v>
      </c>
      <c r="E1201">
        <v>0</v>
      </c>
      <c r="F1201" s="2">
        <v>0</v>
      </c>
      <c r="G1201" s="2">
        <v>3048.0119999999997</v>
      </c>
    </row>
    <row r="1202" spans="1:7" hidden="1" x14ac:dyDescent="0.3">
      <c r="A1202" t="s">
        <v>147</v>
      </c>
      <c r="B1202" t="s">
        <v>148</v>
      </c>
      <c r="C1202" t="s">
        <v>8</v>
      </c>
      <c r="D1202" s="1">
        <v>45961</v>
      </c>
      <c r="E1202">
        <v>0</v>
      </c>
      <c r="F1202" s="2">
        <v>0</v>
      </c>
      <c r="G1202" s="2">
        <v>3048.0119999999997</v>
      </c>
    </row>
    <row r="1203" spans="1:7" hidden="1" x14ac:dyDescent="0.3">
      <c r="A1203" t="s">
        <v>147</v>
      </c>
      <c r="B1203" t="s">
        <v>148</v>
      </c>
      <c r="C1203" t="s">
        <v>8</v>
      </c>
      <c r="D1203" s="1">
        <v>45991</v>
      </c>
      <c r="E1203">
        <v>0</v>
      </c>
      <c r="F1203" s="2">
        <v>0</v>
      </c>
      <c r="G1203" s="2">
        <v>3048.0119999999997</v>
      </c>
    </row>
    <row r="1204" spans="1:7" hidden="1" x14ac:dyDescent="0.3">
      <c r="A1204" t="s">
        <v>147</v>
      </c>
      <c r="B1204" t="s">
        <v>148</v>
      </c>
      <c r="C1204" t="s">
        <v>8</v>
      </c>
      <c r="D1204" s="1">
        <v>46022</v>
      </c>
      <c r="E1204">
        <v>0</v>
      </c>
      <c r="F1204" s="2">
        <v>0</v>
      </c>
      <c r="G1204" s="2">
        <v>3048.0119999999997</v>
      </c>
    </row>
    <row r="1205" spans="1:7" hidden="1" x14ac:dyDescent="0.3">
      <c r="B1205" t="s">
        <v>425</v>
      </c>
      <c r="C1205" t="s">
        <v>8</v>
      </c>
      <c r="D1205" s="1">
        <v>45961</v>
      </c>
      <c r="E1205">
        <v>0</v>
      </c>
      <c r="F1205" s="2">
        <v>0</v>
      </c>
      <c r="G1205" s="2">
        <v>2000</v>
      </c>
    </row>
    <row r="1206" spans="1:7" hidden="1" x14ac:dyDescent="0.3">
      <c r="B1206" t="s">
        <v>425</v>
      </c>
      <c r="C1206" t="s">
        <v>8</v>
      </c>
      <c r="D1206" s="1">
        <v>45991</v>
      </c>
      <c r="E1206">
        <v>0</v>
      </c>
      <c r="F1206" s="2">
        <v>0</v>
      </c>
      <c r="G1206" s="2">
        <v>2000</v>
      </c>
    </row>
    <row r="1207" spans="1:7" hidden="1" x14ac:dyDescent="0.3">
      <c r="B1207" t="s">
        <v>425</v>
      </c>
      <c r="C1207" t="s">
        <v>8</v>
      </c>
      <c r="D1207" s="1">
        <v>46022</v>
      </c>
      <c r="E1207">
        <v>0</v>
      </c>
      <c r="F1207" s="2">
        <v>0</v>
      </c>
      <c r="G1207" s="2">
        <v>2000</v>
      </c>
    </row>
    <row r="1208" spans="1:7" hidden="1" x14ac:dyDescent="0.3">
      <c r="A1208" t="s">
        <v>211</v>
      </c>
      <c r="B1208" t="s">
        <v>212</v>
      </c>
      <c r="C1208" t="s">
        <v>9</v>
      </c>
      <c r="D1208" s="1">
        <v>45869</v>
      </c>
      <c r="E1208">
        <v>0</v>
      </c>
      <c r="F1208" s="2">
        <v>0</v>
      </c>
      <c r="G1208" s="2">
        <v>4340.5860000000002</v>
      </c>
    </row>
    <row r="1209" spans="1:7" hidden="1" x14ac:dyDescent="0.3">
      <c r="A1209" t="s">
        <v>211</v>
      </c>
      <c r="B1209" t="s">
        <v>212</v>
      </c>
      <c r="C1209" t="s">
        <v>9</v>
      </c>
      <c r="D1209" s="1">
        <v>45900</v>
      </c>
      <c r="E1209">
        <v>0</v>
      </c>
      <c r="F1209" s="2">
        <v>0</v>
      </c>
      <c r="G1209" s="2">
        <v>4340.5860000000002</v>
      </c>
    </row>
    <row r="1210" spans="1:7" hidden="1" x14ac:dyDescent="0.3">
      <c r="A1210" t="s">
        <v>211</v>
      </c>
      <c r="B1210" t="s">
        <v>212</v>
      </c>
      <c r="C1210" t="s">
        <v>9</v>
      </c>
      <c r="D1210" s="1">
        <v>45930</v>
      </c>
      <c r="E1210">
        <v>0</v>
      </c>
      <c r="F1210" s="2">
        <v>0</v>
      </c>
      <c r="G1210" s="2">
        <v>4340.5860000000002</v>
      </c>
    </row>
    <row r="1211" spans="1:7" hidden="1" x14ac:dyDescent="0.3">
      <c r="A1211" t="s">
        <v>211</v>
      </c>
      <c r="B1211" t="s">
        <v>212</v>
      </c>
      <c r="C1211" t="s">
        <v>9</v>
      </c>
      <c r="D1211" s="1">
        <v>45961</v>
      </c>
      <c r="E1211">
        <v>0</v>
      </c>
      <c r="F1211" s="2">
        <v>0</v>
      </c>
      <c r="G1211" s="2">
        <v>4340.5860000000002</v>
      </c>
    </row>
    <row r="1212" spans="1:7" hidden="1" x14ac:dyDescent="0.3">
      <c r="A1212" t="s">
        <v>211</v>
      </c>
      <c r="B1212" t="s">
        <v>212</v>
      </c>
      <c r="C1212" t="s">
        <v>9</v>
      </c>
      <c r="D1212" s="1">
        <v>45991</v>
      </c>
      <c r="E1212">
        <v>0</v>
      </c>
      <c r="F1212" s="2">
        <v>0</v>
      </c>
      <c r="G1212" s="2">
        <v>4340.5860000000002</v>
      </c>
    </row>
    <row r="1213" spans="1:7" hidden="1" x14ac:dyDescent="0.3">
      <c r="A1213" t="s">
        <v>211</v>
      </c>
      <c r="B1213" t="s">
        <v>212</v>
      </c>
      <c r="C1213" t="s">
        <v>9</v>
      </c>
      <c r="D1213" s="1">
        <v>46022</v>
      </c>
      <c r="E1213">
        <v>0</v>
      </c>
      <c r="F1213" s="2">
        <v>0</v>
      </c>
      <c r="G1213" s="2">
        <v>4340.5860000000002</v>
      </c>
    </row>
    <row r="1214" spans="1:7" hidden="1" x14ac:dyDescent="0.3">
      <c r="A1214" t="s">
        <v>185</v>
      </c>
      <c r="B1214" t="s">
        <v>186</v>
      </c>
      <c r="C1214" t="s">
        <v>10</v>
      </c>
      <c r="D1214" s="1">
        <v>45869</v>
      </c>
      <c r="E1214">
        <v>0</v>
      </c>
      <c r="F1214" s="2">
        <v>0</v>
      </c>
      <c r="G1214" s="2">
        <v>2900.1400000000003</v>
      </c>
    </row>
    <row r="1215" spans="1:7" hidden="1" x14ac:dyDescent="0.3">
      <c r="A1215" t="s">
        <v>185</v>
      </c>
      <c r="B1215" t="s">
        <v>186</v>
      </c>
      <c r="C1215" t="s">
        <v>10</v>
      </c>
      <c r="D1215" s="1">
        <v>45900</v>
      </c>
      <c r="E1215">
        <v>0</v>
      </c>
      <c r="F1215" s="2">
        <v>0</v>
      </c>
      <c r="G1215" s="2">
        <v>2900.1400000000003</v>
      </c>
    </row>
    <row r="1216" spans="1:7" hidden="1" x14ac:dyDescent="0.3">
      <c r="A1216" t="s">
        <v>185</v>
      </c>
      <c r="B1216" t="s">
        <v>186</v>
      </c>
      <c r="C1216" t="s">
        <v>10</v>
      </c>
      <c r="D1216" s="1">
        <v>45930</v>
      </c>
      <c r="E1216">
        <v>0</v>
      </c>
      <c r="F1216" s="2">
        <v>0</v>
      </c>
      <c r="G1216" s="2">
        <v>2900.1400000000003</v>
      </c>
    </row>
    <row r="1217" spans="1:7" hidden="1" x14ac:dyDescent="0.3">
      <c r="A1217" t="s">
        <v>185</v>
      </c>
      <c r="B1217" t="s">
        <v>186</v>
      </c>
      <c r="C1217" t="s">
        <v>10</v>
      </c>
      <c r="D1217" s="1">
        <v>45961</v>
      </c>
      <c r="E1217">
        <v>0</v>
      </c>
      <c r="F1217" s="2">
        <v>0</v>
      </c>
      <c r="G1217" s="2">
        <v>2900.1400000000003</v>
      </c>
    </row>
    <row r="1218" spans="1:7" hidden="1" x14ac:dyDescent="0.3">
      <c r="A1218" t="s">
        <v>185</v>
      </c>
      <c r="B1218" t="s">
        <v>186</v>
      </c>
      <c r="C1218" t="s">
        <v>10</v>
      </c>
      <c r="D1218" s="1">
        <v>45991</v>
      </c>
      <c r="E1218">
        <v>0</v>
      </c>
      <c r="F1218" s="2">
        <v>0</v>
      </c>
      <c r="G1218" s="2">
        <v>2900.1400000000003</v>
      </c>
    </row>
    <row r="1219" spans="1:7" hidden="1" x14ac:dyDescent="0.3">
      <c r="A1219" t="s">
        <v>185</v>
      </c>
      <c r="B1219" t="s">
        <v>186</v>
      </c>
      <c r="C1219" t="s">
        <v>10</v>
      </c>
      <c r="D1219" s="1">
        <v>46022</v>
      </c>
      <c r="E1219">
        <v>0</v>
      </c>
      <c r="F1219" s="2">
        <v>0</v>
      </c>
      <c r="G1219" s="2">
        <v>2900.1400000000003</v>
      </c>
    </row>
    <row r="1220" spans="1:7" hidden="1" x14ac:dyDescent="0.3">
      <c r="A1220" t="s">
        <v>309</v>
      </c>
      <c r="B1220" t="s">
        <v>310</v>
      </c>
      <c r="C1220" t="s">
        <v>10</v>
      </c>
      <c r="D1220" s="1">
        <v>45869</v>
      </c>
      <c r="E1220">
        <v>0</v>
      </c>
      <c r="F1220" s="2">
        <v>0</v>
      </c>
      <c r="G1220" s="2">
        <v>3296.2920000000004</v>
      </c>
    </row>
    <row r="1221" spans="1:7" hidden="1" x14ac:dyDescent="0.3">
      <c r="A1221" t="s">
        <v>309</v>
      </c>
      <c r="B1221" t="s">
        <v>310</v>
      </c>
      <c r="C1221" t="s">
        <v>10</v>
      </c>
      <c r="D1221" s="1">
        <v>45900</v>
      </c>
      <c r="E1221">
        <v>0</v>
      </c>
      <c r="F1221" s="2">
        <v>0</v>
      </c>
      <c r="G1221" s="2">
        <v>3296.2920000000004</v>
      </c>
    </row>
    <row r="1222" spans="1:7" hidden="1" x14ac:dyDescent="0.3">
      <c r="A1222" t="s">
        <v>309</v>
      </c>
      <c r="B1222" t="s">
        <v>310</v>
      </c>
      <c r="C1222" t="s">
        <v>10</v>
      </c>
      <c r="D1222" s="1">
        <v>45930</v>
      </c>
      <c r="E1222">
        <v>0</v>
      </c>
      <c r="F1222" s="2">
        <v>0</v>
      </c>
      <c r="G1222" s="2">
        <v>3296.2920000000004</v>
      </c>
    </row>
    <row r="1223" spans="1:7" hidden="1" x14ac:dyDescent="0.3">
      <c r="A1223" t="s">
        <v>309</v>
      </c>
      <c r="B1223" t="s">
        <v>310</v>
      </c>
      <c r="C1223" t="s">
        <v>10</v>
      </c>
      <c r="D1223" s="1">
        <v>45961</v>
      </c>
      <c r="E1223">
        <v>0</v>
      </c>
      <c r="F1223" s="2">
        <v>0</v>
      </c>
      <c r="G1223" s="2">
        <v>3296.2920000000004</v>
      </c>
    </row>
    <row r="1224" spans="1:7" hidden="1" x14ac:dyDescent="0.3">
      <c r="A1224" t="s">
        <v>309</v>
      </c>
      <c r="B1224" t="s">
        <v>310</v>
      </c>
      <c r="C1224" t="s">
        <v>10</v>
      </c>
      <c r="D1224" s="1">
        <v>45991</v>
      </c>
      <c r="E1224">
        <v>0</v>
      </c>
      <c r="F1224" s="2">
        <v>0</v>
      </c>
      <c r="G1224" s="2">
        <v>3296.2920000000004</v>
      </c>
    </row>
    <row r="1225" spans="1:7" hidden="1" x14ac:dyDescent="0.3">
      <c r="A1225" t="s">
        <v>309</v>
      </c>
      <c r="B1225" t="s">
        <v>310</v>
      </c>
      <c r="C1225" t="s">
        <v>10</v>
      </c>
      <c r="D1225" s="1">
        <v>46022</v>
      </c>
      <c r="E1225">
        <v>0</v>
      </c>
      <c r="F1225" s="2">
        <v>0</v>
      </c>
      <c r="G1225" s="2">
        <v>3296.2920000000004</v>
      </c>
    </row>
    <row r="1226" spans="1:7" hidden="1" x14ac:dyDescent="0.3">
      <c r="A1226" t="s">
        <v>267</v>
      </c>
      <c r="B1226" t="s">
        <v>268</v>
      </c>
      <c r="C1226" t="s">
        <v>10</v>
      </c>
      <c r="D1226" s="1">
        <v>45869</v>
      </c>
      <c r="E1226">
        <v>0</v>
      </c>
      <c r="F1226" s="2">
        <v>0</v>
      </c>
      <c r="G1226" s="2">
        <v>2442.16</v>
      </c>
    </row>
    <row r="1227" spans="1:7" hidden="1" x14ac:dyDescent="0.3">
      <c r="A1227" t="s">
        <v>267</v>
      </c>
      <c r="B1227" t="s">
        <v>268</v>
      </c>
      <c r="C1227" t="s">
        <v>10</v>
      </c>
      <c r="D1227" s="1">
        <v>45900</v>
      </c>
      <c r="E1227">
        <v>0</v>
      </c>
      <c r="F1227" s="2">
        <v>0</v>
      </c>
      <c r="G1227" s="2">
        <v>2442.16</v>
      </c>
    </row>
    <row r="1228" spans="1:7" hidden="1" x14ac:dyDescent="0.3">
      <c r="A1228" t="s">
        <v>267</v>
      </c>
      <c r="B1228" t="s">
        <v>268</v>
      </c>
      <c r="C1228" t="s">
        <v>10</v>
      </c>
      <c r="D1228" s="1">
        <v>45930</v>
      </c>
      <c r="E1228">
        <v>0</v>
      </c>
      <c r="F1228" s="2">
        <v>0</v>
      </c>
      <c r="G1228" s="2">
        <v>2442.16</v>
      </c>
    </row>
    <row r="1229" spans="1:7" hidden="1" x14ac:dyDescent="0.3">
      <c r="A1229" t="s">
        <v>267</v>
      </c>
      <c r="B1229" t="s">
        <v>268</v>
      </c>
      <c r="C1229" t="s">
        <v>10</v>
      </c>
      <c r="D1229" s="1">
        <v>45961</v>
      </c>
      <c r="E1229">
        <v>0</v>
      </c>
      <c r="F1229" s="2">
        <v>0</v>
      </c>
      <c r="G1229" s="2">
        <v>2442.16</v>
      </c>
    </row>
    <row r="1230" spans="1:7" hidden="1" x14ac:dyDescent="0.3">
      <c r="A1230" t="s">
        <v>267</v>
      </c>
      <c r="B1230" t="s">
        <v>268</v>
      </c>
      <c r="C1230" t="s">
        <v>10</v>
      </c>
      <c r="D1230" s="1">
        <v>45991</v>
      </c>
      <c r="E1230">
        <v>0</v>
      </c>
      <c r="F1230" s="2">
        <v>0</v>
      </c>
      <c r="G1230" s="2">
        <v>2442.16</v>
      </c>
    </row>
    <row r="1231" spans="1:7" hidden="1" x14ac:dyDescent="0.3">
      <c r="A1231" t="s">
        <v>267</v>
      </c>
      <c r="B1231" t="s">
        <v>268</v>
      </c>
      <c r="C1231" t="s">
        <v>10</v>
      </c>
      <c r="D1231" s="1">
        <v>46022</v>
      </c>
      <c r="E1231">
        <v>0</v>
      </c>
      <c r="F1231" s="2">
        <v>0</v>
      </c>
      <c r="G1231" s="2">
        <v>2442.16</v>
      </c>
    </row>
    <row r="1232" spans="1:7" hidden="1" x14ac:dyDescent="0.3">
      <c r="A1232" t="s">
        <v>299</v>
      </c>
      <c r="B1232" t="s">
        <v>300</v>
      </c>
      <c r="C1232" t="s">
        <v>10</v>
      </c>
      <c r="D1232" s="1">
        <v>45869</v>
      </c>
      <c r="E1232">
        <v>0</v>
      </c>
      <c r="F1232" s="2">
        <v>0</v>
      </c>
      <c r="G1232" s="2">
        <v>1909.8640000000003</v>
      </c>
    </row>
    <row r="1233" spans="1:7" hidden="1" x14ac:dyDescent="0.3">
      <c r="A1233" t="s">
        <v>299</v>
      </c>
      <c r="B1233" t="s">
        <v>300</v>
      </c>
      <c r="C1233" t="s">
        <v>10</v>
      </c>
      <c r="D1233" s="1">
        <v>45900</v>
      </c>
      <c r="E1233">
        <v>0</v>
      </c>
      <c r="F1233" s="2">
        <v>0</v>
      </c>
      <c r="G1233" s="2">
        <v>1909.8640000000003</v>
      </c>
    </row>
    <row r="1234" spans="1:7" hidden="1" x14ac:dyDescent="0.3">
      <c r="A1234" t="s">
        <v>299</v>
      </c>
      <c r="B1234" t="s">
        <v>300</v>
      </c>
      <c r="C1234" t="s">
        <v>10</v>
      </c>
      <c r="D1234" s="1">
        <v>45930</v>
      </c>
      <c r="E1234">
        <v>0</v>
      </c>
      <c r="F1234" s="2">
        <v>0</v>
      </c>
      <c r="G1234" s="2">
        <v>1909.8640000000003</v>
      </c>
    </row>
    <row r="1235" spans="1:7" hidden="1" x14ac:dyDescent="0.3">
      <c r="A1235" t="s">
        <v>299</v>
      </c>
      <c r="B1235" t="s">
        <v>300</v>
      </c>
      <c r="C1235" t="s">
        <v>10</v>
      </c>
      <c r="D1235" s="1">
        <v>45961</v>
      </c>
      <c r="E1235">
        <v>0</v>
      </c>
      <c r="F1235" s="2">
        <v>0</v>
      </c>
      <c r="G1235" s="2">
        <v>1909.8640000000003</v>
      </c>
    </row>
    <row r="1236" spans="1:7" hidden="1" x14ac:dyDescent="0.3">
      <c r="A1236" t="s">
        <v>299</v>
      </c>
      <c r="B1236" t="s">
        <v>300</v>
      </c>
      <c r="C1236" t="s">
        <v>10</v>
      </c>
      <c r="D1236" s="1">
        <v>45991</v>
      </c>
      <c r="E1236">
        <v>0</v>
      </c>
      <c r="F1236" s="2">
        <v>0</v>
      </c>
      <c r="G1236" s="2">
        <v>1909.8640000000003</v>
      </c>
    </row>
    <row r="1237" spans="1:7" hidden="1" x14ac:dyDescent="0.3">
      <c r="A1237" t="s">
        <v>299</v>
      </c>
      <c r="B1237" t="s">
        <v>300</v>
      </c>
      <c r="C1237" t="s">
        <v>10</v>
      </c>
      <c r="D1237" s="1">
        <v>46022</v>
      </c>
      <c r="E1237">
        <v>0</v>
      </c>
      <c r="F1237" s="2">
        <v>0</v>
      </c>
      <c r="G1237" s="2">
        <v>1909.8640000000003</v>
      </c>
    </row>
    <row r="1238" spans="1:7" hidden="1" x14ac:dyDescent="0.3">
      <c r="A1238" t="s">
        <v>297</v>
      </c>
      <c r="B1238" t="s">
        <v>298</v>
      </c>
      <c r="C1238" t="s">
        <v>2</v>
      </c>
      <c r="D1238" s="1">
        <v>45869</v>
      </c>
      <c r="E1238">
        <v>0</v>
      </c>
      <c r="F1238" s="2">
        <v>0</v>
      </c>
      <c r="G1238" s="2">
        <v>2124.8000000000011</v>
      </c>
    </row>
    <row r="1239" spans="1:7" hidden="1" x14ac:dyDescent="0.3">
      <c r="A1239" t="s">
        <v>297</v>
      </c>
      <c r="B1239" t="s">
        <v>298</v>
      </c>
      <c r="C1239" t="s">
        <v>2</v>
      </c>
      <c r="D1239" s="1">
        <v>45900</v>
      </c>
      <c r="E1239">
        <v>0</v>
      </c>
      <c r="F1239" s="2">
        <v>0</v>
      </c>
      <c r="G1239" s="2">
        <v>2124.8000000000011</v>
      </c>
    </row>
    <row r="1240" spans="1:7" hidden="1" x14ac:dyDescent="0.3">
      <c r="A1240" t="s">
        <v>297</v>
      </c>
      <c r="B1240" t="s">
        <v>298</v>
      </c>
      <c r="C1240" t="s">
        <v>2</v>
      </c>
      <c r="D1240" s="1">
        <v>45930</v>
      </c>
      <c r="E1240">
        <v>0</v>
      </c>
      <c r="F1240" s="2">
        <v>0</v>
      </c>
      <c r="G1240" s="2">
        <v>2124.8000000000011</v>
      </c>
    </row>
    <row r="1241" spans="1:7" hidden="1" x14ac:dyDescent="0.3">
      <c r="A1241" t="s">
        <v>297</v>
      </c>
      <c r="B1241" t="s">
        <v>298</v>
      </c>
      <c r="C1241" t="s">
        <v>2</v>
      </c>
      <c r="D1241" s="1">
        <v>45961</v>
      </c>
      <c r="E1241">
        <v>0</v>
      </c>
      <c r="F1241" s="2">
        <v>0</v>
      </c>
      <c r="G1241" s="2">
        <v>2124.8000000000011</v>
      </c>
    </row>
    <row r="1242" spans="1:7" hidden="1" x14ac:dyDescent="0.3">
      <c r="A1242" t="s">
        <v>297</v>
      </c>
      <c r="B1242" t="s">
        <v>298</v>
      </c>
      <c r="C1242" t="s">
        <v>2</v>
      </c>
      <c r="D1242" s="1">
        <v>45991</v>
      </c>
      <c r="E1242">
        <v>0</v>
      </c>
      <c r="F1242" s="2">
        <v>0</v>
      </c>
      <c r="G1242" s="2">
        <v>2124.8000000000011</v>
      </c>
    </row>
    <row r="1243" spans="1:7" hidden="1" x14ac:dyDescent="0.3">
      <c r="A1243" t="s">
        <v>297</v>
      </c>
      <c r="B1243" t="s">
        <v>298</v>
      </c>
      <c r="C1243" t="s">
        <v>2</v>
      </c>
      <c r="D1243" s="1">
        <v>46022</v>
      </c>
      <c r="E1243">
        <v>0</v>
      </c>
      <c r="F1243" s="2">
        <v>0</v>
      </c>
      <c r="G1243" s="2">
        <v>2124.8000000000011</v>
      </c>
    </row>
    <row r="1244" spans="1:7" hidden="1" x14ac:dyDescent="0.3">
      <c r="A1244" t="s">
        <v>394</v>
      </c>
      <c r="B1244" t="s">
        <v>395</v>
      </c>
      <c r="C1244" t="s">
        <v>2</v>
      </c>
      <c r="D1244" s="1">
        <v>45688</v>
      </c>
      <c r="E1244">
        <v>0</v>
      </c>
      <c r="F1244" s="2">
        <v>0</v>
      </c>
      <c r="G1244" s="2">
        <v>0</v>
      </c>
    </row>
    <row r="1245" spans="1:7" hidden="1" x14ac:dyDescent="0.3">
      <c r="A1245" t="s">
        <v>394</v>
      </c>
      <c r="B1245" t="s">
        <v>395</v>
      </c>
      <c r="C1245" t="s">
        <v>2</v>
      </c>
      <c r="D1245" s="1">
        <v>45716</v>
      </c>
      <c r="E1245">
        <v>0</v>
      </c>
      <c r="F1245" s="2">
        <v>0</v>
      </c>
      <c r="G1245" s="2">
        <v>0</v>
      </c>
    </row>
    <row r="1246" spans="1:7" hidden="1" x14ac:dyDescent="0.3">
      <c r="A1246" t="s">
        <v>394</v>
      </c>
      <c r="B1246" t="s">
        <v>395</v>
      </c>
      <c r="C1246" t="s">
        <v>2</v>
      </c>
      <c r="D1246" s="1">
        <v>45869</v>
      </c>
      <c r="E1246">
        <v>0</v>
      </c>
      <c r="F1246" s="2">
        <v>0</v>
      </c>
      <c r="G1246" s="2">
        <v>1731.67</v>
      </c>
    </row>
    <row r="1247" spans="1:7" hidden="1" x14ac:dyDescent="0.3">
      <c r="A1247" t="s">
        <v>394</v>
      </c>
      <c r="B1247" t="s">
        <v>395</v>
      </c>
      <c r="C1247" t="s">
        <v>2</v>
      </c>
      <c r="D1247" s="1">
        <v>45900</v>
      </c>
      <c r="E1247">
        <v>0</v>
      </c>
      <c r="F1247" s="2">
        <v>0</v>
      </c>
      <c r="G1247" s="2">
        <v>1731.67</v>
      </c>
    </row>
    <row r="1248" spans="1:7" hidden="1" x14ac:dyDescent="0.3">
      <c r="A1248" t="s">
        <v>394</v>
      </c>
      <c r="B1248" t="s">
        <v>395</v>
      </c>
      <c r="C1248" t="s">
        <v>2</v>
      </c>
      <c r="D1248" s="1">
        <v>45930</v>
      </c>
      <c r="E1248">
        <v>0</v>
      </c>
      <c r="F1248" s="2">
        <v>0</v>
      </c>
      <c r="G1248" s="2">
        <v>1731.67</v>
      </c>
    </row>
    <row r="1249" spans="1:7" hidden="1" x14ac:dyDescent="0.3">
      <c r="A1249" t="s">
        <v>394</v>
      </c>
      <c r="B1249" t="s">
        <v>395</v>
      </c>
      <c r="C1249" t="s">
        <v>2</v>
      </c>
      <c r="D1249" s="1">
        <v>45961</v>
      </c>
      <c r="E1249">
        <v>0</v>
      </c>
      <c r="F1249" s="2">
        <v>0</v>
      </c>
      <c r="G1249" s="2">
        <v>1731.67</v>
      </c>
    </row>
    <row r="1250" spans="1:7" hidden="1" x14ac:dyDescent="0.3">
      <c r="A1250" t="s">
        <v>394</v>
      </c>
      <c r="B1250" t="s">
        <v>395</v>
      </c>
      <c r="C1250" t="s">
        <v>2</v>
      </c>
      <c r="D1250" s="1">
        <v>45991</v>
      </c>
      <c r="E1250">
        <v>0</v>
      </c>
      <c r="F1250" s="2">
        <v>0</v>
      </c>
      <c r="G1250" s="2">
        <v>1731.67</v>
      </c>
    </row>
    <row r="1251" spans="1:7" hidden="1" x14ac:dyDescent="0.3">
      <c r="A1251" t="s">
        <v>394</v>
      </c>
      <c r="B1251" t="s">
        <v>395</v>
      </c>
      <c r="C1251" t="s">
        <v>2</v>
      </c>
      <c r="D1251" s="1">
        <v>46022</v>
      </c>
      <c r="E1251">
        <v>0</v>
      </c>
      <c r="F1251" s="2">
        <v>0</v>
      </c>
      <c r="G1251" s="2">
        <v>1731.67</v>
      </c>
    </row>
    <row r="1252" spans="1:7" hidden="1" x14ac:dyDescent="0.3">
      <c r="A1252" t="s">
        <v>221</v>
      </c>
      <c r="B1252" t="s">
        <v>222</v>
      </c>
      <c r="C1252" t="s">
        <v>2</v>
      </c>
      <c r="D1252" s="1">
        <v>45869</v>
      </c>
      <c r="E1252">
        <v>0</v>
      </c>
      <c r="F1252" s="2">
        <v>0</v>
      </c>
      <c r="G1252" s="2">
        <v>2110.1999999999989</v>
      </c>
    </row>
    <row r="1253" spans="1:7" hidden="1" x14ac:dyDescent="0.3">
      <c r="A1253" t="s">
        <v>221</v>
      </c>
      <c r="B1253" t="s">
        <v>222</v>
      </c>
      <c r="C1253" t="s">
        <v>2</v>
      </c>
      <c r="D1253" s="1">
        <v>45900</v>
      </c>
      <c r="E1253">
        <v>0</v>
      </c>
      <c r="F1253" s="2">
        <v>0</v>
      </c>
      <c r="G1253" s="2">
        <v>2110.1999999999989</v>
      </c>
    </row>
    <row r="1254" spans="1:7" hidden="1" x14ac:dyDescent="0.3">
      <c r="A1254" t="s">
        <v>221</v>
      </c>
      <c r="B1254" t="s">
        <v>222</v>
      </c>
      <c r="C1254" t="s">
        <v>2</v>
      </c>
      <c r="D1254" s="1">
        <v>45930</v>
      </c>
      <c r="E1254">
        <v>0</v>
      </c>
      <c r="F1254" s="2">
        <v>0</v>
      </c>
      <c r="G1254" s="2">
        <v>2110.1999999999989</v>
      </c>
    </row>
    <row r="1255" spans="1:7" hidden="1" x14ac:dyDescent="0.3">
      <c r="A1255" t="s">
        <v>221</v>
      </c>
      <c r="B1255" t="s">
        <v>222</v>
      </c>
      <c r="C1255" t="s">
        <v>2</v>
      </c>
      <c r="D1255" s="1">
        <v>45961</v>
      </c>
      <c r="E1255">
        <v>0</v>
      </c>
      <c r="F1255" s="2">
        <v>0</v>
      </c>
      <c r="G1255" s="2">
        <v>2110.1999999999989</v>
      </c>
    </row>
    <row r="1256" spans="1:7" hidden="1" x14ac:dyDescent="0.3">
      <c r="A1256" t="s">
        <v>221</v>
      </c>
      <c r="B1256" t="s">
        <v>222</v>
      </c>
      <c r="C1256" t="s">
        <v>2</v>
      </c>
      <c r="D1256" s="1">
        <v>45991</v>
      </c>
      <c r="E1256">
        <v>0</v>
      </c>
      <c r="F1256" s="2">
        <v>0</v>
      </c>
      <c r="G1256" s="2">
        <v>2110.1999999999989</v>
      </c>
    </row>
    <row r="1257" spans="1:7" hidden="1" x14ac:dyDescent="0.3">
      <c r="A1257" t="s">
        <v>221</v>
      </c>
      <c r="B1257" t="s">
        <v>222</v>
      </c>
      <c r="C1257" t="s">
        <v>2</v>
      </c>
      <c r="D1257" s="1">
        <v>46022</v>
      </c>
      <c r="E1257">
        <v>0</v>
      </c>
      <c r="F1257" s="2">
        <v>0</v>
      </c>
      <c r="G1257" s="2">
        <v>2110.1999999999989</v>
      </c>
    </row>
    <row r="1258" spans="1:7" hidden="1" x14ac:dyDescent="0.3">
      <c r="A1258" t="s">
        <v>269</v>
      </c>
      <c r="B1258" t="s">
        <v>270</v>
      </c>
      <c r="C1258" t="s">
        <v>2</v>
      </c>
      <c r="D1258" s="1">
        <v>45869</v>
      </c>
      <c r="E1258">
        <v>0</v>
      </c>
      <c r="F1258" s="2">
        <v>0</v>
      </c>
      <c r="G1258" s="2">
        <v>2250.4100000000017</v>
      </c>
    </row>
    <row r="1259" spans="1:7" hidden="1" x14ac:dyDescent="0.3">
      <c r="A1259" t="s">
        <v>269</v>
      </c>
      <c r="B1259" t="s">
        <v>270</v>
      </c>
      <c r="C1259" t="s">
        <v>2</v>
      </c>
      <c r="D1259" s="1">
        <v>45900</v>
      </c>
      <c r="E1259">
        <v>0</v>
      </c>
      <c r="F1259" s="2">
        <v>0</v>
      </c>
      <c r="G1259" s="2">
        <v>2250.4100000000017</v>
      </c>
    </row>
    <row r="1260" spans="1:7" hidden="1" x14ac:dyDescent="0.3">
      <c r="A1260" t="s">
        <v>269</v>
      </c>
      <c r="B1260" t="s">
        <v>270</v>
      </c>
      <c r="C1260" t="s">
        <v>2</v>
      </c>
      <c r="D1260" s="1">
        <v>45930</v>
      </c>
      <c r="E1260">
        <v>0</v>
      </c>
      <c r="F1260" s="2">
        <v>0</v>
      </c>
      <c r="G1260" s="2">
        <v>2250.4100000000017</v>
      </c>
    </row>
    <row r="1261" spans="1:7" hidden="1" x14ac:dyDescent="0.3">
      <c r="A1261" t="s">
        <v>269</v>
      </c>
      <c r="B1261" t="s">
        <v>270</v>
      </c>
      <c r="C1261" t="s">
        <v>2</v>
      </c>
      <c r="D1261" s="1">
        <v>45961</v>
      </c>
      <c r="E1261">
        <v>0</v>
      </c>
      <c r="F1261" s="2">
        <v>0</v>
      </c>
      <c r="G1261" s="2">
        <v>2250.4100000000017</v>
      </c>
    </row>
    <row r="1262" spans="1:7" hidden="1" x14ac:dyDescent="0.3">
      <c r="A1262" t="s">
        <v>269</v>
      </c>
      <c r="B1262" t="s">
        <v>270</v>
      </c>
      <c r="C1262" t="s">
        <v>2</v>
      </c>
      <c r="D1262" s="1">
        <v>45991</v>
      </c>
      <c r="E1262">
        <v>0</v>
      </c>
      <c r="F1262" s="2">
        <v>0</v>
      </c>
      <c r="G1262" s="2">
        <v>2250.4100000000017</v>
      </c>
    </row>
    <row r="1263" spans="1:7" hidden="1" x14ac:dyDescent="0.3">
      <c r="A1263" t="s">
        <v>269</v>
      </c>
      <c r="B1263" t="s">
        <v>270</v>
      </c>
      <c r="C1263" t="s">
        <v>2</v>
      </c>
      <c r="D1263" s="1">
        <v>46022</v>
      </c>
      <c r="E1263">
        <v>0</v>
      </c>
      <c r="F1263" s="2">
        <v>0</v>
      </c>
      <c r="G1263" s="2">
        <v>2250.4100000000017</v>
      </c>
    </row>
    <row r="1264" spans="1:7" hidden="1" x14ac:dyDescent="0.3">
      <c r="A1264" t="s">
        <v>39</v>
      </c>
      <c r="B1264" t="s">
        <v>40</v>
      </c>
      <c r="C1264" t="s">
        <v>2</v>
      </c>
      <c r="D1264" s="1">
        <v>45869</v>
      </c>
      <c r="E1264">
        <v>0</v>
      </c>
      <c r="F1264" s="2">
        <v>0</v>
      </c>
      <c r="G1264" s="2">
        <v>2616.6699999999983</v>
      </c>
    </row>
    <row r="1265" spans="1:7" hidden="1" x14ac:dyDescent="0.3">
      <c r="A1265" t="s">
        <v>39</v>
      </c>
      <c r="B1265" t="s">
        <v>40</v>
      </c>
      <c r="C1265" t="s">
        <v>2</v>
      </c>
      <c r="D1265" s="1">
        <v>45900</v>
      </c>
      <c r="E1265">
        <v>0</v>
      </c>
      <c r="F1265" s="2">
        <v>0</v>
      </c>
      <c r="G1265" s="2">
        <v>2616.6699999999983</v>
      </c>
    </row>
    <row r="1266" spans="1:7" hidden="1" x14ac:dyDescent="0.3">
      <c r="A1266" t="s">
        <v>39</v>
      </c>
      <c r="B1266" t="s">
        <v>40</v>
      </c>
      <c r="C1266" t="s">
        <v>2</v>
      </c>
      <c r="D1266" s="1">
        <v>45930</v>
      </c>
      <c r="E1266">
        <v>0</v>
      </c>
      <c r="F1266" s="2">
        <v>0</v>
      </c>
      <c r="G1266" s="2">
        <v>2616.6699999999983</v>
      </c>
    </row>
    <row r="1267" spans="1:7" hidden="1" x14ac:dyDescent="0.3">
      <c r="A1267" t="s">
        <v>39</v>
      </c>
      <c r="B1267" t="s">
        <v>40</v>
      </c>
      <c r="C1267" t="s">
        <v>2</v>
      </c>
      <c r="D1267" s="1">
        <v>45961</v>
      </c>
      <c r="E1267">
        <v>0</v>
      </c>
      <c r="F1267" s="2">
        <v>0</v>
      </c>
      <c r="G1267" s="2">
        <v>2616.6699999999983</v>
      </c>
    </row>
    <row r="1268" spans="1:7" hidden="1" x14ac:dyDescent="0.3">
      <c r="A1268" t="s">
        <v>39</v>
      </c>
      <c r="B1268" t="s">
        <v>40</v>
      </c>
      <c r="C1268" t="s">
        <v>2</v>
      </c>
      <c r="D1268" s="1">
        <v>45991</v>
      </c>
      <c r="E1268">
        <v>0</v>
      </c>
      <c r="F1268" s="2">
        <v>0</v>
      </c>
      <c r="G1268" s="2">
        <v>2616.6699999999983</v>
      </c>
    </row>
    <row r="1269" spans="1:7" hidden="1" x14ac:dyDescent="0.3">
      <c r="A1269" t="s">
        <v>39</v>
      </c>
      <c r="B1269" t="s">
        <v>40</v>
      </c>
      <c r="C1269" t="s">
        <v>2</v>
      </c>
      <c r="D1269" s="1">
        <v>46022</v>
      </c>
      <c r="E1269">
        <v>0</v>
      </c>
      <c r="F1269" s="2">
        <v>0</v>
      </c>
      <c r="G1269" s="2">
        <v>2616.6699999999983</v>
      </c>
    </row>
    <row r="1270" spans="1:7" hidden="1" x14ac:dyDescent="0.3">
      <c r="A1270" t="s">
        <v>157</v>
      </c>
      <c r="B1270" t="s">
        <v>158</v>
      </c>
      <c r="C1270" t="s">
        <v>2</v>
      </c>
      <c r="D1270" s="1">
        <v>45688</v>
      </c>
      <c r="E1270">
        <v>0</v>
      </c>
      <c r="F1270" s="2">
        <v>0</v>
      </c>
      <c r="G1270" s="2">
        <v>2172.2600000000002</v>
      </c>
    </row>
    <row r="1271" spans="1:7" hidden="1" x14ac:dyDescent="0.3">
      <c r="A1271" t="s">
        <v>157</v>
      </c>
      <c r="B1271" t="s">
        <v>158</v>
      </c>
      <c r="C1271" t="s">
        <v>2</v>
      </c>
      <c r="D1271" s="1">
        <v>45716</v>
      </c>
      <c r="E1271">
        <v>0</v>
      </c>
      <c r="F1271" s="2">
        <v>0</v>
      </c>
      <c r="G1271" s="2">
        <v>2117.88</v>
      </c>
    </row>
    <row r="1272" spans="1:7" hidden="1" x14ac:dyDescent="0.3">
      <c r="A1272" t="s">
        <v>157</v>
      </c>
      <c r="B1272" t="s">
        <v>158</v>
      </c>
      <c r="C1272" t="s">
        <v>2</v>
      </c>
      <c r="D1272" s="1">
        <v>45747</v>
      </c>
      <c r="E1272">
        <v>0</v>
      </c>
      <c r="F1272" s="2">
        <v>0</v>
      </c>
      <c r="G1272" s="2">
        <v>2157.75</v>
      </c>
    </row>
    <row r="1273" spans="1:7" hidden="1" x14ac:dyDescent="0.3">
      <c r="A1273" t="s">
        <v>157</v>
      </c>
      <c r="B1273" t="s">
        <v>158</v>
      </c>
      <c r="C1273" t="s">
        <v>2</v>
      </c>
      <c r="D1273" s="1">
        <v>45777</v>
      </c>
      <c r="E1273">
        <v>0</v>
      </c>
      <c r="F1273" s="2">
        <v>0</v>
      </c>
      <c r="G1273" s="2">
        <v>2015.63</v>
      </c>
    </row>
    <row r="1274" spans="1:7" hidden="1" x14ac:dyDescent="0.3">
      <c r="A1274" t="s">
        <v>157</v>
      </c>
      <c r="B1274" t="s">
        <v>158</v>
      </c>
      <c r="C1274" t="s">
        <v>2</v>
      </c>
      <c r="D1274" s="1">
        <v>45869</v>
      </c>
      <c r="E1274">
        <v>0</v>
      </c>
      <c r="F1274" s="2">
        <v>0</v>
      </c>
      <c r="G1274" s="2">
        <v>2188.1200000000008</v>
      </c>
    </row>
    <row r="1275" spans="1:7" hidden="1" x14ac:dyDescent="0.3">
      <c r="A1275" t="s">
        <v>157</v>
      </c>
      <c r="B1275" t="s">
        <v>158</v>
      </c>
      <c r="C1275" t="s">
        <v>2</v>
      </c>
      <c r="D1275" s="1">
        <v>45900</v>
      </c>
      <c r="E1275">
        <v>0</v>
      </c>
      <c r="F1275" s="2">
        <v>0</v>
      </c>
      <c r="G1275" s="2">
        <v>2188.1200000000008</v>
      </c>
    </row>
    <row r="1276" spans="1:7" hidden="1" x14ac:dyDescent="0.3">
      <c r="A1276" t="s">
        <v>157</v>
      </c>
      <c r="B1276" t="s">
        <v>158</v>
      </c>
      <c r="C1276" t="s">
        <v>2</v>
      </c>
      <c r="D1276" s="1">
        <v>45930</v>
      </c>
      <c r="E1276">
        <v>0</v>
      </c>
      <c r="F1276" s="2">
        <v>0</v>
      </c>
      <c r="G1276" s="2">
        <v>2188.1200000000008</v>
      </c>
    </row>
    <row r="1277" spans="1:7" hidden="1" x14ac:dyDescent="0.3">
      <c r="A1277" t="s">
        <v>157</v>
      </c>
      <c r="B1277" t="s">
        <v>158</v>
      </c>
      <c r="C1277" t="s">
        <v>2</v>
      </c>
      <c r="D1277" s="1">
        <v>45961</v>
      </c>
      <c r="E1277">
        <v>0</v>
      </c>
      <c r="F1277" s="2">
        <v>0</v>
      </c>
      <c r="G1277" s="2">
        <v>2188.1200000000008</v>
      </c>
    </row>
    <row r="1278" spans="1:7" hidden="1" x14ac:dyDescent="0.3">
      <c r="A1278" t="s">
        <v>157</v>
      </c>
      <c r="B1278" t="s">
        <v>158</v>
      </c>
      <c r="C1278" t="s">
        <v>2</v>
      </c>
      <c r="D1278" s="1">
        <v>45991</v>
      </c>
      <c r="E1278">
        <v>0</v>
      </c>
      <c r="F1278" s="2">
        <v>0</v>
      </c>
      <c r="G1278" s="2">
        <v>2188.1200000000008</v>
      </c>
    </row>
    <row r="1279" spans="1:7" hidden="1" x14ac:dyDescent="0.3">
      <c r="A1279" t="s">
        <v>157</v>
      </c>
      <c r="B1279" t="s">
        <v>158</v>
      </c>
      <c r="C1279" t="s">
        <v>2</v>
      </c>
      <c r="D1279" s="1">
        <v>46022</v>
      </c>
      <c r="E1279">
        <v>0</v>
      </c>
      <c r="F1279" s="2">
        <v>0</v>
      </c>
      <c r="G1279" s="2">
        <v>2188.1200000000008</v>
      </c>
    </row>
    <row r="1280" spans="1:7" hidden="1" x14ac:dyDescent="0.3">
      <c r="A1280" t="s">
        <v>251</v>
      </c>
      <c r="B1280" t="s">
        <v>252</v>
      </c>
      <c r="C1280" t="s">
        <v>2</v>
      </c>
      <c r="D1280" s="1">
        <v>45869</v>
      </c>
      <c r="E1280">
        <v>0</v>
      </c>
      <c r="F1280" s="2">
        <v>0</v>
      </c>
      <c r="G1280" s="2">
        <v>722.70999999999958</v>
      </c>
    </row>
    <row r="1281" spans="1:7" hidden="1" x14ac:dyDescent="0.3">
      <c r="A1281" t="s">
        <v>251</v>
      </c>
      <c r="B1281" t="s">
        <v>252</v>
      </c>
      <c r="C1281" t="s">
        <v>2</v>
      </c>
      <c r="D1281" s="1">
        <v>45900</v>
      </c>
      <c r="E1281">
        <v>0</v>
      </c>
      <c r="F1281" s="2">
        <v>0</v>
      </c>
      <c r="G1281" s="2">
        <v>722.70999999999958</v>
      </c>
    </row>
    <row r="1282" spans="1:7" hidden="1" x14ac:dyDescent="0.3">
      <c r="A1282" t="s">
        <v>251</v>
      </c>
      <c r="B1282" t="s">
        <v>252</v>
      </c>
      <c r="C1282" t="s">
        <v>2</v>
      </c>
      <c r="D1282" s="1">
        <v>45930</v>
      </c>
      <c r="E1282">
        <v>0</v>
      </c>
      <c r="F1282" s="2">
        <v>0</v>
      </c>
      <c r="G1282" s="2">
        <v>722.70999999999958</v>
      </c>
    </row>
    <row r="1283" spans="1:7" hidden="1" x14ac:dyDescent="0.3">
      <c r="A1283" t="s">
        <v>251</v>
      </c>
      <c r="B1283" t="s">
        <v>252</v>
      </c>
      <c r="C1283" t="s">
        <v>2</v>
      </c>
      <c r="D1283" s="1">
        <v>45961</v>
      </c>
      <c r="E1283">
        <v>0</v>
      </c>
      <c r="F1283" s="2">
        <v>0</v>
      </c>
      <c r="G1283" s="2">
        <v>722.70999999999958</v>
      </c>
    </row>
    <row r="1284" spans="1:7" hidden="1" x14ac:dyDescent="0.3">
      <c r="A1284" t="s">
        <v>251</v>
      </c>
      <c r="B1284" t="s">
        <v>252</v>
      </c>
      <c r="C1284" t="s">
        <v>2</v>
      </c>
      <c r="D1284" s="1">
        <v>45991</v>
      </c>
      <c r="E1284">
        <v>0</v>
      </c>
      <c r="F1284" s="2">
        <v>0</v>
      </c>
      <c r="G1284" s="2">
        <v>722.70999999999958</v>
      </c>
    </row>
    <row r="1285" spans="1:7" hidden="1" x14ac:dyDescent="0.3">
      <c r="A1285" t="s">
        <v>251</v>
      </c>
      <c r="B1285" t="s">
        <v>252</v>
      </c>
      <c r="C1285" t="s">
        <v>2</v>
      </c>
      <c r="D1285" s="1">
        <v>46022</v>
      </c>
      <c r="E1285">
        <v>0</v>
      </c>
      <c r="F1285" s="2">
        <v>0</v>
      </c>
      <c r="G1285" s="2">
        <v>722.70999999999958</v>
      </c>
    </row>
    <row r="1286" spans="1:7" hidden="1" x14ac:dyDescent="0.3">
      <c r="A1286" t="s">
        <v>229</v>
      </c>
      <c r="B1286" t="s">
        <v>230</v>
      </c>
      <c r="C1286" t="s">
        <v>2</v>
      </c>
      <c r="D1286" s="1">
        <v>45869</v>
      </c>
      <c r="E1286">
        <v>0</v>
      </c>
      <c r="F1286" s="2">
        <v>0</v>
      </c>
      <c r="G1286" s="2">
        <v>829.02000000000135</v>
      </c>
    </row>
    <row r="1287" spans="1:7" hidden="1" x14ac:dyDescent="0.3">
      <c r="A1287" t="s">
        <v>229</v>
      </c>
      <c r="B1287" t="s">
        <v>230</v>
      </c>
      <c r="C1287" t="s">
        <v>2</v>
      </c>
      <c r="D1287" s="1">
        <v>45900</v>
      </c>
      <c r="E1287">
        <v>0</v>
      </c>
      <c r="F1287" s="2">
        <v>0</v>
      </c>
      <c r="G1287" s="2">
        <v>829.02000000000135</v>
      </c>
    </row>
    <row r="1288" spans="1:7" hidden="1" x14ac:dyDescent="0.3">
      <c r="A1288" t="s">
        <v>229</v>
      </c>
      <c r="B1288" t="s">
        <v>230</v>
      </c>
      <c r="C1288" t="s">
        <v>2</v>
      </c>
      <c r="D1288" s="1">
        <v>45930</v>
      </c>
      <c r="E1288">
        <v>0</v>
      </c>
      <c r="F1288" s="2">
        <v>0</v>
      </c>
      <c r="G1288" s="2">
        <v>829.02000000000135</v>
      </c>
    </row>
    <row r="1289" spans="1:7" hidden="1" x14ac:dyDescent="0.3">
      <c r="A1289" t="s">
        <v>229</v>
      </c>
      <c r="B1289" t="s">
        <v>230</v>
      </c>
      <c r="C1289" t="s">
        <v>2</v>
      </c>
      <c r="D1289" s="1">
        <v>45961</v>
      </c>
      <c r="E1289">
        <v>0</v>
      </c>
      <c r="F1289" s="2">
        <v>0</v>
      </c>
      <c r="G1289" s="2">
        <v>829.02000000000135</v>
      </c>
    </row>
    <row r="1290" spans="1:7" hidden="1" x14ac:dyDescent="0.3">
      <c r="A1290" t="s">
        <v>229</v>
      </c>
      <c r="B1290" t="s">
        <v>230</v>
      </c>
      <c r="C1290" t="s">
        <v>2</v>
      </c>
      <c r="D1290" s="1">
        <v>45991</v>
      </c>
      <c r="E1290">
        <v>0</v>
      </c>
      <c r="F1290" s="2">
        <v>0</v>
      </c>
      <c r="G1290" s="2">
        <v>829.02000000000135</v>
      </c>
    </row>
    <row r="1291" spans="1:7" hidden="1" x14ac:dyDescent="0.3">
      <c r="A1291" t="s">
        <v>229</v>
      </c>
      <c r="B1291" t="s">
        <v>230</v>
      </c>
      <c r="C1291" t="s">
        <v>2</v>
      </c>
      <c r="D1291" s="1">
        <v>46022</v>
      </c>
      <c r="E1291">
        <v>0</v>
      </c>
      <c r="F1291" s="2">
        <v>0</v>
      </c>
      <c r="G1291" s="2">
        <v>829.02000000000135</v>
      </c>
    </row>
    <row r="1292" spans="1:7" hidden="1" x14ac:dyDescent="0.3">
      <c r="A1292" t="s">
        <v>143</v>
      </c>
      <c r="B1292" t="s">
        <v>144</v>
      </c>
      <c r="C1292" t="s">
        <v>2</v>
      </c>
      <c r="D1292" s="1">
        <v>45869</v>
      </c>
      <c r="E1292">
        <v>0</v>
      </c>
      <c r="F1292" s="2">
        <v>0</v>
      </c>
      <c r="G1292" s="2">
        <v>1106.5900000000001</v>
      </c>
    </row>
    <row r="1293" spans="1:7" hidden="1" x14ac:dyDescent="0.3">
      <c r="A1293" t="s">
        <v>143</v>
      </c>
      <c r="B1293" t="s">
        <v>144</v>
      </c>
      <c r="C1293" t="s">
        <v>2</v>
      </c>
      <c r="D1293" s="1">
        <v>45900</v>
      </c>
      <c r="E1293">
        <v>0</v>
      </c>
      <c r="F1293" s="2">
        <v>0</v>
      </c>
      <c r="G1293" s="2">
        <v>1106.5900000000001</v>
      </c>
    </row>
    <row r="1294" spans="1:7" hidden="1" x14ac:dyDescent="0.3">
      <c r="A1294" t="s">
        <v>143</v>
      </c>
      <c r="B1294" t="s">
        <v>144</v>
      </c>
      <c r="C1294" t="s">
        <v>2</v>
      </c>
      <c r="D1294" s="1">
        <v>45930</v>
      </c>
      <c r="E1294">
        <v>0</v>
      </c>
      <c r="F1294" s="2">
        <v>0</v>
      </c>
      <c r="G1294" s="2">
        <v>1106.5900000000001</v>
      </c>
    </row>
    <row r="1295" spans="1:7" hidden="1" x14ac:dyDescent="0.3">
      <c r="A1295" t="s">
        <v>143</v>
      </c>
      <c r="B1295" t="s">
        <v>144</v>
      </c>
      <c r="C1295" t="s">
        <v>2</v>
      </c>
      <c r="D1295" s="1">
        <v>45961</v>
      </c>
      <c r="E1295">
        <v>0</v>
      </c>
      <c r="F1295" s="2">
        <v>0</v>
      </c>
      <c r="G1295" s="2">
        <v>1106.5900000000001</v>
      </c>
    </row>
    <row r="1296" spans="1:7" hidden="1" x14ac:dyDescent="0.3">
      <c r="A1296" t="s">
        <v>143</v>
      </c>
      <c r="B1296" t="s">
        <v>144</v>
      </c>
      <c r="C1296" t="s">
        <v>2</v>
      </c>
      <c r="D1296" s="1">
        <v>45991</v>
      </c>
      <c r="E1296">
        <v>0</v>
      </c>
      <c r="F1296" s="2">
        <v>0</v>
      </c>
      <c r="G1296" s="2">
        <v>1106.5900000000001</v>
      </c>
    </row>
    <row r="1297" spans="1:7" hidden="1" x14ac:dyDescent="0.3">
      <c r="A1297" t="s">
        <v>143</v>
      </c>
      <c r="B1297" t="s">
        <v>144</v>
      </c>
      <c r="C1297" t="s">
        <v>2</v>
      </c>
      <c r="D1297" s="1">
        <v>46022</v>
      </c>
      <c r="E1297">
        <v>0</v>
      </c>
      <c r="F1297" s="2">
        <v>0</v>
      </c>
      <c r="G1297" s="2">
        <v>1106.5900000000001</v>
      </c>
    </row>
    <row r="1298" spans="1:7" hidden="1" x14ac:dyDescent="0.3">
      <c r="A1298" t="s">
        <v>177</v>
      </c>
      <c r="B1298" t="s">
        <v>178</v>
      </c>
      <c r="C1298" t="s">
        <v>2</v>
      </c>
      <c r="D1298" s="1">
        <v>45869</v>
      </c>
      <c r="E1298">
        <v>0</v>
      </c>
      <c r="F1298" s="2">
        <v>0</v>
      </c>
      <c r="G1298" s="2">
        <v>156.02999999999975</v>
      </c>
    </row>
    <row r="1299" spans="1:7" hidden="1" x14ac:dyDescent="0.3">
      <c r="A1299" t="s">
        <v>177</v>
      </c>
      <c r="B1299" t="s">
        <v>178</v>
      </c>
      <c r="C1299" t="s">
        <v>2</v>
      </c>
      <c r="D1299" s="1">
        <v>45900</v>
      </c>
      <c r="E1299">
        <v>0</v>
      </c>
      <c r="F1299" s="2">
        <v>0</v>
      </c>
      <c r="G1299" s="2">
        <v>156.02999999999975</v>
      </c>
    </row>
    <row r="1300" spans="1:7" hidden="1" x14ac:dyDescent="0.3">
      <c r="A1300" t="s">
        <v>177</v>
      </c>
      <c r="B1300" t="s">
        <v>178</v>
      </c>
      <c r="C1300" t="s">
        <v>2</v>
      </c>
      <c r="D1300" s="1">
        <v>45930</v>
      </c>
      <c r="E1300">
        <v>0</v>
      </c>
      <c r="F1300" s="2">
        <v>0</v>
      </c>
      <c r="G1300" s="2">
        <v>156.02999999999975</v>
      </c>
    </row>
    <row r="1301" spans="1:7" hidden="1" x14ac:dyDescent="0.3">
      <c r="A1301" t="s">
        <v>177</v>
      </c>
      <c r="B1301" t="s">
        <v>178</v>
      </c>
      <c r="C1301" t="s">
        <v>2</v>
      </c>
      <c r="D1301" s="1">
        <v>45961</v>
      </c>
      <c r="E1301">
        <v>0</v>
      </c>
      <c r="F1301" s="2">
        <v>0</v>
      </c>
      <c r="G1301" s="2">
        <v>156.02999999999975</v>
      </c>
    </row>
    <row r="1302" spans="1:7" hidden="1" x14ac:dyDescent="0.3">
      <c r="A1302" t="s">
        <v>177</v>
      </c>
      <c r="B1302" t="s">
        <v>178</v>
      </c>
      <c r="C1302" t="s">
        <v>2</v>
      </c>
      <c r="D1302" s="1">
        <v>45991</v>
      </c>
      <c r="E1302">
        <v>0</v>
      </c>
      <c r="F1302" s="2">
        <v>0</v>
      </c>
      <c r="G1302" s="2">
        <v>156.02999999999975</v>
      </c>
    </row>
    <row r="1303" spans="1:7" hidden="1" x14ac:dyDescent="0.3">
      <c r="A1303" t="s">
        <v>177</v>
      </c>
      <c r="B1303" t="s">
        <v>178</v>
      </c>
      <c r="C1303" t="s">
        <v>2</v>
      </c>
      <c r="D1303" s="1">
        <v>46022</v>
      </c>
      <c r="E1303">
        <v>0</v>
      </c>
      <c r="F1303" s="2">
        <v>0</v>
      </c>
      <c r="G1303" s="2">
        <v>156.02999999999975</v>
      </c>
    </row>
    <row r="1304" spans="1:7" hidden="1" x14ac:dyDescent="0.3">
      <c r="A1304" t="s">
        <v>93</v>
      </c>
      <c r="B1304" t="s">
        <v>94</v>
      </c>
      <c r="C1304" t="s">
        <v>2</v>
      </c>
      <c r="D1304" s="1">
        <v>45869</v>
      </c>
      <c r="E1304">
        <v>0</v>
      </c>
      <c r="F1304" s="2">
        <v>0</v>
      </c>
      <c r="G1304" s="2">
        <v>1308.1299999999983</v>
      </c>
    </row>
    <row r="1305" spans="1:7" hidden="1" x14ac:dyDescent="0.3">
      <c r="A1305" t="s">
        <v>93</v>
      </c>
      <c r="B1305" t="s">
        <v>94</v>
      </c>
      <c r="C1305" t="s">
        <v>2</v>
      </c>
      <c r="D1305" s="1">
        <v>45900</v>
      </c>
      <c r="E1305">
        <v>0</v>
      </c>
      <c r="F1305" s="2">
        <v>0</v>
      </c>
      <c r="G1305" s="2">
        <v>1308.1299999999983</v>
      </c>
    </row>
    <row r="1306" spans="1:7" hidden="1" x14ac:dyDescent="0.3">
      <c r="A1306" t="s">
        <v>93</v>
      </c>
      <c r="B1306" t="s">
        <v>94</v>
      </c>
      <c r="C1306" t="s">
        <v>2</v>
      </c>
      <c r="D1306" s="1">
        <v>45930</v>
      </c>
      <c r="E1306">
        <v>0</v>
      </c>
      <c r="F1306" s="2">
        <v>0</v>
      </c>
      <c r="G1306" s="2">
        <v>1308.1299999999983</v>
      </c>
    </row>
    <row r="1307" spans="1:7" hidden="1" x14ac:dyDescent="0.3">
      <c r="A1307" t="s">
        <v>93</v>
      </c>
      <c r="B1307" t="s">
        <v>94</v>
      </c>
      <c r="C1307" t="s">
        <v>2</v>
      </c>
      <c r="D1307" s="1">
        <v>45961</v>
      </c>
      <c r="E1307">
        <v>0</v>
      </c>
      <c r="F1307" s="2">
        <v>0</v>
      </c>
      <c r="G1307" s="2">
        <v>1308.1299999999983</v>
      </c>
    </row>
    <row r="1308" spans="1:7" hidden="1" x14ac:dyDescent="0.3">
      <c r="A1308" t="s">
        <v>93</v>
      </c>
      <c r="B1308" t="s">
        <v>94</v>
      </c>
      <c r="C1308" t="s">
        <v>2</v>
      </c>
      <c r="D1308" s="1">
        <v>45991</v>
      </c>
      <c r="E1308">
        <v>0</v>
      </c>
      <c r="F1308" s="2">
        <v>0</v>
      </c>
      <c r="G1308" s="2">
        <v>1308.1299999999983</v>
      </c>
    </row>
    <row r="1309" spans="1:7" hidden="1" x14ac:dyDescent="0.3">
      <c r="A1309" t="s">
        <v>93</v>
      </c>
      <c r="B1309" t="s">
        <v>94</v>
      </c>
      <c r="C1309" t="s">
        <v>2</v>
      </c>
      <c r="D1309" s="1">
        <v>46022</v>
      </c>
      <c r="E1309">
        <v>0</v>
      </c>
      <c r="F1309" s="2">
        <v>0</v>
      </c>
      <c r="G1309" s="2">
        <v>1308.1299999999983</v>
      </c>
    </row>
    <row r="1310" spans="1:7" hidden="1" x14ac:dyDescent="0.3">
      <c r="A1310" t="s">
        <v>169</v>
      </c>
      <c r="B1310" t="s">
        <v>170</v>
      </c>
      <c r="C1310" t="s">
        <v>2</v>
      </c>
      <c r="D1310" s="1">
        <v>45869</v>
      </c>
      <c r="E1310">
        <v>0</v>
      </c>
      <c r="F1310" s="2">
        <v>0</v>
      </c>
      <c r="G1310" s="2">
        <v>1980.2400000000007</v>
      </c>
    </row>
    <row r="1311" spans="1:7" hidden="1" x14ac:dyDescent="0.3">
      <c r="A1311" t="s">
        <v>169</v>
      </c>
      <c r="B1311" t="s">
        <v>170</v>
      </c>
      <c r="C1311" t="s">
        <v>2</v>
      </c>
      <c r="D1311" s="1">
        <v>45900</v>
      </c>
      <c r="E1311">
        <v>0</v>
      </c>
      <c r="F1311" s="2">
        <v>0</v>
      </c>
      <c r="G1311" s="2">
        <v>1980.2400000000007</v>
      </c>
    </row>
    <row r="1312" spans="1:7" hidden="1" x14ac:dyDescent="0.3">
      <c r="A1312" t="s">
        <v>169</v>
      </c>
      <c r="B1312" t="s">
        <v>170</v>
      </c>
      <c r="C1312" t="s">
        <v>2</v>
      </c>
      <c r="D1312" s="1">
        <v>45930</v>
      </c>
      <c r="E1312">
        <v>0</v>
      </c>
      <c r="F1312" s="2">
        <v>0</v>
      </c>
      <c r="G1312" s="2">
        <v>1980.2400000000007</v>
      </c>
    </row>
    <row r="1313" spans="1:7" hidden="1" x14ac:dyDescent="0.3">
      <c r="A1313" t="s">
        <v>169</v>
      </c>
      <c r="B1313" t="s">
        <v>170</v>
      </c>
      <c r="C1313" t="s">
        <v>2</v>
      </c>
      <c r="D1313" s="1">
        <v>45961</v>
      </c>
      <c r="E1313">
        <v>0</v>
      </c>
      <c r="F1313" s="2">
        <v>0</v>
      </c>
      <c r="G1313" s="2">
        <v>1980.2400000000007</v>
      </c>
    </row>
    <row r="1314" spans="1:7" hidden="1" x14ac:dyDescent="0.3">
      <c r="A1314" t="s">
        <v>169</v>
      </c>
      <c r="B1314" t="s">
        <v>170</v>
      </c>
      <c r="C1314" t="s">
        <v>2</v>
      </c>
      <c r="D1314" s="1">
        <v>45991</v>
      </c>
      <c r="E1314">
        <v>0</v>
      </c>
      <c r="F1314" s="2">
        <v>0</v>
      </c>
      <c r="G1314" s="2">
        <v>1980.2400000000007</v>
      </c>
    </row>
    <row r="1315" spans="1:7" hidden="1" x14ac:dyDescent="0.3">
      <c r="A1315" t="s">
        <v>169</v>
      </c>
      <c r="B1315" t="s">
        <v>170</v>
      </c>
      <c r="C1315" t="s">
        <v>2</v>
      </c>
      <c r="D1315" s="1">
        <v>46022</v>
      </c>
      <c r="E1315">
        <v>0</v>
      </c>
      <c r="F1315" s="2">
        <v>0</v>
      </c>
      <c r="G1315" s="2">
        <v>1980.2400000000007</v>
      </c>
    </row>
    <row r="1316" spans="1:7" hidden="1" x14ac:dyDescent="0.3">
      <c r="A1316" t="s">
        <v>133</v>
      </c>
      <c r="B1316" t="s">
        <v>134</v>
      </c>
      <c r="C1316" t="s">
        <v>2</v>
      </c>
      <c r="D1316" s="1">
        <v>45869</v>
      </c>
      <c r="E1316">
        <v>0</v>
      </c>
      <c r="F1316" s="2">
        <v>0</v>
      </c>
      <c r="G1316" s="2">
        <v>2382.1000000000004</v>
      </c>
    </row>
    <row r="1317" spans="1:7" hidden="1" x14ac:dyDescent="0.3">
      <c r="A1317" t="s">
        <v>133</v>
      </c>
      <c r="B1317" t="s">
        <v>134</v>
      </c>
      <c r="C1317" t="s">
        <v>2</v>
      </c>
      <c r="D1317" s="1">
        <v>45900</v>
      </c>
      <c r="E1317">
        <v>0</v>
      </c>
      <c r="F1317" s="2">
        <v>0</v>
      </c>
      <c r="G1317" s="2">
        <v>2382.1000000000004</v>
      </c>
    </row>
    <row r="1318" spans="1:7" hidden="1" x14ac:dyDescent="0.3">
      <c r="A1318" t="s">
        <v>133</v>
      </c>
      <c r="B1318" t="s">
        <v>134</v>
      </c>
      <c r="C1318" t="s">
        <v>2</v>
      </c>
      <c r="D1318" s="1">
        <v>45930</v>
      </c>
      <c r="E1318">
        <v>0</v>
      </c>
      <c r="F1318" s="2">
        <v>0</v>
      </c>
      <c r="G1318" s="2">
        <v>2382.1000000000004</v>
      </c>
    </row>
    <row r="1319" spans="1:7" hidden="1" x14ac:dyDescent="0.3">
      <c r="A1319" t="s">
        <v>133</v>
      </c>
      <c r="B1319" t="s">
        <v>134</v>
      </c>
      <c r="C1319" t="s">
        <v>2</v>
      </c>
      <c r="D1319" s="1">
        <v>45961</v>
      </c>
      <c r="E1319">
        <v>0</v>
      </c>
      <c r="F1319" s="2">
        <v>0</v>
      </c>
      <c r="G1319" s="2">
        <v>2382.1000000000004</v>
      </c>
    </row>
    <row r="1320" spans="1:7" hidden="1" x14ac:dyDescent="0.3">
      <c r="A1320" t="s">
        <v>133</v>
      </c>
      <c r="B1320" t="s">
        <v>134</v>
      </c>
      <c r="C1320" t="s">
        <v>2</v>
      </c>
      <c r="D1320" s="1">
        <v>45991</v>
      </c>
      <c r="E1320">
        <v>0</v>
      </c>
      <c r="F1320" s="2">
        <v>0</v>
      </c>
      <c r="G1320" s="2">
        <v>2382.1000000000004</v>
      </c>
    </row>
    <row r="1321" spans="1:7" hidden="1" x14ac:dyDescent="0.3">
      <c r="A1321" t="s">
        <v>133</v>
      </c>
      <c r="B1321" t="s">
        <v>134</v>
      </c>
      <c r="C1321" t="s">
        <v>2</v>
      </c>
      <c r="D1321" s="1">
        <v>46022</v>
      </c>
      <c r="E1321">
        <v>0</v>
      </c>
      <c r="F1321" s="2">
        <v>0</v>
      </c>
      <c r="G1321" s="2">
        <v>2382.1000000000004</v>
      </c>
    </row>
    <row r="1322" spans="1:7" hidden="1" x14ac:dyDescent="0.3">
      <c r="A1322" t="s">
        <v>29</v>
      </c>
      <c r="B1322" t="s">
        <v>30</v>
      </c>
      <c r="C1322" t="s">
        <v>2</v>
      </c>
      <c r="D1322" s="1">
        <v>45869</v>
      </c>
      <c r="E1322">
        <v>0</v>
      </c>
      <c r="F1322" s="2">
        <v>0</v>
      </c>
      <c r="G1322" s="2">
        <v>2066.46</v>
      </c>
    </row>
    <row r="1323" spans="1:7" hidden="1" x14ac:dyDescent="0.3">
      <c r="A1323" t="s">
        <v>29</v>
      </c>
      <c r="B1323" t="s">
        <v>30</v>
      </c>
      <c r="C1323" t="s">
        <v>2</v>
      </c>
      <c r="D1323" s="1">
        <v>45900</v>
      </c>
      <c r="E1323">
        <v>0</v>
      </c>
      <c r="F1323" s="2">
        <v>0</v>
      </c>
      <c r="G1323" s="2">
        <v>2066.46</v>
      </c>
    </row>
    <row r="1324" spans="1:7" hidden="1" x14ac:dyDescent="0.3">
      <c r="A1324" t="s">
        <v>29</v>
      </c>
      <c r="B1324" t="s">
        <v>30</v>
      </c>
      <c r="C1324" t="s">
        <v>2</v>
      </c>
      <c r="D1324" s="1">
        <v>45930</v>
      </c>
      <c r="E1324">
        <v>0</v>
      </c>
      <c r="F1324" s="2">
        <v>0</v>
      </c>
      <c r="G1324" s="2">
        <v>2066.46</v>
      </c>
    </row>
    <row r="1325" spans="1:7" hidden="1" x14ac:dyDescent="0.3">
      <c r="A1325" t="s">
        <v>29</v>
      </c>
      <c r="B1325" t="s">
        <v>30</v>
      </c>
      <c r="C1325" t="s">
        <v>2</v>
      </c>
      <c r="D1325" s="1">
        <v>45961</v>
      </c>
      <c r="E1325">
        <v>0</v>
      </c>
      <c r="F1325" s="2">
        <v>0</v>
      </c>
      <c r="G1325" s="2">
        <v>2066.46</v>
      </c>
    </row>
    <row r="1326" spans="1:7" hidden="1" x14ac:dyDescent="0.3">
      <c r="A1326" t="s">
        <v>29</v>
      </c>
      <c r="B1326" t="s">
        <v>30</v>
      </c>
      <c r="C1326" t="s">
        <v>2</v>
      </c>
      <c r="D1326" s="1">
        <v>45991</v>
      </c>
      <c r="E1326">
        <v>0</v>
      </c>
      <c r="F1326" s="2">
        <v>0</v>
      </c>
      <c r="G1326" s="2">
        <v>2066.46</v>
      </c>
    </row>
    <row r="1327" spans="1:7" hidden="1" x14ac:dyDescent="0.3">
      <c r="A1327" t="s">
        <v>29</v>
      </c>
      <c r="B1327" t="s">
        <v>30</v>
      </c>
      <c r="C1327" t="s">
        <v>2</v>
      </c>
      <c r="D1327" s="1">
        <v>46022</v>
      </c>
      <c r="E1327">
        <v>0</v>
      </c>
      <c r="F1327" s="2">
        <v>0</v>
      </c>
      <c r="G1327" s="2">
        <v>2066.46</v>
      </c>
    </row>
    <row r="1328" spans="1:7" hidden="1" x14ac:dyDescent="0.3">
      <c r="A1328" t="s">
        <v>335</v>
      </c>
      <c r="B1328" t="s">
        <v>336</v>
      </c>
      <c r="C1328" t="s">
        <v>2</v>
      </c>
      <c r="D1328" s="1">
        <v>45869</v>
      </c>
      <c r="E1328">
        <v>0</v>
      </c>
      <c r="F1328" s="2">
        <v>0</v>
      </c>
      <c r="G1328" s="2">
        <v>1682.2400000000007</v>
      </c>
    </row>
    <row r="1329" spans="1:7" hidden="1" x14ac:dyDescent="0.3">
      <c r="A1329" t="s">
        <v>335</v>
      </c>
      <c r="B1329" t="s">
        <v>336</v>
      </c>
      <c r="C1329" t="s">
        <v>2</v>
      </c>
      <c r="D1329" s="1">
        <v>45900</v>
      </c>
      <c r="E1329">
        <v>0</v>
      </c>
      <c r="F1329" s="2">
        <v>0</v>
      </c>
      <c r="G1329" s="2">
        <v>1682.2400000000007</v>
      </c>
    </row>
    <row r="1330" spans="1:7" hidden="1" x14ac:dyDescent="0.3">
      <c r="A1330" t="s">
        <v>335</v>
      </c>
      <c r="B1330" t="s">
        <v>336</v>
      </c>
      <c r="C1330" t="s">
        <v>2</v>
      </c>
      <c r="D1330" s="1">
        <v>45930</v>
      </c>
      <c r="E1330">
        <v>0</v>
      </c>
      <c r="F1330" s="2">
        <v>0</v>
      </c>
      <c r="G1330" s="2">
        <v>1682.2400000000007</v>
      </c>
    </row>
    <row r="1331" spans="1:7" hidden="1" x14ac:dyDescent="0.3">
      <c r="A1331" t="s">
        <v>335</v>
      </c>
      <c r="B1331" t="s">
        <v>336</v>
      </c>
      <c r="C1331" t="s">
        <v>2</v>
      </c>
      <c r="D1331" s="1">
        <v>45961</v>
      </c>
      <c r="E1331">
        <v>0</v>
      </c>
      <c r="F1331" s="2">
        <v>0</v>
      </c>
      <c r="G1331" s="2">
        <v>1682.2400000000007</v>
      </c>
    </row>
    <row r="1332" spans="1:7" hidden="1" x14ac:dyDescent="0.3">
      <c r="A1332" t="s">
        <v>335</v>
      </c>
      <c r="B1332" t="s">
        <v>336</v>
      </c>
      <c r="C1332" t="s">
        <v>2</v>
      </c>
      <c r="D1332" s="1">
        <v>45991</v>
      </c>
      <c r="E1332">
        <v>0</v>
      </c>
      <c r="F1332" s="2">
        <v>0</v>
      </c>
      <c r="G1332" s="2">
        <v>1682.2400000000007</v>
      </c>
    </row>
    <row r="1333" spans="1:7" hidden="1" x14ac:dyDescent="0.3">
      <c r="A1333" t="s">
        <v>335</v>
      </c>
      <c r="B1333" t="s">
        <v>336</v>
      </c>
      <c r="C1333" t="s">
        <v>2</v>
      </c>
      <c r="D1333" s="1">
        <v>46022</v>
      </c>
      <c r="E1333">
        <v>0</v>
      </c>
      <c r="F1333" s="2">
        <v>0</v>
      </c>
      <c r="G1333" s="2">
        <v>1682.2400000000007</v>
      </c>
    </row>
    <row r="1334" spans="1:7" hidden="1" x14ac:dyDescent="0.3">
      <c r="A1334" t="s">
        <v>343</v>
      </c>
      <c r="B1334" t="s">
        <v>336</v>
      </c>
      <c r="C1334" t="s">
        <v>2</v>
      </c>
      <c r="D1334" s="1">
        <v>45716</v>
      </c>
      <c r="E1334">
        <v>0</v>
      </c>
      <c r="F1334" s="2">
        <v>0</v>
      </c>
      <c r="G1334" s="2">
        <v>0</v>
      </c>
    </row>
    <row r="1335" spans="1:7" hidden="1" x14ac:dyDescent="0.3">
      <c r="A1335" t="s">
        <v>343</v>
      </c>
      <c r="B1335" t="s">
        <v>336</v>
      </c>
      <c r="C1335" t="s">
        <v>2</v>
      </c>
      <c r="D1335" s="1">
        <v>45747</v>
      </c>
      <c r="E1335">
        <v>0</v>
      </c>
      <c r="F1335" s="2">
        <v>0</v>
      </c>
      <c r="G1335" s="2">
        <v>0</v>
      </c>
    </row>
    <row r="1336" spans="1:7" hidden="1" x14ac:dyDescent="0.3">
      <c r="A1336" t="s">
        <v>343</v>
      </c>
      <c r="B1336" t="s">
        <v>336</v>
      </c>
      <c r="C1336" t="s">
        <v>2</v>
      </c>
      <c r="D1336" s="1">
        <v>45777</v>
      </c>
      <c r="E1336">
        <v>0</v>
      </c>
      <c r="F1336" s="2">
        <v>0</v>
      </c>
      <c r="G1336" s="2">
        <v>0</v>
      </c>
    </row>
    <row r="1337" spans="1:7" hidden="1" x14ac:dyDescent="0.3">
      <c r="A1337" t="s">
        <v>343</v>
      </c>
      <c r="B1337" t="s">
        <v>336</v>
      </c>
      <c r="C1337" t="s">
        <v>2</v>
      </c>
      <c r="D1337" s="1">
        <v>45838</v>
      </c>
      <c r="E1337">
        <v>0</v>
      </c>
      <c r="F1337" s="2">
        <v>0</v>
      </c>
      <c r="G1337" s="2">
        <v>0</v>
      </c>
    </row>
    <row r="1338" spans="1:7" hidden="1" x14ac:dyDescent="0.3">
      <c r="A1338" t="s">
        <v>343</v>
      </c>
      <c r="B1338" t="s">
        <v>336</v>
      </c>
      <c r="C1338" t="s">
        <v>2</v>
      </c>
      <c r="D1338" s="1">
        <v>45869</v>
      </c>
      <c r="E1338">
        <v>0</v>
      </c>
      <c r="F1338" s="2">
        <v>0</v>
      </c>
      <c r="G1338" s="2">
        <v>0</v>
      </c>
    </row>
    <row r="1339" spans="1:7" hidden="1" x14ac:dyDescent="0.3">
      <c r="A1339" t="s">
        <v>343</v>
      </c>
      <c r="B1339" t="s">
        <v>336</v>
      </c>
      <c r="C1339" t="s">
        <v>2</v>
      </c>
      <c r="D1339" s="1">
        <v>45900</v>
      </c>
      <c r="E1339">
        <v>0</v>
      </c>
      <c r="F1339" s="2">
        <v>0</v>
      </c>
      <c r="G1339" s="2">
        <v>0</v>
      </c>
    </row>
    <row r="1340" spans="1:7" hidden="1" x14ac:dyDescent="0.3">
      <c r="A1340" t="s">
        <v>343</v>
      </c>
      <c r="B1340" t="s">
        <v>336</v>
      </c>
      <c r="C1340" t="s">
        <v>2</v>
      </c>
      <c r="D1340" s="1">
        <v>45930</v>
      </c>
      <c r="E1340">
        <v>0</v>
      </c>
      <c r="F1340" s="2">
        <v>0</v>
      </c>
      <c r="G1340" s="2">
        <v>0</v>
      </c>
    </row>
    <row r="1341" spans="1:7" hidden="1" x14ac:dyDescent="0.3">
      <c r="A1341" t="s">
        <v>343</v>
      </c>
      <c r="B1341" t="s">
        <v>336</v>
      </c>
      <c r="C1341" t="s">
        <v>2</v>
      </c>
      <c r="D1341" s="1">
        <v>45961</v>
      </c>
      <c r="E1341">
        <v>0</v>
      </c>
      <c r="F1341" s="2">
        <v>0</v>
      </c>
      <c r="G1341" s="2">
        <v>0</v>
      </c>
    </row>
    <row r="1342" spans="1:7" hidden="1" x14ac:dyDescent="0.3">
      <c r="A1342" t="s">
        <v>343</v>
      </c>
      <c r="B1342" t="s">
        <v>336</v>
      </c>
      <c r="C1342" t="s">
        <v>2</v>
      </c>
      <c r="D1342" s="1">
        <v>45991</v>
      </c>
      <c r="E1342">
        <v>0</v>
      </c>
      <c r="F1342" s="2">
        <v>0</v>
      </c>
      <c r="G1342" s="2">
        <v>0</v>
      </c>
    </row>
    <row r="1343" spans="1:7" hidden="1" x14ac:dyDescent="0.3">
      <c r="A1343" t="s">
        <v>343</v>
      </c>
      <c r="B1343" t="s">
        <v>336</v>
      </c>
      <c r="C1343" t="s">
        <v>2</v>
      </c>
      <c r="D1343" s="1">
        <v>46022</v>
      </c>
      <c r="E1343">
        <v>0</v>
      </c>
      <c r="F1343" s="2">
        <v>0</v>
      </c>
      <c r="G1343" s="2">
        <v>0</v>
      </c>
    </row>
    <row r="1344" spans="1:7" hidden="1" x14ac:dyDescent="0.3">
      <c r="A1344" t="s">
        <v>131</v>
      </c>
      <c r="B1344" t="s">
        <v>132</v>
      </c>
      <c r="C1344" t="s">
        <v>2</v>
      </c>
      <c r="D1344" s="1">
        <v>45869</v>
      </c>
      <c r="E1344">
        <v>0</v>
      </c>
      <c r="F1344" s="2">
        <v>0</v>
      </c>
      <c r="G1344" s="2">
        <v>494.41000000000167</v>
      </c>
    </row>
    <row r="1345" spans="1:7" hidden="1" x14ac:dyDescent="0.3">
      <c r="A1345" t="s">
        <v>131</v>
      </c>
      <c r="B1345" t="s">
        <v>132</v>
      </c>
      <c r="C1345" t="s">
        <v>2</v>
      </c>
      <c r="D1345" s="1">
        <v>45900</v>
      </c>
      <c r="E1345">
        <v>0</v>
      </c>
      <c r="F1345" s="2">
        <v>0</v>
      </c>
      <c r="G1345" s="2">
        <v>494.41000000000167</v>
      </c>
    </row>
    <row r="1346" spans="1:7" hidden="1" x14ac:dyDescent="0.3">
      <c r="A1346" t="s">
        <v>131</v>
      </c>
      <c r="B1346" t="s">
        <v>132</v>
      </c>
      <c r="C1346" t="s">
        <v>2</v>
      </c>
      <c r="D1346" s="1">
        <v>45930</v>
      </c>
      <c r="E1346">
        <v>0</v>
      </c>
      <c r="F1346" s="2">
        <v>0</v>
      </c>
      <c r="G1346" s="2">
        <v>494.41000000000167</v>
      </c>
    </row>
    <row r="1347" spans="1:7" hidden="1" x14ac:dyDescent="0.3">
      <c r="A1347" t="s">
        <v>131</v>
      </c>
      <c r="B1347" t="s">
        <v>132</v>
      </c>
      <c r="C1347" t="s">
        <v>2</v>
      </c>
      <c r="D1347" s="1">
        <v>45961</v>
      </c>
      <c r="E1347">
        <v>0</v>
      </c>
      <c r="F1347" s="2">
        <v>0</v>
      </c>
      <c r="G1347" s="2">
        <v>494.41000000000167</v>
      </c>
    </row>
    <row r="1348" spans="1:7" hidden="1" x14ac:dyDescent="0.3">
      <c r="A1348" t="s">
        <v>131</v>
      </c>
      <c r="B1348" t="s">
        <v>132</v>
      </c>
      <c r="C1348" t="s">
        <v>2</v>
      </c>
      <c r="D1348" s="1">
        <v>45991</v>
      </c>
      <c r="E1348">
        <v>0</v>
      </c>
      <c r="F1348" s="2">
        <v>0</v>
      </c>
      <c r="G1348" s="2">
        <v>494.41000000000167</v>
      </c>
    </row>
    <row r="1349" spans="1:7" hidden="1" x14ac:dyDescent="0.3">
      <c r="A1349" t="s">
        <v>131</v>
      </c>
      <c r="B1349" t="s">
        <v>132</v>
      </c>
      <c r="C1349" t="s">
        <v>2</v>
      </c>
      <c r="D1349" s="1">
        <v>46022</v>
      </c>
      <c r="E1349">
        <v>0</v>
      </c>
      <c r="F1349" s="2">
        <v>0</v>
      </c>
      <c r="G1349" s="2">
        <v>494.41000000000167</v>
      </c>
    </row>
    <row r="1350" spans="1:7" hidden="1" x14ac:dyDescent="0.3">
      <c r="A1350" t="s">
        <v>181</v>
      </c>
      <c r="B1350" t="s">
        <v>182</v>
      </c>
      <c r="C1350" t="s">
        <v>2</v>
      </c>
      <c r="D1350" s="1">
        <v>45869</v>
      </c>
      <c r="E1350">
        <v>0</v>
      </c>
      <c r="F1350" s="2">
        <v>0</v>
      </c>
      <c r="G1350" s="2">
        <v>1297.5300000000007</v>
      </c>
    </row>
    <row r="1351" spans="1:7" hidden="1" x14ac:dyDescent="0.3">
      <c r="A1351" t="s">
        <v>181</v>
      </c>
      <c r="B1351" t="s">
        <v>182</v>
      </c>
      <c r="C1351" t="s">
        <v>2</v>
      </c>
      <c r="D1351" s="1">
        <v>45900</v>
      </c>
      <c r="E1351">
        <v>0</v>
      </c>
      <c r="F1351" s="2">
        <v>0</v>
      </c>
      <c r="G1351" s="2">
        <v>1297.5300000000007</v>
      </c>
    </row>
    <row r="1352" spans="1:7" hidden="1" x14ac:dyDescent="0.3">
      <c r="A1352" t="s">
        <v>181</v>
      </c>
      <c r="B1352" t="s">
        <v>182</v>
      </c>
      <c r="C1352" t="s">
        <v>2</v>
      </c>
      <c r="D1352" s="1">
        <v>45930</v>
      </c>
      <c r="E1352">
        <v>0</v>
      </c>
      <c r="F1352" s="2">
        <v>0</v>
      </c>
      <c r="G1352" s="2">
        <v>1297.5300000000007</v>
      </c>
    </row>
    <row r="1353" spans="1:7" hidden="1" x14ac:dyDescent="0.3">
      <c r="A1353" t="s">
        <v>181</v>
      </c>
      <c r="B1353" t="s">
        <v>182</v>
      </c>
      <c r="C1353" t="s">
        <v>2</v>
      </c>
      <c r="D1353" s="1">
        <v>45961</v>
      </c>
      <c r="E1353">
        <v>0</v>
      </c>
      <c r="F1353" s="2">
        <v>0</v>
      </c>
      <c r="G1353" s="2">
        <v>1297.5300000000007</v>
      </c>
    </row>
    <row r="1354" spans="1:7" hidden="1" x14ac:dyDescent="0.3">
      <c r="A1354" t="s">
        <v>181</v>
      </c>
      <c r="B1354" t="s">
        <v>182</v>
      </c>
      <c r="C1354" t="s">
        <v>2</v>
      </c>
      <c r="D1354" s="1">
        <v>45991</v>
      </c>
      <c r="E1354">
        <v>0</v>
      </c>
      <c r="F1354" s="2">
        <v>0</v>
      </c>
      <c r="G1354" s="2">
        <v>1297.5300000000007</v>
      </c>
    </row>
    <row r="1355" spans="1:7" hidden="1" x14ac:dyDescent="0.3">
      <c r="A1355" t="s">
        <v>181</v>
      </c>
      <c r="B1355" t="s">
        <v>182</v>
      </c>
      <c r="C1355" t="s">
        <v>2</v>
      </c>
      <c r="D1355" s="1">
        <v>46022</v>
      </c>
      <c r="E1355">
        <v>0</v>
      </c>
      <c r="F1355" s="2">
        <v>0</v>
      </c>
      <c r="G1355" s="2">
        <v>1297.5300000000007</v>
      </c>
    </row>
    <row r="1356" spans="1:7" hidden="1" x14ac:dyDescent="0.3">
      <c r="A1356" t="s">
        <v>231</v>
      </c>
      <c r="B1356" t="s">
        <v>232</v>
      </c>
      <c r="C1356" t="s">
        <v>2</v>
      </c>
      <c r="D1356" s="1">
        <v>45869</v>
      </c>
      <c r="E1356">
        <v>0</v>
      </c>
      <c r="F1356" s="2">
        <v>0</v>
      </c>
      <c r="G1356" s="2">
        <v>911.65000000000146</v>
      </c>
    </row>
    <row r="1357" spans="1:7" hidden="1" x14ac:dyDescent="0.3">
      <c r="A1357" t="s">
        <v>231</v>
      </c>
      <c r="B1357" t="s">
        <v>232</v>
      </c>
      <c r="C1357" t="s">
        <v>2</v>
      </c>
      <c r="D1357" s="1">
        <v>45900</v>
      </c>
      <c r="E1357">
        <v>0</v>
      </c>
      <c r="F1357" s="2">
        <v>0</v>
      </c>
      <c r="G1357" s="2">
        <v>911.65000000000146</v>
      </c>
    </row>
    <row r="1358" spans="1:7" hidden="1" x14ac:dyDescent="0.3">
      <c r="A1358" t="s">
        <v>231</v>
      </c>
      <c r="B1358" t="s">
        <v>232</v>
      </c>
      <c r="C1358" t="s">
        <v>2</v>
      </c>
      <c r="D1358" s="1">
        <v>45930</v>
      </c>
      <c r="E1358">
        <v>0</v>
      </c>
      <c r="F1358" s="2">
        <v>0</v>
      </c>
      <c r="G1358" s="2">
        <v>911.65000000000146</v>
      </c>
    </row>
    <row r="1359" spans="1:7" hidden="1" x14ac:dyDescent="0.3">
      <c r="A1359" t="s">
        <v>231</v>
      </c>
      <c r="B1359" t="s">
        <v>232</v>
      </c>
      <c r="C1359" t="s">
        <v>2</v>
      </c>
      <c r="D1359" s="1">
        <v>45961</v>
      </c>
      <c r="E1359">
        <v>0</v>
      </c>
      <c r="F1359" s="2">
        <v>0</v>
      </c>
      <c r="G1359" s="2">
        <v>911.65000000000146</v>
      </c>
    </row>
    <row r="1360" spans="1:7" hidden="1" x14ac:dyDescent="0.3">
      <c r="A1360" t="s">
        <v>231</v>
      </c>
      <c r="B1360" t="s">
        <v>232</v>
      </c>
      <c r="C1360" t="s">
        <v>2</v>
      </c>
      <c r="D1360" s="1">
        <v>45991</v>
      </c>
      <c r="E1360">
        <v>0</v>
      </c>
      <c r="F1360" s="2">
        <v>0</v>
      </c>
      <c r="G1360" s="2">
        <v>911.65000000000146</v>
      </c>
    </row>
    <row r="1361" spans="1:7" hidden="1" x14ac:dyDescent="0.3">
      <c r="A1361" t="s">
        <v>231</v>
      </c>
      <c r="B1361" t="s">
        <v>232</v>
      </c>
      <c r="C1361" t="s">
        <v>2</v>
      </c>
      <c r="D1361" s="1">
        <v>46022</v>
      </c>
      <c r="E1361">
        <v>0</v>
      </c>
      <c r="F1361" s="2">
        <v>0</v>
      </c>
      <c r="G1361" s="2">
        <v>911.65000000000146</v>
      </c>
    </row>
    <row r="1362" spans="1:7" hidden="1" x14ac:dyDescent="0.3">
      <c r="A1362" t="s">
        <v>417</v>
      </c>
      <c r="B1362" t="s">
        <v>232</v>
      </c>
      <c r="C1362" t="s">
        <v>2</v>
      </c>
      <c r="D1362" s="1">
        <v>45688</v>
      </c>
      <c r="E1362">
        <v>0</v>
      </c>
      <c r="F1362" s="2">
        <v>0</v>
      </c>
      <c r="G1362" s="2">
        <v>0</v>
      </c>
    </row>
    <row r="1363" spans="1:7" hidden="1" x14ac:dyDescent="0.3">
      <c r="A1363" t="s">
        <v>417</v>
      </c>
      <c r="B1363" t="s">
        <v>232</v>
      </c>
      <c r="C1363" t="s">
        <v>2</v>
      </c>
      <c r="D1363" s="1">
        <v>45716</v>
      </c>
      <c r="E1363">
        <v>0</v>
      </c>
      <c r="F1363" s="2">
        <v>0</v>
      </c>
      <c r="G1363" s="2">
        <v>0</v>
      </c>
    </row>
    <row r="1364" spans="1:7" hidden="1" x14ac:dyDescent="0.3">
      <c r="A1364" t="s">
        <v>417</v>
      </c>
      <c r="B1364" t="s">
        <v>232</v>
      </c>
      <c r="C1364" t="s">
        <v>2</v>
      </c>
      <c r="D1364" s="1">
        <v>45747</v>
      </c>
      <c r="E1364">
        <v>0</v>
      </c>
      <c r="F1364" s="2">
        <v>0</v>
      </c>
      <c r="G1364" s="2">
        <v>0</v>
      </c>
    </row>
    <row r="1365" spans="1:7" hidden="1" x14ac:dyDescent="0.3">
      <c r="A1365" t="s">
        <v>417</v>
      </c>
      <c r="B1365" t="s">
        <v>232</v>
      </c>
      <c r="C1365" t="s">
        <v>2</v>
      </c>
      <c r="D1365" s="1">
        <v>45777</v>
      </c>
      <c r="E1365">
        <v>0</v>
      </c>
      <c r="F1365" s="2">
        <v>0</v>
      </c>
      <c r="G1365" s="2">
        <v>0</v>
      </c>
    </row>
    <row r="1366" spans="1:7" hidden="1" x14ac:dyDescent="0.3">
      <c r="A1366" t="s">
        <v>417</v>
      </c>
      <c r="B1366" t="s">
        <v>232</v>
      </c>
      <c r="C1366" t="s">
        <v>2</v>
      </c>
      <c r="D1366" s="1">
        <v>45869</v>
      </c>
      <c r="E1366">
        <v>0</v>
      </c>
      <c r="F1366" s="2">
        <v>0</v>
      </c>
      <c r="G1366" s="2">
        <v>1644.61</v>
      </c>
    </row>
    <row r="1367" spans="1:7" hidden="1" x14ac:dyDescent="0.3">
      <c r="A1367" t="s">
        <v>417</v>
      </c>
      <c r="B1367" t="s">
        <v>232</v>
      </c>
      <c r="C1367" t="s">
        <v>2</v>
      </c>
      <c r="D1367" s="1">
        <v>45900</v>
      </c>
      <c r="E1367">
        <v>0</v>
      </c>
      <c r="F1367" s="2">
        <v>0</v>
      </c>
      <c r="G1367" s="2">
        <v>1644.61</v>
      </c>
    </row>
    <row r="1368" spans="1:7" hidden="1" x14ac:dyDescent="0.3">
      <c r="A1368" t="s">
        <v>417</v>
      </c>
      <c r="B1368" t="s">
        <v>232</v>
      </c>
      <c r="C1368" t="s">
        <v>2</v>
      </c>
      <c r="D1368" s="1">
        <v>45930</v>
      </c>
      <c r="E1368">
        <v>0</v>
      </c>
      <c r="F1368" s="2">
        <v>0</v>
      </c>
      <c r="G1368" s="2">
        <v>1644.61</v>
      </c>
    </row>
    <row r="1369" spans="1:7" hidden="1" x14ac:dyDescent="0.3">
      <c r="A1369" t="s">
        <v>417</v>
      </c>
      <c r="B1369" t="s">
        <v>232</v>
      </c>
      <c r="C1369" t="s">
        <v>2</v>
      </c>
      <c r="D1369" s="1">
        <v>45961</v>
      </c>
      <c r="E1369">
        <v>0</v>
      </c>
      <c r="F1369" s="2">
        <v>0</v>
      </c>
      <c r="G1369" s="2">
        <v>1644.61</v>
      </c>
    </row>
    <row r="1370" spans="1:7" hidden="1" x14ac:dyDescent="0.3">
      <c r="A1370" t="s">
        <v>417</v>
      </c>
      <c r="B1370" t="s">
        <v>232</v>
      </c>
      <c r="C1370" t="s">
        <v>2</v>
      </c>
      <c r="D1370" s="1">
        <v>45991</v>
      </c>
      <c r="E1370">
        <v>0</v>
      </c>
      <c r="F1370" s="2">
        <v>0</v>
      </c>
      <c r="G1370" s="2">
        <v>1644.61</v>
      </c>
    </row>
    <row r="1371" spans="1:7" hidden="1" x14ac:dyDescent="0.3">
      <c r="A1371" t="s">
        <v>417</v>
      </c>
      <c r="B1371" t="s">
        <v>232</v>
      </c>
      <c r="C1371" t="s">
        <v>2</v>
      </c>
      <c r="D1371" s="1">
        <v>46022</v>
      </c>
      <c r="E1371">
        <v>0</v>
      </c>
      <c r="F1371" s="2">
        <v>0</v>
      </c>
      <c r="G1371" s="2">
        <v>1644.61</v>
      </c>
    </row>
    <row r="1372" spans="1:7" hidden="1" x14ac:dyDescent="0.3">
      <c r="A1372" t="s">
        <v>75</v>
      </c>
      <c r="B1372" t="s">
        <v>76</v>
      </c>
      <c r="C1372" t="s">
        <v>2</v>
      </c>
      <c r="D1372" s="1">
        <v>45869</v>
      </c>
      <c r="E1372">
        <v>0</v>
      </c>
      <c r="F1372" s="2">
        <v>0</v>
      </c>
      <c r="G1372" s="2">
        <v>1035.0700000000015</v>
      </c>
    </row>
    <row r="1373" spans="1:7" hidden="1" x14ac:dyDescent="0.3">
      <c r="A1373" t="s">
        <v>75</v>
      </c>
      <c r="B1373" t="s">
        <v>76</v>
      </c>
      <c r="C1373" t="s">
        <v>2</v>
      </c>
      <c r="D1373" s="1">
        <v>45900</v>
      </c>
      <c r="E1373">
        <v>0</v>
      </c>
      <c r="F1373" s="2">
        <v>0</v>
      </c>
      <c r="G1373" s="2">
        <v>1035.0700000000015</v>
      </c>
    </row>
    <row r="1374" spans="1:7" hidden="1" x14ac:dyDescent="0.3">
      <c r="A1374" t="s">
        <v>75</v>
      </c>
      <c r="B1374" t="s">
        <v>76</v>
      </c>
      <c r="C1374" t="s">
        <v>2</v>
      </c>
      <c r="D1374" s="1">
        <v>45930</v>
      </c>
      <c r="E1374">
        <v>0</v>
      </c>
      <c r="F1374" s="2">
        <v>0</v>
      </c>
      <c r="G1374" s="2">
        <v>1035.0700000000015</v>
      </c>
    </row>
    <row r="1375" spans="1:7" hidden="1" x14ac:dyDescent="0.3">
      <c r="A1375" t="s">
        <v>75</v>
      </c>
      <c r="B1375" t="s">
        <v>76</v>
      </c>
      <c r="C1375" t="s">
        <v>2</v>
      </c>
      <c r="D1375" s="1">
        <v>45961</v>
      </c>
      <c r="E1375">
        <v>0</v>
      </c>
      <c r="F1375" s="2">
        <v>0</v>
      </c>
      <c r="G1375" s="2">
        <v>1035.0700000000015</v>
      </c>
    </row>
    <row r="1376" spans="1:7" hidden="1" x14ac:dyDescent="0.3">
      <c r="A1376" t="s">
        <v>75</v>
      </c>
      <c r="B1376" t="s">
        <v>76</v>
      </c>
      <c r="C1376" t="s">
        <v>2</v>
      </c>
      <c r="D1376" s="1">
        <v>45991</v>
      </c>
      <c r="E1376">
        <v>0</v>
      </c>
      <c r="F1376" s="2">
        <v>0</v>
      </c>
      <c r="G1376" s="2">
        <v>1035.0700000000015</v>
      </c>
    </row>
    <row r="1377" spans="1:7" hidden="1" x14ac:dyDescent="0.3">
      <c r="A1377" t="s">
        <v>75</v>
      </c>
      <c r="B1377" t="s">
        <v>76</v>
      </c>
      <c r="C1377" t="s">
        <v>2</v>
      </c>
      <c r="D1377" s="1">
        <v>46022</v>
      </c>
      <c r="E1377">
        <v>0</v>
      </c>
      <c r="F1377" s="2">
        <v>0</v>
      </c>
      <c r="G1377" s="2">
        <v>1035.0700000000015</v>
      </c>
    </row>
    <row r="1378" spans="1:7" hidden="1" x14ac:dyDescent="0.3">
      <c r="A1378" t="s">
        <v>189</v>
      </c>
      <c r="B1378" t="s">
        <v>190</v>
      </c>
      <c r="C1378" t="s">
        <v>2</v>
      </c>
      <c r="D1378" s="1">
        <v>45869</v>
      </c>
      <c r="E1378">
        <v>0</v>
      </c>
      <c r="F1378" s="2">
        <v>0</v>
      </c>
      <c r="G1378" s="2">
        <v>2417.4299999999985</v>
      </c>
    </row>
    <row r="1379" spans="1:7" hidden="1" x14ac:dyDescent="0.3">
      <c r="A1379" t="s">
        <v>189</v>
      </c>
      <c r="B1379" t="s">
        <v>190</v>
      </c>
      <c r="C1379" t="s">
        <v>2</v>
      </c>
      <c r="D1379" s="1">
        <v>45900</v>
      </c>
      <c r="E1379">
        <v>0</v>
      </c>
      <c r="F1379" s="2">
        <v>0</v>
      </c>
      <c r="G1379" s="2">
        <v>2417.4299999999985</v>
      </c>
    </row>
    <row r="1380" spans="1:7" hidden="1" x14ac:dyDescent="0.3">
      <c r="A1380" t="s">
        <v>189</v>
      </c>
      <c r="B1380" t="s">
        <v>190</v>
      </c>
      <c r="C1380" t="s">
        <v>2</v>
      </c>
      <c r="D1380" s="1">
        <v>45930</v>
      </c>
      <c r="E1380">
        <v>0</v>
      </c>
      <c r="F1380" s="2">
        <v>0</v>
      </c>
      <c r="G1380" s="2">
        <v>2417.4299999999985</v>
      </c>
    </row>
    <row r="1381" spans="1:7" hidden="1" x14ac:dyDescent="0.3">
      <c r="A1381" t="s">
        <v>189</v>
      </c>
      <c r="B1381" t="s">
        <v>190</v>
      </c>
      <c r="C1381" t="s">
        <v>2</v>
      </c>
      <c r="D1381" s="1">
        <v>45961</v>
      </c>
      <c r="E1381">
        <v>0</v>
      </c>
      <c r="F1381" s="2">
        <v>0</v>
      </c>
      <c r="G1381" s="2">
        <v>2417.4299999999985</v>
      </c>
    </row>
    <row r="1382" spans="1:7" hidden="1" x14ac:dyDescent="0.3">
      <c r="A1382" t="s">
        <v>189</v>
      </c>
      <c r="B1382" t="s">
        <v>190</v>
      </c>
      <c r="C1382" t="s">
        <v>2</v>
      </c>
      <c r="D1382" s="1">
        <v>45991</v>
      </c>
      <c r="E1382">
        <v>0</v>
      </c>
      <c r="F1382" s="2">
        <v>0</v>
      </c>
      <c r="G1382" s="2">
        <v>2417.4299999999985</v>
      </c>
    </row>
    <row r="1383" spans="1:7" hidden="1" x14ac:dyDescent="0.3">
      <c r="A1383" t="s">
        <v>189</v>
      </c>
      <c r="B1383" t="s">
        <v>190</v>
      </c>
      <c r="C1383" t="s">
        <v>2</v>
      </c>
      <c r="D1383" s="1">
        <v>46022</v>
      </c>
      <c r="E1383">
        <v>0</v>
      </c>
      <c r="F1383" s="2">
        <v>0</v>
      </c>
      <c r="G1383" s="2">
        <v>2417.4299999999985</v>
      </c>
    </row>
    <row r="1384" spans="1:7" hidden="1" x14ac:dyDescent="0.3">
      <c r="A1384" t="s">
        <v>81</v>
      </c>
      <c r="B1384" t="s">
        <v>82</v>
      </c>
      <c r="C1384" t="s">
        <v>2</v>
      </c>
      <c r="D1384" s="1">
        <v>45869</v>
      </c>
      <c r="E1384">
        <v>0</v>
      </c>
      <c r="F1384" s="2">
        <v>0</v>
      </c>
      <c r="G1384" s="2">
        <v>3491.7799999999952</v>
      </c>
    </row>
    <row r="1385" spans="1:7" hidden="1" x14ac:dyDescent="0.3">
      <c r="A1385" t="s">
        <v>81</v>
      </c>
      <c r="B1385" t="s">
        <v>82</v>
      </c>
      <c r="C1385" t="s">
        <v>2</v>
      </c>
      <c r="D1385" s="1">
        <v>45900</v>
      </c>
      <c r="E1385">
        <v>0</v>
      </c>
      <c r="F1385" s="2">
        <v>0</v>
      </c>
      <c r="G1385" s="2">
        <v>3491.7799999999952</v>
      </c>
    </row>
    <row r="1386" spans="1:7" hidden="1" x14ac:dyDescent="0.3">
      <c r="A1386" t="s">
        <v>81</v>
      </c>
      <c r="B1386" t="s">
        <v>82</v>
      </c>
      <c r="C1386" t="s">
        <v>2</v>
      </c>
      <c r="D1386" s="1">
        <v>45930</v>
      </c>
      <c r="E1386">
        <v>0</v>
      </c>
      <c r="F1386" s="2">
        <v>0</v>
      </c>
      <c r="G1386" s="2">
        <v>3491.7799999999952</v>
      </c>
    </row>
    <row r="1387" spans="1:7" hidden="1" x14ac:dyDescent="0.3">
      <c r="A1387" t="s">
        <v>81</v>
      </c>
      <c r="B1387" t="s">
        <v>82</v>
      </c>
      <c r="C1387" t="s">
        <v>2</v>
      </c>
      <c r="D1387" s="1">
        <v>45961</v>
      </c>
      <c r="E1387">
        <v>0</v>
      </c>
      <c r="F1387" s="2">
        <v>0</v>
      </c>
      <c r="G1387" s="2">
        <v>3491.7799999999952</v>
      </c>
    </row>
    <row r="1388" spans="1:7" hidden="1" x14ac:dyDescent="0.3">
      <c r="A1388" t="s">
        <v>81</v>
      </c>
      <c r="B1388" t="s">
        <v>82</v>
      </c>
      <c r="C1388" t="s">
        <v>2</v>
      </c>
      <c r="D1388" s="1">
        <v>45991</v>
      </c>
      <c r="E1388">
        <v>0</v>
      </c>
      <c r="F1388" s="2">
        <v>0</v>
      </c>
      <c r="G1388" s="2">
        <v>3491.7799999999952</v>
      </c>
    </row>
    <row r="1389" spans="1:7" hidden="1" x14ac:dyDescent="0.3">
      <c r="A1389" t="s">
        <v>81</v>
      </c>
      <c r="B1389" t="s">
        <v>82</v>
      </c>
      <c r="C1389" t="s">
        <v>2</v>
      </c>
      <c r="D1389" s="1">
        <v>46022</v>
      </c>
      <c r="E1389">
        <v>0</v>
      </c>
      <c r="F1389" s="2">
        <v>0</v>
      </c>
      <c r="G1389" s="2">
        <v>3491.7799999999952</v>
      </c>
    </row>
    <row r="1390" spans="1:7" hidden="1" x14ac:dyDescent="0.3">
      <c r="A1390" t="s">
        <v>107</v>
      </c>
      <c r="B1390" t="s">
        <v>108</v>
      </c>
      <c r="C1390" t="s">
        <v>2</v>
      </c>
      <c r="D1390" s="1">
        <v>45869</v>
      </c>
      <c r="E1390">
        <v>0</v>
      </c>
      <c r="F1390" s="2">
        <v>0</v>
      </c>
      <c r="G1390" s="2">
        <v>1574.0699999999997</v>
      </c>
    </row>
    <row r="1391" spans="1:7" hidden="1" x14ac:dyDescent="0.3">
      <c r="A1391" t="s">
        <v>107</v>
      </c>
      <c r="B1391" t="s">
        <v>108</v>
      </c>
      <c r="C1391" t="s">
        <v>2</v>
      </c>
      <c r="D1391" s="1">
        <v>45900</v>
      </c>
      <c r="E1391">
        <v>0</v>
      </c>
      <c r="F1391" s="2">
        <v>0</v>
      </c>
      <c r="G1391" s="2">
        <v>1574.0699999999997</v>
      </c>
    </row>
    <row r="1392" spans="1:7" hidden="1" x14ac:dyDescent="0.3">
      <c r="A1392" t="s">
        <v>107</v>
      </c>
      <c r="B1392" t="s">
        <v>108</v>
      </c>
      <c r="C1392" t="s">
        <v>2</v>
      </c>
      <c r="D1392" s="1">
        <v>45930</v>
      </c>
      <c r="E1392">
        <v>0</v>
      </c>
      <c r="F1392" s="2">
        <v>0</v>
      </c>
      <c r="G1392" s="2">
        <v>1574.0699999999997</v>
      </c>
    </row>
    <row r="1393" spans="1:7" hidden="1" x14ac:dyDescent="0.3">
      <c r="A1393" t="s">
        <v>107</v>
      </c>
      <c r="B1393" t="s">
        <v>108</v>
      </c>
      <c r="C1393" t="s">
        <v>2</v>
      </c>
      <c r="D1393" s="1">
        <v>45961</v>
      </c>
      <c r="E1393">
        <v>0</v>
      </c>
      <c r="F1393" s="2">
        <v>0</v>
      </c>
      <c r="G1393" s="2">
        <v>1574.0699999999997</v>
      </c>
    </row>
    <row r="1394" spans="1:7" hidden="1" x14ac:dyDescent="0.3">
      <c r="A1394" t="s">
        <v>107</v>
      </c>
      <c r="B1394" t="s">
        <v>108</v>
      </c>
      <c r="C1394" t="s">
        <v>2</v>
      </c>
      <c r="D1394" s="1">
        <v>45991</v>
      </c>
      <c r="E1394">
        <v>0</v>
      </c>
      <c r="F1394" s="2">
        <v>0</v>
      </c>
      <c r="G1394" s="2">
        <v>1574.0699999999997</v>
      </c>
    </row>
    <row r="1395" spans="1:7" hidden="1" x14ac:dyDescent="0.3">
      <c r="A1395" t="s">
        <v>107</v>
      </c>
      <c r="B1395" t="s">
        <v>108</v>
      </c>
      <c r="C1395" t="s">
        <v>2</v>
      </c>
      <c r="D1395" s="1">
        <v>46022</v>
      </c>
      <c r="E1395">
        <v>0</v>
      </c>
      <c r="F1395" s="2">
        <v>0</v>
      </c>
      <c r="G1395" s="2">
        <v>1574.0699999999997</v>
      </c>
    </row>
    <row r="1396" spans="1:7" hidden="1" x14ac:dyDescent="0.3">
      <c r="A1396" t="s">
        <v>183</v>
      </c>
      <c r="B1396" t="s">
        <v>184</v>
      </c>
      <c r="C1396" t="s">
        <v>2</v>
      </c>
      <c r="D1396" s="1">
        <v>45869</v>
      </c>
      <c r="E1396">
        <v>0</v>
      </c>
      <c r="F1396" s="2">
        <v>0</v>
      </c>
      <c r="G1396" s="2">
        <v>1734.1599999999999</v>
      </c>
    </row>
    <row r="1397" spans="1:7" hidden="1" x14ac:dyDescent="0.3">
      <c r="A1397" t="s">
        <v>183</v>
      </c>
      <c r="B1397" t="s">
        <v>184</v>
      </c>
      <c r="C1397" t="s">
        <v>2</v>
      </c>
      <c r="D1397" s="1">
        <v>45900</v>
      </c>
      <c r="E1397">
        <v>0</v>
      </c>
      <c r="F1397" s="2">
        <v>0</v>
      </c>
      <c r="G1397" s="2">
        <v>1734.1599999999999</v>
      </c>
    </row>
    <row r="1398" spans="1:7" hidden="1" x14ac:dyDescent="0.3">
      <c r="A1398" t="s">
        <v>183</v>
      </c>
      <c r="B1398" t="s">
        <v>184</v>
      </c>
      <c r="C1398" t="s">
        <v>2</v>
      </c>
      <c r="D1398" s="1">
        <v>45930</v>
      </c>
      <c r="E1398">
        <v>0</v>
      </c>
      <c r="F1398" s="2">
        <v>0</v>
      </c>
      <c r="G1398" s="2">
        <v>1734.1599999999999</v>
      </c>
    </row>
    <row r="1399" spans="1:7" hidden="1" x14ac:dyDescent="0.3">
      <c r="A1399" t="s">
        <v>183</v>
      </c>
      <c r="B1399" t="s">
        <v>184</v>
      </c>
      <c r="C1399" t="s">
        <v>2</v>
      </c>
      <c r="D1399" s="1">
        <v>45961</v>
      </c>
      <c r="E1399">
        <v>0</v>
      </c>
      <c r="F1399" s="2">
        <v>0</v>
      </c>
      <c r="G1399" s="2">
        <v>1734.1599999999999</v>
      </c>
    </row>
    <row r="1400" spans="1:7" hidden="1" x14ac:dyDescent="0.3">
      <c r="A1400" t="s">
        <v>183</v>
      </c>
      <c r="B1400" t="s">
        <v>184</v>
      </c>
      <c r="C1400" t="s">
        <v>2</v>
      </c>
      <c r="D1400" s="1">
        <v>45991</v>
      </c>
      <c r="E1400">
        <v>0</v>
      </c>
      <c r="F1400" s="2">
        <v>0</v>
      </c>
      <c r="G1400" s="2">
        <v>1734.1599999999999</v>
      </c>
    </row>
    <row r="1401" spans="1:7" hidden="1" x14ac:dyDescent="0.3">
      <c r="A1401" t="s">
        <v>183</v>
      </c>
      <c r="B1401" t="s">
        <v>184</v>
      </c>
      <c r="C1401" t="s">
        <v>2</v>
      </c>
      <c r="D1401" s="1">
        <v>46022</v>
      </c>
      <c r="E1401">
        <v>0</v>
      </c>
      <c r="F1401" s="2">
        <v>0</v>
      </c>
      <c r="G1401" s="2">
        <v>1734.1599999999999</v>
      </c>
    </row>
    <row r="1402" spans="1:7" hidden="1" x14ac:dyDescent="0.3">
      <c r="A1402" t="s">
        <v>103</v>
      </c>
      <c r="B1402" t="s">
        <v>104</v>
      </c>
      <c r="C1402" t="s">
        <v>2</v>
      </c>
      <c r="D1402" s="1">
        <v>45838</v>
      </c>
      <c r="E1402">
        <v>0</v>
      </c>
      <c r="F1402" s="2">
        <v>0</v>
      </c>
      <c r="G1402" s="2">
        <v>0</v>
      </c>
    </row>
    <row r="1403" spans="1:7" hidden="1" x14ac:dyDescent="0.3">
      <c r="A1403" t="s">
        <v>103</v>
      </c>
      <c r="B1403" t="s">
        <v>104</v>
      </c>
      <c r="C1403" t="s">
        <v>2</v>
      </c>
      <c r="D1403" s="1">
        <v>45869</v>
      </c>
      <c r="E1403">
        <v>0</v>
      </c>
      <c r="F1403" s="2">
        <v>0</v>
      </c>
      <c r="G1403" s="2">
        <v>0</v>
      </c>
    </row>
    <row r="1404" spans="1:7" hidden="1" x14ac:dyDescent="0.3">
      <c r="A1404" t="s">
        <v>103</v>
      </c>
      <c r="B1404" t="s">
        <v>104</v>
      </c>
      <c r="C1404" t="s">
        <v>2</v>
      </c>
      <c r="D1404" s="1">
        <v>45900</v>
      </c>
      <c r="E1404">
        <v>0</v>
      </c>
      <c r="F1404" s="2">
        <v>0</v>
      </c>
      <c r="G1404" s="2">
        <v>0</v>
      </c>
    </row>
    <row r="1405" spans="1:7" hidden="1" x14ac:dyDescent="0.3">
      <c r="A1405" t="s">
        <v>103</v>
      </c>
      <c r="B1405" t="s">
        <v>104</v>
      </c>
      <c r="C1405" t="s">
        <v>2</v>
      </c>
      <c r="D1405" s="1">
        <v>45930</v>
      </c>
      <c r="E1405">
        <v>0</v>
      </c>
      <c r="F1405" s="2">
        <v>0</v>
      </c>
      <c r="G1405" s="2">
        <v>0</v>
      </c>
    </row>
    <row r="1406" spans="1:7" hidden="1" x14ac:dyDescent="0.3">
      <c r="A1406" t="s">
        <v>103</v>
      </c>
      <c r="B1406" t="s">
        <v>104</v>
      </c>
      <c r="C1406" t="s">
        <v>2</v>
      </c>
      <c r="D1406" s="1">
        <v>45961</v>
      </c>
      <c r="E1406">
        <v>0</v>
      </c>
      <c r="F1406" s="2">
        <v>0</v>
      </c>
      <c r="G1406" s="2">
        <v>0</v>
      </c>
    </row>
    <row r="1407" spans="1:7" hidden="1" x14ac:dyDescent="0.3">
      <c r="A1407" t="s">
        <v>103</v>
      </c>
      <c r="B1407" t="s">
        <v>104</v>
      </c>
      <c r="C1407" t="s">
        <v>2</v>
      </c>
      <c r="D1407" s="1">
        <v>45991</v>
      </c>
      <c r="E1407">
        <v>0</v>
      </c>
      <c r="F1407" s="2">
        <v>0</v>
      </c>
      <c r="G1407" s="2">
        <v>0</v>
      </c>
    </row>
    <row r="1408" spans="1:7" hidden="1" x14ac:dyDescent="0.3">
      <c r="A1408" t="s">
        <v>103</v>
      </c>
      <c r="B1408" t="s">
        <v>104</v>
      </c>
      <c r="C1408" t="s">
        <v>2</v>
      </c>
      <c r="D1408" s="1">
        <v>46022</v>
      </c>
      <c r="E1408">
        <v>0</v>
      </c>
      <c r="F1408" s="2">
        <v>0</v>
      </c>
      <c r="G1408" s="2">
        <v>0</v>
      </c>
    </row>
    <row r="1409" spans="1:7" hidden="1" x14ac:dyDescent="0.3">
      <c r="A1409" t="s">
        <v>263</v>
      </c>
      <c r="B1409" t="s">
        <v>264</v>
      </c>
      <c r="C1409" t="s">
        <v>2</v>
      </c>
      <c r="D1409" s="1">
        <v>45869</v>
      </c>
      <c r="E1409">
        <v>0</v>
      </c>
      <c r="F1409" s="2">
        <v>0</v>
      </c>
      <c r="G1409" s="2">
        <v>1310.6099999999997</v>
      </c>
    </row>
    <row r="1410" spans="1:7" hidden="1" x14ac:dyDescent="0.3">
      <c r="A1410" t="s">
        <v>263</v>
      </c>
      <c r="B1410" t="s">
        <v>264</v>
      </c>
      <c r="C1410" t="s">
        <v>2</v>
      </c>
      <c r="D1410" s="1">
        <v>45900</v>
      </c>
      <c r="E1410">
        <v>0</v>
      </c>
      <c r="F1410" s="2">
        <v>0</v>
      </c>
      <c r="G1410" s="2">
        <v>1310.6099999999997</v>
      </c>
    </row>
    <row r="1411" spans="1:7" hidden="1" x14ac:dyDescent="0.3">
      <c r="A1411" t="s">
        <v>263</v>
      </c>
      <c r="B1411" t="s">
        <v>264</v>
      </c>
      <c r="C1411" t="s">
        <v>2</v>
      </c>
      <c r="D1411" s="1">
        <v>45930</v>
      </c>
      <c r="E1411">
        <v>0</v>
      </c>
      <c r="F1411" s="2">
        <v>0</v>
      </c>
      <c r="G1411" s="2">
        <v>1310.6099999999997</v>
      </c>
    </row>
    <row r="1412" spans="1:7" hidden="1" x14ac:dyDescent="0.3">
      <c r="A1412" t="s">
        <v>263</v>
      </c>
      <c r="B1412" t="s">
        <v>264</v>
      </c>
      <c r="C1412" t="s">
        <v>2</v>
      </c>
      <c r="D1412" s="1">
        <v>45961</v>
      </c>
      <c r="E1412">
        <v>0</v>
      </c>
      <c r="F1412" s="2">
        <v>0</v>
      </c>
      <c r="G1412" s="2">
        <v>1310.6099999999997</v>
      </c>
    </row>
    <row r="1413" spans="1:7" hidden="1" x14ac:dyDescent="0.3">
      <c r="A1413" t="s">
        <v>263</v>
      </c>
      <c r="B1413" t="s">
        <v>264</v>
      </c>
      <c r="C1413" t="s">
        <v>2</v>
      </c>
      <c r="D1413" s="1">
        <v>45991</v>
      </c>
      <c r="E1413">
        <v>0</v>
      </c>
      <c r="F1413" s="2">
        <v>0</v>
      </c>
      <c r="G1413" s="2">
        <v>1310.6099999999997</v>
      </c>
    </row>
    <row r="1414" spans="1:7" hidden="1" x14ac:dyDescent="0.3">
      <c r="A1414" t="s">
        <v>263</v>
      </c>
      <c r="B1414" t="s">
        <v>264</v>
      </c>
      <c r="C1414" t="s">
        <v>2</v>
      </c>
      <c r="D1414" s="1">
        <v>46022</v>
      </c>
      <c r="E1414">
        <v>0</v>
      </c>
      <c r="F1414" s="2">
        <v>0</v>
      </c>
      <c r="G1414" s="2">
        <v>1310.6099999999997</v>
      </c>
    </row>
    <row r="1415" spans="1:7" hidden="1" x14ac:dyDescent="0.3">
      <c r="A1415" t="s">
        <v>319</v>
      </c>
      <c r="B1415" t="s">
        <v>320</v>
      </c>
      <c r="C1415" t="s">
        <v>2</v>
      </c>
      <c r="D1415" s="1">
        <v>45869</v>
      </c>
      <c r="E1415">
        <v>0</v>
      </c>
      <c r="F1415" s="2">
        <v>0</v>
      </c>
      <c r="G1415" s="2">
        <v>2211.0000000000018</v>
      </c>
    </row>
    <row r="1416" spans="1:7" hidden="1" x14ac:dyDescent="0.3">
      <c r="A1416" t="s">
        <v>319</v>
      </c>
      <c r="B1416" t="s">
        <v>320</v>
      </c>
      <c r="C1416" t="s">
        <v>2</v>
      </c>
      <c r="D1416" s="1">
        <v>45900</v>
      </c>
      <c r="E1416">
        <v>0</v>
      </c>
      <c r="F1416" s="2">
        <v>0</v>
      </c>
      <c r="G1416" s="2">
        <v>2211.0000000000018</v>
      </c>
    </row>
    <row r="1417" spans="1:7" hidden="1" x14ac:dyDescent="0.3">
      <c r="A1417" t="s">
        <v>319</v>
      </c>
      <c r="B1417" t="s">
        <v>320</v>
      </c>
      <c r="C1417" t="s">
        <v>2</v>
      </c>
      <c r="D1417" s="1">
        <v>45930</v>
      </c>
      <c r="E1417">
        <v>0</v>
      </c>
      <c r="F1417" s="2">
        <v>0</v>
      </c>
      <c r="G1417" s="2">
        <v>2211.0000000000018</v>
      </c>
    </row>
    <row r="1418" spans="1:7" hidden="1" x14ac:dyDescent="0.3">
      <c r="A1418" t="s">
        <v>319</v>
      </c>
      <c r="B1418" t="s">
        <v>320</v>
      </c>
      <c r="C1418" t="s">
        <v>2</v>
      </c>
      <c r="D1418" s="1">
        <v>45961</v>
      </c>
      <c r="E1418">
        <v>0</v>
      </c>
      <c r="F1418" s="2">
        <v>0</v>
      </c>
      <c r="G1418" s="2">
        <v>2211.0000000000018</v>
      </c>
    </row>
    <row r="1419" spans="1:7" hidden="1" x14ac:dyDescent="0.3">
      <c r="A1419" t="s">
        <v>319</v>
      </c>
      <c r="B1419" t="s">
        <v>320</v>
      </c>
      <c r="C1419" t="s">
        <v>2</v>
      </c>
      <c r="D1419" s="1">
        <v>45991</v>
      </c>
      <c r="E1419">
        <v>0</v>
      </c>
      <c r="F1419" s="2">
        <v>0</v>
      </c>
      <c r="G1419" s="2">
        <v>2211.0000000000018</v>
      </c>
    </row>
    <row r="1420" spans="1:7" hidden="1" x14ac:dyDescent="0.3">
      <c r="A1420" t="s">
        <v>319</v>
      </c>
      <c r="B1420" t="s">
        <v>320</v>
      </c>
      <c r="C1420" t="s">
        <v>2</v>
      </c>
      <c r="D1420" s="1">
        <v>46022</v>
      </c>
      <c r="E1420">
        <v>0</v>
      </c>
      <c r="F1420" s="2">
        <v>0</v>
      </c>
      <c r="G1420" s="2">
        <v>2211.0000000000018</v>
      </c>
    </row>
    <row r="1421" spans="1:7" hidden="1" x14ac:dyDescent="0.3">
      <c r="A1421" t="s">
        <v>384</v>
      </c>
      <c r="B1421" t="s">
        <v>385</v>
      </c>
      <c r="C1421" t="s">
        <v>2</v>
      </c>
      <c r="D1421" s="1">
        <v>45688</v>
      </c>
      <c r="E1421">
        <v>0</v>
      </c>
      <c r="F1421" s="2">
        <v>0</v>
      </c>
      <c r="G1421" s="2">
        <v>0</v>
      </c>
    </row>
    <row r="1422" spans="1:7" hidden="1" x14ac:dyDescent="0.3">
      <c r="A1422" t="s">
        <v>384</v>
      </c>
      <c r="B1422" t="s">
        <v>385</v>
      </c>
      <c r="C1422" t="s">
        <v>2</v>
      </c>
      <c r="D1422" s="1">
        <v>45716</v>
      </c>
      <c r="E1422">
        <v>0</v>
      </c>
      <c r="F1422" s="2">
        <v>0</v>
      </c>
      <c r="G1422" s="2">
        <v>0</v>
      </c>
    </row>
    <row r="1423" spans="1:7" hidden="1" x14ac:dyDescent="0.3">
      <c r="A1423" t="s">
        <v>384</v>
      </c>
      <c r="B1423" t="s">
        <v>385</v>
      </c>
      <c r="C1423" t="s">
        <v>2</v>
      </c>
      <c r="D1423" s="1">
        <v>45869</v>
      </c>
      <c r="E1423">
        <v>0</v>
      </c>
      <c r="F1423" s="2">
        <v>0</v>
      </c>
      <c r="G1423" s="2">
        <v>2444.5200000000004</v>
      </c>
    </row>
    <row r="1424" spans="1:7" hidden="1" x14ac:dyDescent="0.3">
      <c r="A1424" t="s">
        <v>384</v>
      </c>
      <c r="B1424" t="s">
        <v>385</v>
      </c>
      <c r="C1424" t="s">
        <v>2</v>
      </c>
      <c r="D1424" s="1">
        <v>45900</v>
      </c>
      <c r="E1424">
        <v>0</v>
      </c>
      <c r="F1424" s="2">
        <v>0</v>
      </c>
      <c r="G1424" s="2">
        <v>2444.5200000000004</v>
      </c>
    </row>
    <row r="1425" spans="1:7" hidden="1" x14ac:dyDescent="0.3">
      <c r="A1425" t="s">
        <v>384</v>
      </c>
      <c r="B1425" t="s">
        <v>385</v>
      </c>
      <c r="C1425" t="s">
        <v>2</v>
      </c>
      <c r="D1425" s="1">
        <v>45930</v>
      </c>
      <c r="E1425">
        <v>0</v>
      </c>
      <c r="F1425" s="2">
        <v>0</v>
      </c>
      <c r="G1425" s="2">
        <v>2444.5200000000004</v>
      </c>
    </row>
    <row r="1426" spans="1:7" hidden="1" x14ac:dyDescent="0.3">
      <c r="A1426" t="s">
        <v>384</v>
      </c>
      <c r="B1426" t="s">
        <v>385</v>
      </c>
      <c r="C1426" t="s">
        <v>2</v>
      </c>
      <c r="D1426" s="1">
        <v>45961</v>
      </c>
      <c r="E1426">
        <v>0</v>
      </c>
      <c r="F1426" s="2">
        <v>0</v>
      </c>
      <c r="G1426" s="2">
        <v>2444.5200000000004</v>
      </c>
    </row>
    <row r="1427" spans="1:7" hidden="1" x14ac:dyDescent="0.3">
      <c r="A1427" t="s">
        <v>384</v>
      </c>
      <c r="B1427" t="s">
        <v>385</v>
      </c>
      <c r="C1427" t="s">
        <v>2</v>
      </c>
      <c r="D1427" s="1">
        <v>45991</v>
      </c>
      <c r="E1427">
        <v>0</v>
      </c>
      <c r="F1427" s="2">
        <v>0</v>
      </c>
      <c r="G1427" s="2">
        <v>2444.5200000000004</v>
      </c>
    </row>
    <row r="1428" spans="1:7" hidden="1" x14ac:dyDescent="0.3">
      <c r="A1428" t="s">
        <v>384</v>
      </c>
      <c r="B1428" t="s">
        <v>385</v>
      </c>
      <c r="C1428" t="s">
        <v>2</v>
      </c>
      <c r="D1428" s="1">
        <v>46022</v>
      </c>
      <c r="E1428">
        <v>0</v>
      </c>
      <c r="F1428" s="2">
        <v>0</v>
      </c>
      <c r="G1428" s="2">
        <v>2444.5200000000004</v>
      </c>
    </row>
    <row r="1429" spans="1:7" hidden="1" x14ac:dyDescent="0.3">
      <c r="A1429" t="s">
        <v>247</v>
      </c>
      <c r="B1429" t="s">
        <v>248</v>
      </c>
      <c r="C1429" t="s">
        <v>2</v>
      </c>
      <c r="D1429" s="1">
        <v>45869</v>
      </c>
      <c r="E1429">
        <v>0</v>
      </c>
      <c r="F1429" s="2">
        <v>0</v>
      </c>
      <c r="G1429" s="2">
        <v>1654.6799999999985</v>
      </c>
    </row>
    <row r="1430" spans="1:7" hidden="1" x14ac:dyDescent="0.3">
      <c r="A1430" t="s">
        <v>247</v>
      </c>
      <c r="B1430" t="s">
        <v>248</v>
      </c>
      <c r="C1430" t="s">
        <v>2</v>
      </c>
      <c r="D1430" s="1">
        <v>45900</v>
      </c>
      <c r="E1430">
        <v>0</v>
      </c>
      <c r="F1430" s="2">
        <v>0</v>
      </c>
      <c r="G1430" s="2">
        <v>1654.6799999999985</v>
      </c>
    </row>
    <row r="1431" spans="1:7" hidden="1" x14ac:dyDescent="0.3">
      <c r="A1431" t="s">
        <v>247</v>
      </c>
      <c r="B1431" t="s">
        <v>248</v>
      </c>
      <c r="C1431" t="s">
        <v>2</v>
      </c>
      <c r="D1431" s="1">
        <v>45930</v>
      </c>
      <c r="E1431">
        <v>0</v>
      </c>
      <c r="F1431" s="2">
        <v>0</v>
      </c>
      <c r="G1431" s="2">
        <v>1654.6799999999985</v>
      </c>
    </row>
    <row r="1432" spans="1:7" hidden="1" x14ac:dyDescent="0.3">
      <c r="A1432" t="s">
        <v>247</v>
      </c>
      <c r="B1432" t="s">
        <v>248</v>
      </c>
      <c r="C1432" t="s">
        <v>2</v>
      </c>
      <c r="D1432" s="1">
        <v>45961</v>
      </c>
      <c r="E1432">
        <v>0</v>
      </c>
      <c r="F1432" s="2">
        <v>0</v>
      </c>
      <c r="G1432" s="2">
        <v>1654.6799999999985</v>
      </c>
    </row>
    <row r="1433" spans="1:7" hidden="1" x14ac:dyDescent="0.3">
      <c r="A1433" t="s">
        <v>247</v>
      </c>
      <c r="B1433" t="s">
        <v>248</v>
      </c>
      <c r="C1433" t="s">
        <v>2</v>
      </c>
      <c r="D1433" s="1">
        <v>45991</v>
      </c>
      <c r="E1433">
        <v>0</v>
      </c>
      <c r="F1433" s="2">
        <v>0</v>
      </c>
      <c r="G1433" s="2">
        <v>1654.6799999999985</v>
      </c>
    </row>
    <row r="1434" spans="1:7" hidden="1" x14ac:dyDescent="0.3">
      <c r="A1434" t="s">
        <v>247</v>
      </c>
      <c r="B1434" t="s">
        <v>248</v>
      </c>
      <c r="C1434" t="s">
        <v>2</v>
      </c>
      <c r="D1434" s="1">
        <v>46022</v>
      </c>
      <c r="E1434">
        <v>0</v>
      </c>
      <c r="F1434" s="2">
        <v>0</v>
      </c>
      <c r="G1434" s="2">
        <v>1654.6799999999985</v>
      </c>
    </row>
    <row r="1435" spans="1:7" hidden="1" x14ac:dyDescent="0.3">
      <c r="A1435" t="s">
        <v>386</v>
      </c>
      <c r="B1435" t="s">
        <v>387</v>
      </c>
      <c r="C1435" t="s">
        <v>2</v>
      </c>
      <c r="D1435" s="1">
        <v>45688</v>
      </c>
      <c r="E1435">
        <v>0</v>
      </c>
      <c r="F1435" s="2">
        <v>0</v>
      </c>
      <c r="G1435" s="2">
        <v>0</v>
      </c>
    </row>
    <row r="1436" spans="1:7" hidden="1" x14ac:dyDescent="0.3">
      <c r="A1436" t="s">
        <v>386</v>
      </c>
      <c r="B1436" t="s">
        <v>387</v>
      </c>
      <c r="C1436" t="s">
        <v>2</v>
      </c>
      <c r="D1436" s="1">
        <v>45716</v>
      </c>
      <c r="E1436">
        <v>0</v>
      </c>
      <c r="F1436" s="2">
        <v>0</v>
      </c>
      <c r="G1436" s="2">
        <v>0</v>
      </c>
    </row>
    <row r="1437" spans="1:7" hidden="1" x14ac:dyDescent="0.3">
      <c r="A1437" t="s">
        <v>386</v>
      </c>
      <c r="B1437" t="s">
        <v>387</v>
      </c>
      <c r="C1437" t="s">
        <v>2</v>
      </c>
      <c r="D1437" s="1">
        <v>45869</v>
      </c>
      <c r="E1437">
        <v>0</v>
      </c>
      <c r="F1437" s="2">
        <v>0</v>
      </c>
      <c r="G1437" s="2">
        <v>2390.2200000000003</v>
      </c>
    </row>
    <row r="1438" spans="1:7" hidden="1" x14ac:dyDescent="0.3">
      <c r="A1438" t="s">
        <v>386</v>
      </c>
      <c r="B1438" t="s">
        <v>387</v>
      </c>
      <c r="C1438" t="s">
        <v>2</v>
      </c>
      <c r="D1438" s="1">
        <v>45900</v>
      </c>
      <c r="E1438">
        <v>0</v>
      </c>
      <c r="F1438" s="2">
        <v>0</v>
      </c>
      <c r="G1438" s="2">
        <v>2390.2200000000003</v>
      </c>
    </row>
    <row r="1439" spans="1:7" hidden="1" x14ac:dyDescent="0.3">
      <c r="A1439" t="s">
        <v>386</v>
      </c>
      <c r="B1439" t="s">
        <v>387</v>
      </c>
      <c r="C1439" t="s">
        <v>2</v>
      </c>
      <c r="D1439" s="1">
        <v>45930</v>
      </c>
      <c r="E1439">
        <v>0</v>
      </c>
      <c r="F1439" s="2">
        <v>0</v>
      </c>
      <c r="G1439" s="2">
        <v>2390.2200000000003</v>
      </c>
    </row>
    <row r="1440" spans="1:7" hidden="1" x14ac:dyDescent="0.3">
      <c r="A1440" t="s">
        <v>386</v>
      </c>
      <c r="B1440" t="s">
        <v>387</v>
      </c>
      <c r="C1440" t="s">
        <v>2</v>
      </c>
      <c r="D1440" s="1">
        <v>45961</v>
      </c>
      <c r="E1440">
        <v>0</v>
      </c>
      <c r="F1440" s="2">
        <v>0</v>
      </c>
      <c r="G1440" s="2">
        <v>2390.2200000000003</v>
      </c>
    </row>
    <row r="1441" spans="1:7" hidden="1" x14ac:dyDescent="0.3">
      <c r="A1441" t="s">
        <v>386</v>
      </c>
      <c r="B1441" t="s">
        <v>387</v>
      </c>
      <c r="C1441" t="s">
        <v>2</v>
      </c>
      <c r="D1441" s="1">
        <v>45991</v>
      </c>
      <c r="E1441">
        <v>0</v>
      </c>
      <c r="F1441" s="2">
        <v>0</v>
      </c>
      <c r="G1441" s="2">
        <v>2390.2200000000003</v>
      </c>
    </row>
    <row r="1442" spans="1:7" hidden="1" x14ac:dyDescent="0.3">
      <c r="A1442" t="s">
        <v>386</v>
      </c>
      <c r="B1442" t="s">
        <v>387</v>
      </c>
      <c r="C1442" t="s">
        <v>2</v>
      </c>
      <c r="D1442" s="1">
        <v>46022</v>
      </c>
      <c r="E1442">
        <v>0</v>
      </c>
      <c r="F1442" s="2">
        <v>0</v>
      </c>
      <c r="G1442" s="2">
        <v>2390.2200000000003</v>
      </c>
    </row>
    <row r="1443" spans="1:7" hidden="1" x14ac:dyDescent="0.3">
      <c r="A1443" t="s">
        <v>63</v>
      </c>
      <c r="B1443" t="s">
        <v>64</v>
      </c>
      <c r="C1443" t="s">
        <v>2</v>
      </c>
      <c r="D1443" s="1">
        <v>45869</v>
      </c>
      <c r="E1443">
        <v>0</v>
      </c>
      <c r="F1443" s="2">
        <v>0</v>
      </c>
      <c r="G1443" s="2">
        <v>2098.1399999999994</v>
      </c>
    </row>
    <row r="1444" spans="1:7" hidden="1" x14ac:dyDescent="0.3">
      <c r="A1444" t="s">
        <v>63</v>
      </c>
      <c r="B1444" t="s">
        <v>64</v>
      </c>
      <c r="C1444" t="s">
        <v>2</v>
      </c>
      <c r="D1444" s="1">
        <v>45900</v>
      </c>
      <c r="E1444">
        <v>0</v>
      </c>
      <c r="F1444" s="2">
        <v>0</v>
      </c>
      <c r="G1444" s="2">
        <v>2098.1399999999994</v>
      </c>
    </row>
    <row r="1445" spans="1:7" hidden="1" x14ac:dyDescent="0.3">
      <c r="A1445" t="s">
        <v>63</v>
      </c>
      <c r="B1445" t="s">
        <v>64</v>
      </c>
      <c r="C1445" t="s">
        <v>2</v>
      </c>
      <c r="D1445" s="1">
        <v>45930</v>
      </c>
      <c r="E1445">
        <v>0</v>
      </c>
      <c r="F1445" s="2">
        <v>0</v>
      </c>
      <c r="G1445" s="2">
        <v>2098.1399999999994</v>
      </c>
    </row>
    <row r="1446" spans="1:7" hidden="1" x14ac:dyDescent="0.3">
      <c r="A1446" t="s">
        <v>63</v>
      </c>
      <c r="B1446" t="s">
        <v>64</v>
      </c>
      <c r="C1446" t="s">
        <v>2</v>
      </c>
      <c r="D1446" s="1">
        <v>45961</v>
      </c>
      <c r="E1446">
        <v>0</v>
      </c>
      <c r="F1446" s="2">
        <v>0</v>
      </c>
      <c r="G1446" s="2">
        <v>2098.1399999999994</v>
      </c>
    </row>
    <row r="1447" spans="1:7" hidden="1" x14ac:dyDescent="0.3">
      <c r="A1447" t="s">
        <v>63</v>
      </c>
      <c r="B1447" t="s">
        <v>64</v>
      </c>
      <c r="C1447" t="s">
        <v>2</v>
      </c>
      <c r="D1447" s="1">
        <v>45991</v>
      </c>
      <c r="E1447">
        <v>0</v>
      </c>
      <c r="F1447" s="2">
        <v>0</v>
      </c>
      <c r="G1447" s="2">
        <v>2098.1399999999994</v>
      </c>
    </row>
    <row r="1448" spans="1:7" hidden="1" x14ac:dyDescent="0.3">
      <c r="A1448" t="s">
        <v>63</v>
      </c>
      <c r="B1448" t="s">
        <v>64</v>
      </c>
      <c r="C1448" t="s">
        <v>2</v>
      </c>
      <c r="D1448" s="1">
        <v>46022</v>
      </c>
      <c r="E1448">
        <v>0</v>
      </c>
      <c r="F1448" s="2">
        <v>0</v>
      </c>
      <c r="G1448" s="2">
        <v>2098.1399999999994</v>
      </c>
    </row>
    <row r="1449" spans="1:7" hidden="1" x14ac:dyDescent="0.3">
      <c r="A1449" t="s">
        <v>71</v>
      </c>
      <c r="B1449" t="s">
        <v>72</v>
      </c>
      <c r="C1449" t="s">
        <v>2</v>
      </c>
      <c r="D1449" s="1">
        <v>45869</v>
      </c>
      <c r="E1449">
        <v>0</v>
      </c>
      <c r="F1449" s="2">
        <v>0</v>
      </c>
      <c r="G1449" s="2">
        <v>2219.98</v>
      </c>
    </row>
    <row r="1450" spans="1:7" hidden="1" x14ac:dyDescent="0.3">
      <c r="A1450" t="s">
        <v>71</v>
      </c>
      <c r="B1450" t="s">
        <v>72</v>
      </c>
      <c r="C1450" t="s">
        <v>2</v>
      </c>
      <c r="D1450" s="1">
        <v>45900</v>
      </c>
      <c r="E1450">
        <v>0</v>
      </c>
      <c r="F1450" s="2">
        <v>0</v>
      </c>
      <c r="G1450" s="2">
        <v>2219.98</v>
      </c>
    </row>
    <row r="1451" spans="1:7" hidden="1" x14ac:dyDescent="0.3">
      <c r="A1451" t="s">
        <v>71</v>
      </c>
      <c r="B1451" t="s">
        <v>72</v>
      </c>
      <c r="C1451" t="s">
        <v>2</v>
      </c>
      <c r="D1451" s="1">
        <v>45930</v>
      </c>
      <c r="E1451">
        <v>0</v>
      </c>
      <c r="F1451" s="2">
        <v>0</v>
      </c>
      <c r="G1451" s="2">
        <v>2219.98</v>
      </c>
    </row>
    <row r="1452" spans="1:7" hidden="1" x14ac:dyDescent="0.3">
      <c r="A1452" t="s">
        <v>71</v>
      </c>
      <c r="B1452" t="s">
        <v>72</v>
      </c>
      <c r="C1452" t="s">
        <v>2</v>
      </c>
      <c r="D1452" s="1">
        <v>45961</v>
      </c>
      <c r="E1452">
        <v>0</v>
      </c>
      <c r="F1452" s="2">
        <v>0</v>
      </c>
      <c r="G1452" s="2">
        <v>2219.98</v>
      </c>
    </row>
    <row r="1453" spans="1:7" hidden="1" x14ac:dyDescent="0.3">
      <c r="A1453" t="s">
        <v>71</v>
      </c>
      <c r="B1453" t="s">
        <v>72</v>
      </c>
      <c r="C1453" t="s">
        <v>2</v>
      </c>
      <c r="D1453" s="1">
        <v>45991</v>
      </c>
      <c r="E1453">
        <v>0</v>
      </c>
      <c r="F1453" s="2">
        <v>0</v>
      </c>
      <c r="G1453" s="2">
        <v>2219.98</v>
      </c>
    </row>
    <row r="1454" spans="1:7" hidden="1" x14ac:dyDescent="0.3">
      <c r="A1454" t="s">
        <v>71</v>
      </c>
      <c r="B1454" t="s">
        <v>72</v>
      </c>
      <c r="C1454" t="s">
        <v>2</v>
      </c>
      <c r="D1454" s="1">
        <v>46022</v>
      </c>
      <c r="E1454">
        <v>0</v>
      </c>
      <c r="F1454" s="2">
        <v>0</v>
      </c>
      <c r="G1454" s="2">
        <v>2219.98</v>
      </c>
    </row>
    <row r="1455" spans="1:7" hidden="1" x14ac:dyDescent="0.3">
      <c r="A1455" t="s">
        <v>293</v>
      </c>
      <c r="B1455" t="s">
        <v>294</v>
      </c>
      <c r="C1455" t="s">
        <v>2</v>
      </c>
      <c r="D1455" s="1">
        <v>45869</v>
      </c>
      <c r="E1455">
        <v>0</v>
      </c>
      <c r="F1455" s="2">
        <v>0</v>
      </c>
      <c r="G1455" s="2">
        <v>2028.1200000000008</v>
      </c>
    </row>
    <row r="1456" spans="1:7" hidden="1" x14ac:dyDescent="0.3">
      <c r="A1456" t="s">
        <v>293</v>
      </c>
      <c r="B1456" t="s">
        <v>294</v>
      </c>
      <c r="C1456" t="s">
        <v>2</v>
      </c>
      <c r="D1456" s="1">
        <v>45900</v>
      </c>
      <c r="E1456">
        <v>0</v>
      </c>
      <c r="F1456" s="2">
        <v>0</v>
      </c>
      <c r="G1456" s="2">
        <v>2028.1200000000008</v>
      </c>
    </row>
    <row r="1457" spans="1:7" hidden="1" x14ac:dyDescent="0.3">
      <c r="A1457" t="s">
        <v>293</v>
      </c>
      <c r="B1457" t="s">
        <v>294</v>
      </c>
      <c r="C1457" t="s">
        <v>2</v>
      </c>
      <c r="D1457" s="1">
        <v>45930</v>
      </c>
      <c r="E1457">
        <v>0</v>
      </c>
      <c r="F1457" s="2">
        <v>0</v>
      </c>
      <c r="G1457" s="2">
        <v>2028.1200000000008</v>
      </c>
    </row>
    <row r="1458" spans="1:7" hidden="1" x14ac:dyDescent="0.3">
      <c r="A1458" t="s">
        <v>293</v>
      </c>
      <c r="B1458" t="s">
        <v>294</v>
      </c>
      <c r="C1458" t="s">
        <v>2</v>
      </c>
      <c r="D1458" s="1">
        <v>45961</v>
      </c>
      <c r="E1458">
        <v>0</v>
      </c>
      <c r="F1458" s="2">
        <v>0</v>
      </c>
      <c r="G1458" s="2">
        <v>2028.1200000000008</v>
      </c>
    </row>
    <row r="1459" spans="1:7" hidden="1" x14ac:dyDescent="0.3">
      <c r="A1459" t="s">
        <v>293</v>
      </c>
      <c r="B1459" t="s">
        <v>294</v>
      </c>
      <c r="C1459" t="s">
        <v>2</v>
      </c>
      <c r="D1459" s="1">
        <v>45991</v>
      </c>
      <c r="E1459">
        <v>0</v>
      </c>
      <c r="F1459" s="2">
        <v>0</v>
      </c>
      <c r="G1459" s="2">
        <v>2028.1200000000008</v>
      </c>
    </row>
    <row r="1460" spans="1:7" hidden="1" x14ac:dyDescent="0.3">
      <c r="A1460" t="s">
        <v>293</v>
      </c>
      <c r="B1460" t="s">
        <v>294</v>
      </c>
      <c r="C1460" t="s">
        <v>2</v>
      </c>
      <c r="D1460" s="1">
        <v>46022</v>
      </c>
      <c r="E1460">
        <v>0</v>
      </c>
      <c r="F1460" s="2">
        <v>0</v>
      </c>
      <c r="G1460" s="2">
        <v>2028.1200000000008</v>
      </c>
    </row>
    <row r="1461" spans="1:7" hidden="1" x14ac:dyDescent="0.3">
      <c r="A1461" t="s">
        <v>37</v>
      </c>
      <c r="B1461" t="s">
        <v>38</v>
      </c>
      <c r="C1461" t="s">
        <v>2</v>
      </c>
      <c r="D1461" s="1">
        <v>45869</v>
      </c>
      <c r="E1461">
        <v>0</v>
      </c>
      <c r="F1461" s="2">
        <v>0</v>
      </c>
      <c r="G1461" s="2">
        <v>2315.8300000000036</v>
      </c>
    </row>
    <row r="1462" spans="1:7" hidden="1" x14ac:dyDescent="0.3">
      <c r="A1462" t="s">
        <v>37</v>
      </c>
      <c r="B1462" t="s">
        <v>38</v>
      </c>
      <c r="C1462" t="s">
        <v>2</v>
      </c>
      <c r="D1462" s="1">
        <v>45900</v>
      </c>
      <c r="E1462">
        <v>0</v>
      </c>
      <c r="F1462" s="2">
        <v>0</v>
      </c>
      <c r="G1462" s="2">
        <v>2315.8300000000036</v>
      </c>
    </row>
    <row r="1463" spans="1:7" hidden="1" x14ac:dyDescent="0.3">
      <c r="A1463" t="s">
        <v>37</v>
      </c>
      <c r="B1463" t="s">
        <v>38</v>
      </c>
      <c r="C1463" t="s">
        <v>2</v>
      </c>
      <c r="D1463" s="1">
        <v>45930</v>
      </c>
      <c r="E1463">
        <v>0</v>
      </c>
      <c r="F1463" s="2">
        <v>0</v>
      </c>
      <c r="G1463" s="2">
        <v>2315.8300000000036</v>
      </c>
    </row>
    <row r="1464" spans="1:7" hidden="1" x14ac:dyDescent="0.3">
      <c r="A1464" t="s">
        <v>37</v>
      </c>
      <c r="B1464" t="s">
        <v>38</v>
      </c>
      <c r="C1464" t="s">
        <v>2</v>
      </c>
      <c r="D1464" s="1">
        <v>45961</v>
      </c>
      <c r="E1464">
        <v>0</v>
      </c>
      <c r="F1464" s="2">
        <v>0</v>
      </c>
      <c r="G1464" s="2">
        <v>2315.8300000000036</v>
      </c>
    </row>
    <row r="1465" spans="1:7" hidden="1" x14ac:dyDescent="0.3">
      <c r="A1465" t="s">
        <v>37</v>
      </c>
      <c r="B1465" t="s">
        <v>38</v>
      </c>
      <c r="C1465" t="s">
        <v>2</v>
      </c>
      <c r="D1465" s="1">
        <v>45991</v>
      </c>
      <c r="E1465">
        <v>0</v>
      </c>
      <c r="F1465" s="2">
        <v>0</v>
      </c>
      <c r="G1465" s="2">
        <v>2315.8300000000036</v>
      </c>
    </row>
    <row r="1466" spans="1:7" hidden="1" x14ac:dyDescent="0.3">
      <c r="A1466" t="s">
        <v>37</v>
      </c>
      <c r="B1466" t="s">
        <v>38</v>
      </c>
      <c r="C1466" t="s">
        <v>2</v>
      </c>
      <c r="D1466" s="1">
        <v>46022</v>
      </c>
      <c r="E1466">
        <v>0</v>
      </c>
      <c r="F1466" s="2">
        <v>0</v>
      </c>
      <c r="G1466" s="2">
        <v>2315.8300000000036</v>
      </c>
    </row>
    <row r="1467" spans="1:7" hidden="1" x14ac:dyDescent="0.3">
      <c r="A1467" t="s">
        <v>191</v>
      </c>
      <c r="B1467" t="s">
        <v>192</v>
      </c>
      <c r="C1467" t="s">
        <v>2</v>
      </c>
      <c r="D1467" s="1">
        <v>45869</v>
      </c>
      <c r="E1467">
        <v>0</v>
      </c>
      <c r="F1467" s="2">
        <v>0</v>
      </c>
      <c r="G1467" s="2">
        <v>2604.3000000000029</v>
      </c>
    </row>
    <row r="1468" spans="1:7" hidden="1" x14ac:dyDescent="0.3">
      <c r="A1468" t="s">
        <v>191</v>
      </c>
      <c r="B1468" t="s">
        <v>192</v>
      </c>
      <c r="C1468" t="s">
        <v>2</v>
      </c>
      <c r="D1468" s="1">
        <v>45900</v>
      </c>
      <c r="E1468">
        <v>0</v>
      </c>
      <c r="F1468" s="2">
        <v>0</v>
      </c>
      <c r="G1468" s="2">
        <v>2604.3000000000029</v>
      </c>
    </row>
    <row r="1469" spans="1:7" hidden="1" x14ac:dyDescent="0.3">
      <c r="A1469" t="s">
        <v>191</v>
      </c>
      <c r="B1469" t="s">
        <v>192</v>
      </c>
      <c r="C1469" t="s">
        <v>2</v>
      </c>
      <c r="D1469" s="1">
        <v>45930</v>
      </c>
      <c r="E1469">
        <v>0</v>
      </c>
      <c r="F1469" s="2">
        <v>0</v>
      </c>
      <c r="G1469" s="2">
        <v>2604.3000000000029</v>
      </c>
    </row>
    <row r="1470" spans="1:7" hidden="1" x14ac:dyDescent="0.3">
      <c r="A1470" t="s">
        <v>191</v>
      </c>
      <c r="B1470" t="s">
        <v>192</v>
      </c>
      <c r="C1470" t="s">
        <v>2</v>
      </c>
      <c r="D1470" s="1">
        <v>45961</v>
      </c>
      <c r="E1470">
        <v>0</v>
      </c>
      <c r="F1470" s="2">
        <v>0</v>
      </c>
      <c r="G1470" s="2">
        <v>2604.3000000000029</v>
      </c>
    </row>
    <row r="1471" spans="1:7" hidden="1" x14ac:dyDescent="0.3">
      <c r="A1471" t="s">
        <v>191</v>
      </c>
      <c r="B1471" t="s">
        <v>192</v>
      </c>
      <c r="C1471" t="s">
        <v>2</v>
      </c>
      <c r="D1471" s="1">
        <v>45991</v>
      </c>
      <c r="E1471">
        <v>0</v>
      </c>
      <c r="F1471" s="2">
        <v>0</v>
      </c>
      <c r="G1471" s="2">
        <v>2604.3000000000029</v>
      </c>
    </row>
    <row r="1472" spans="1:7" hidden="1" x14ac:dyDescent="0.3">
      <c r="A1472" t="s">
        <v>191</v>
      </c>
      <c r="B1472" t="s">
        <v>192</v>
      </c>
      <c r="C1472" t="s">
        <v>2</v>
      </c>
      <c r="D1472" s="1">
        <v>46022</v>
      </c>
      <c r="E1472">
        <v>0</v>
      </c>
      <c r="F1472" s="2">
        <v>0</v>
      </c>
      <c r="G1472" s="2">
        <v>2604.3000000000029</v>
      </c>
    </row>
    <row r="1473" spans="1:7" hidden="1" x14ac:dyDescent="0.3">
      <c r="A1473" t="s">
        <v>377</v>
      </c>
      <c r="B1473" t="s">
        <v>378</v>
      </c>
      <c r="C1473" t="s">
        <v>2</v>
      </c>
      <c r="D1473" s="1">
        <v>45688</v>
      </c>
      <c r="E1473">
        <v>0</v>
      </c>
      <c r="F1473" s="2">
        <v>0</v>
      </c>
      <c r="G1473" s="2">
        <v>0</v>
      </c>
    </row>
    <row r="1474" spans="1:7" hidden="1" x14ac:dyDescent="0.3">
      <c r="A1474" t="s">
        <v>377</v>
      </c>
      <c r="B1474" t="s">
        <v>378</v>
      </c>
      <c r="C1474" t="s">
        <v>2</v>
      </c>
      <c r="D1474" s="1">
        <v>45869</v>
      </c>
      <c r="E1474">
        <v>0</v>
      </c>
      <c r="F1474" s="2">
        <v>0</v>
      </c>
      <c r="G1474" s="2">
        <v>1197.6000000000004</v>
      </c>
    </row>
    <row r="1475" spans="1:7" hidden="1" x14ac:dyDescent="0.3">
      <c r="A1475" t="s">
        <v>377</v>
      </c>
      <c r="B1475" t="s">
        <v>378</v>
      </c>
      <c r="C1475" t="s">
        <v>2</v>
      </c>
      <c r="D1475" s="1">
        <v>45900</v>
      </c>
      <c r="E1475">
        <v>0</v>
      </c>
      <c r="F1475" s="2">
        <v>0</v>
      </c>
      <c r="G1475" s="2">
        <v>1197.6000000000004</v>
      </c>
    </row>
    <row r="1476" spans="1:7" hidden="1" x14ac:dyDescent="0.3">
      <c r="A1476" t="s">
        <v>377</v>
      </c>
      <c r="B1476" t="s">
        <v>378</v>
      </c>
      <c r="C1476" t="s">
        <v>2</v>
      </c>
      <c r="D1476" s="1">
        <v>45930</v>
      </c>
      <c r="E1476">
        <v>0</v>
      </c>
      <c r="F1476" s="2">
        <v>0</v>
      </c>
      <c r="G1476" s="2">
        <v>1197.6000000000004</v>
      </c>
    </row>
    <row r="1477" spans="1:7" hidden="1" x14ac:dyDescent="0.3">
      <c r="A1477" t="s">
        <v>377</v>
      </c>
      <c r="B1477" t="s">
        <v>378</v>
      </c>
      <c r="C1477" t="s">
        <v>2</v>
      </c>
      <c r="D1477" s="1">
        <v>45961</v>
      </c>
      <c r="E1477">
        <v>0</v>
      </c>
      <c r="F1477" s="2">
        <v>0</v>
      </c>
      <c r="G1477" s="2">
        <v>1197.6000000000004</v>
      </c>
    </row>
    <row r="1478" spans="1:7" hidden="1" x14ac:dyDescent="0.3">
      <c r="A1478" t="s">
        <v>377</v>
      </c>
      <c r="B1478" t="s">
        <v>378</v>
      </c>
      <c r="C1478" t="s">
        <v>2</v>
      </c>
      <c r="D1478" s="1">
        <v>45991</v>
      </c>
      <c r="E1478">
        <v>0</v>
      </c>
      <c r="F1478" s="2">
        <v>0</v>
      </c>
      <c r="G1478" s="2">
        <v>1197.6000000000004</v>
      </c>
    </row>
    <row r="1479" spans="1:7" hidden="1" x14ac:dyDescent="0.3">
      <c r="A1479" t="s">
        <v>377</v>
      </c>
      <c r="B1479" t="s">
        <v>378</v>
      </c>
      <c r="C1479" t="s">
        <v>2</v>
      </c>
      <c r="D1479" s="1">
        <v>46022</v>
      </c>
      <c r="E1479">
        <v>0</v>
      </c>
      <c r="F1479" s="2">
        <v>0</v>
      </c>
      <c r="G1479" s="2">
        <v>1197.6000000000004</v>
      </c>
    </row>
    <row r="1480" spans="1:7" hidden="1" x14ac:dyDescent="0.3">
      <c r="A1480" t="s">
        <v>117</v>
      </c>
      <c r="B1480" t="s">
        <v>118</v>
      </c>
      <c r="C1480" t="s">
        <v>2</v>
      </c>
      <c r="D1480" s="1">
        <v>45869</v>
      </c>
      <c r="E1480">
        <v>0</v>
      </c>
      <c r="F1480" s="2">
        <v>0</v>
      </c>
      <c r="G1480" s="2">
        <v>1872.3399999999974</v>
      </c>
    </row>
    <row r="1481" spans="1:7" hidden="1" x14ac:dyDescent="0.3">
      <c r="A1481" t="s">
        <v>117</v>
      </c>
      <c r="B1481" t="s">
        <v>118</v>
      </c>
      <c r="C1481" t="s">
        <v>2</v>
      </c>
      <c r="D1481" s="1">
        <v>45900</v>
      </c>
      <c r="E1481">
        <v>0</v>
      </c>
      <c r="F1481" s="2">
        <v>0</v>
      </c>
      <c r="G1481" s="2">
        <v>1872.3399999999974</v>
      </c>
    </row>
    <row r="1482" spans="1:7" hidden="1" x14ac:dyDescent="0.3">
      <c r="A1482" t="s">
        <v>117</v>
      </c>
      <c r="B1482" t="s">
        <v>118</v>
      </c>
      <c r="C1482" t="s">
        <v>2</v>
      </c>
      <c r="D1482" s="1">
        <v>45930</v>
      </c>
      <c r="E1482">
        <v>0</v>
      </c>
      <c r="F1482" s="2">
        <v>0</v>
      </c>
      <c r="G1482" s="2">
        <v>1872.3399999999974</v>
      </c>
    </row>
    <row r="1483" spans="1:7" hidden="1" x14ac:dyDescent="0.3">
      <c r="A1483" t="s">
        <v>117</v>
      </c>
      <c r="B1483" t="s">
        <v>118</v>
      </c>
      <c r="C1483" t="s">
        <v>2</v>
      </c>
      <c r="D1483" s="1">
        <v>45961</v>
      </c>
      <c r="E1483">
        <v>0</v>
      </c>
      <c r="F1483" s="2">
        <v>0</v>
      </c>
      <c r="G1483" s="2">
        <v>1872.3399999999974</v>
      </c>
    </row>
    <row r="1484" spans="1:7" hidden="1" x14ac:dyDescent="0.3">
      <c r="A1484" t="s">
        <v>117</v>
      </c>
      <c r="B1484" t="s">
        <v>118</v>
      </c>
      <c r="C1484" t="s">
        <v>2</v>
      </c>
      <c r="D1484" s="1">
        <v>45991</v>
      </c>
      <c r="E1484">
        <v>0</v>
      </c>
      <c r="F1484" s="2">
        <v>0</v>
      </c>
      <c r="G1484" s="2">
        <v>1872.3399999999974</v>
      </c>
    </row>
    <row r="1485" spans="1:7" hidden="1" x14ac:dyDescent="0.3">
      <c r="A1485" t="s">
        <v>117</v>
      </c>
      <c r="B1485" t="s">
        <v>118</v>
      </c>
      <c r="C1485" t="s">
        <v>2</v>
      </c>
      <c r="D1485" s="1">
        <v>46022</v>
      </c>
      <c r="E1485">
        <v>0</v>
      </c>
      <c r="F1485" s="2">
        <v>0</v>
      </c>
      <c r="G1485" s="2">
        <v>1872.3399999999974</v>
      </c>
    </row>
    <row r="1486" spans="1:7" hidden="1" x14ac:dyDescent="0.3">
      <c r="A1486" t="s">
        <v>125</v>
      </c>
      <c r="B1486" t="s">
        <v>126</v>
      </c>
      <c r="C1486" t="s">
        <v>2</v>
      </c>
      <c r="D1486" s="1">
        <v>45869</v>
      </c>
      <c r="E1486">
        <v>0</v>
      </c>
      <c r="F1486" s="2">
        <v>0</v>
      </c>
      <c r="G1486" s="2">
        <v>2884.83</v>
      </c>
    </row>
    <row r="1487" spans="1:7" hidden="1" x14ac:dyDescent="0.3">
      <c r="A1487" t="s">
        <v>125</v>
      </c>
      <c r="B1487" t="s">
        <v>126</v>
      </c>
      <c r="C1487" t="s">
        <v>2</v>
      </c>
      <c r="D1487" s="1">
        <v>45900</v>
      </c>
      <c r="E1487">
        <v>0</v>
      </c>
      <c r="F1487" s="2">
        <v>0</v>
      </c>
      <c r="G1487" s="2">
        <v>2884.83</v>
      </c>
    </row>
    <row r="1488" spans="1:7" hidden="1" x14ac:dyDescent="0.3">
      <c r="A1488" t="s">
        <v>125</v>
      </c>
      <c r="B1488" t="s">
        <v>126</v>
      </c>
      <c r="C1488" t="s">
        <v>2</v>
      </c>
      <c r="D1488" s="1">
        <v>45930</v>
      </c>
      <c r="E1488">
        <v>0</v>
      </c>
      <c r="F1488" s="2">
        <v>0</v>
      </c>
      <c r="G1488" s="2">
        <v>2884.83</v>
      </c>
    </row>
    <row r="1489" spans="1:7" hidden="1" x14ac:dyDescent="0.3">
      <c r="A1489" t="s">
        <v>125</v>
      </c>
      <c r="B1489" t="s">
        <v>126</v>
      </c>
      <c r="C1489" t="s">
        <v>2</v>
      </c>
      <c r="D1489" s="1">
        <v>45961</v>
      </c>
      <c r="E1489">
        <v>0</v>
      </c>
      <c r="F1489" s="2">
        <v>0</v>
      </c>
      <c r="G1489" s="2">
        <v>2884.83</v>
      </c>
    </row>
    <row r="1490" spans="1:7" hidden="1" x14ac:dyDescent="0.3">
      <c r="A1490" t="s">
        <v>125</v>
      </c>
      <c r="B1490" t="s">
        <v>126</v>
      </c>
      <c r="C1490" t="s">
        <v>2</v>
      </c>
      <c r="D1490" s="1">
        <v>45991</v>
      </c>
      <c r="E1490">
        <v>0</v>
      </c>
      <c r="F1490" s="2">
        <v>0</v>
      </c>
      <c r="G1490" s="2">
        <v>2884.83</v>
      </c>
    </row>
    <row r="1491" spans="1:7" hidden="1" x14ac:dyDescent="0.3">
      <c r="A1491" t="s">
        <v>125</v>
      </c>
      <c r="B1491" t="s">
        <v>126</v>
      </c>
      <c r="C1491" t="s">
        <v>2</v>
      </c>
      <c r="D1491" s="1">
        <v>46022</v>
      </c>
      <c r="E1491">
        <v>0</v>
      </c>
      <c r="F1491" s="2">
        <v>0</v>
      </c>
      <c r="G1491" s="2">
        <v>2884.83</v>
      </c>
    </row>
    <row r="1492" spans="1:7" hidden="1" x14ac:dyDescent="0.3">
      <c r="A1492" t="s">
        <v>79</v>
      </c>
      <c r="B1492" t="s">
        <v>80</v>
      </c>
      <c r="C1492" t="s">
        <v>2</v>
      </c>
      <c r="D1492" s="1">
        <v>45869</v>
      </c>
      <c r="E1492">
        <v>0</v>
      </c>
      <c r="F1492" s="2">
        <v>0</v>
      </c>
      <c r="G1492" s="2">
        <v>1837.6600000000017</v>
      </c>
    </row>
    <row r="1493" spans="1:7" hidden="1" x14ac:dyDescent="0.3">
      <c r="A1493" t="s">
        <v>79</v>
      </c>
      <c r="B1493" t="s">
        <v>80</v>
      </c>
      <c r="C1493" t="s">
        <v>2</v>
      </c>
      <c r="D1493" s="1">
        <v>45900</v>
      </c>
      <c r="E1493">
        <v>0</v>
      </c>
      <c r="F1493" s="2">
        <v>0</v>
      </c>
      <c r="G1493" s="2">
        <v>1837.6600000000017</v>
      </c>
    </row>
    <row r="1494" spans="1:7" hidden="1" x14ac:dyDescent="0.3">
      <c r="A1494" t="s">
        <v>79</v>
      </c>
      <c r="B1494" t="s">
        <v>80</v>
      </c>
      <c r="C1494" t="s">
        <v>2</v>
      </c>
      <c r="D1494" s="1">
        <v>45930</v>
      </c>
      <c r="E1494">
        <v>0</v>
      </c>
      <c r="F1494" s="2">
        <v>0</v>
      </c>
      <c r="G1494" s="2">
        <v>1837.6600000000017</v>
      </c>
    </row>
    <row r="1495" spans="1:7" hidden="1" x14ac:dyDescent="0.3">
      <c r="A1495" t="s">
        <v>79</v>
      </c>
      <c r="B1495" t="s">
        <v>80</v>
      </c>
      <c r="C1495" t="s">
        <v>2</v>
      </c>
      <c r="D1495" s="1">
        <v>45961</v>
      </c>
      <c r="E1495">
        <v>0</v>
      </c>
      <c r="F1495" s="2">
        <v>0</v>
      </c>
      <c r="G1495" s="2">
        <v>1837.6600000000017</v>
      </c>
    </row>
    <row r="1496" spans="1:7" hidden="1" x14ac:dyDescent="0.3">
      <c r="A1496" t="s">
        <v>79</v>
      </c>
      <c r="B1496" t="s">
        <v>80</v>
      </c>
      <c r="C1496" t="s">
        <v>2</v>
      </c>
      <c r="D1496" s="1">
        <v>45991</v>
      </c>
      <c r="E1496">
        <v>0</v>
      </c>
      <c r="F1496" s="2">
        <v>0</v>
      </c>
      <c r="G1496" s="2">
        <v>1837.6600000000017</v>
      </c>
    </row>
    <row r="1497" spans="1:7" hidden="1" x14ac:dyDescent="0.3">
      <c r="A1497" t="s">
        <v>79</v>
      </c>
      <c r="B1497" t="s">
        <v>80</v>
      </c>
      <c r="C1497" t="s">
        <v>2</v>
      </c>
      <c r="D1497" s="1">
        <v>46022</v>
      </c>
      <c r="E1497">
        <v>0</v>
      </c>
      <c r="F1497" s="2">
        <v>0</v>
      </c>
      <c r="G1497" s="2">
        <v>1837.6600000000017</v>
      </c>
    </row>
    <row r="1498" spans="1:7" hidden="1" x14ac:dyDescent="0.3">
      <c r="A1498" t="s">
        <v>179</v>
      </c>
      <c r="B1498" t="s">
        <v>180</v>
      </c>
      <c r="C1498" t="s">
        <v>2</v>
      </c>
      <c r="D1498" s="1">
        <v>45869</v>
      </c>
      <c r="E1498">
        <v>0</v>
      </c>
      <c r="F1498" s="2">
        <v>0</v>
      </c>
      <c r="G1498" s="2">
        <v>2373.4699999999975</v>
      </c>
    </row>
    <row r="1499" spans="1:7" hidden="1" x14ac:dyDescent="0.3">
      <c r="A1499" t="s">
        <v>179</v>
      </c>
      <c r="B1499" t="s">
        <v>180</v>
      </c>
      <c r="C1499" t="s">
        <v>2</v>
      </c>
      <c r="D1499" s="1">
        <v>45900</v>
      </c>
      <c r="E1499">
        <v>0</v>
      </c>
      <c r="F1499" s="2">
        <v>0</v>
      </c>
      <c r="G1499" s="2">
        <v>2373.4699999999975</v>
      </c>
    </row>
    <row r="1500" spans="1:7" hidden="1" x14ac:dyDescent="0.3">
      <c r="A1500" t="s">
        <v>179</v>
      </c>
      <c r="B1500" t="s">
        <v>180</v>
      </c>
      <c r="C1500" t="s">
        <v>2</v>
      </c>
      <c r="D1500" s="1">
        <v>45930</v>
      </c>
      <c r="E1500">
        <v>0</v>
      </c>
      <c r="F1500" s="2">
        <v>0</v>
      </c>
      <c r="G1500" s="2">
        <v>2373.4699999999975</v>
      </c>
    </row>
    <row r="1501" spans="1:7" hidden="1" x14ac:dyDescent="0.3">
      <c r="A1501" t="s">
        <v>179</v>
      </c>
      <c r="B1501" t="s">
        <v>180</v>
      </c>
      <c r="C1501" t="s">
        <v>2</v>
      </c>
      <c r="D1501" s="1">
        <v>45961</v>
      </c>
      <c r="E1501">
        <v>0</v>
      </c>
      <c r="F1501" s="2">
        <v>0</v>
      </c>
      <c r="G1501" s="2">
        <v>2373.4699999999975</v>
      </c>
    </row>
    <row r="1502" spans="1:7" hidden="1" x14ac:dyDescent="0.3">
      <c r="A1502" t="s">
        <v>179</v>
      </c>
      <c r="B1502" t="s">
        <v>180</v>
      </c>
      <c r="C1502" t="s">
        <v>2</v>
      </c>
      <c r="D1502" s="1">
        <v>45991</v>
      </c>
      <c r="E1502">
        <v>0</v>
      </c>
      <c r="F1502" s="2">
        <v>0</v>
      </c>
      <c r="G1502" s="2">
        <v>2373.4699999999975</v>
      </c>
    </row>
    <row r="1503" spans="1:7" hidden="1" x14ac:dyDescent="0.3">
      <c r="A1503" t="s">
        <v>179</v>
      </c>
      <c r="B1503" t="s">
        <v>180</v>
      </c>
      <c r="C1503" t="s">
        <v>2</v>
      </c>
      <c r="D1503" s="1">
        <v>46022</v>
      </c>
      <c r="E1503">
        <v>0</v>
      </c>
      <c r="F1503" s="2">
        <v>0</v>
      </c>
      <c r="G1503" s="2">
        <v>2373.4699999999975</v>
      </c>
    </row>
    <row r="1504" spans="1:7" hidden="1" x14ac:dyDescent="0.3">
      <c r="A1504" t="s">
        <v>217</v>
      </c>
      <c r="B1504" t="s">
        <v>218</v>
      </c>
      <c r="C1504" t="s">
        <v>2</v>
      </c>
      <c r="D1504" s="1">
        <v>45869</v>
      </c>
      <c r="E1504">
        <v>0</v>
      </c>
      <c r="F1504" s="2">
        <v>0</v>
      </c>
      <c r="G1504" s="2">
        <v>1981.2000000000007</v>
      </c>
    </row>
    <row r="1505" spans="1:7" hidden="1" x14ac:dyDescent="0.3">
      <c r="A1505" t="s">
        <v>217</v>
      </c>
      <c r="B1505" t="s">
        <v>218</v>
      </c>
      <c r="C1505" t="s">
        <v>2</v>
      </c>
      <c r="D1505" s="1">
        <v>45900</v>
      </c>
      <c r="E1505">
        <v>0</v>
      </c>
      <c r="F1505" s="2">
        <v>0</v>
      </c>
      <c r="G1505" s="2">
        <v>1981.2000000000007</v>
      </c>
    </row>
    <row r="1506" spans="1:7" hidden="1" x14ac:dyDescent="0.3">
      <c r="A1506" t="s">
        <v>217</v>
      </c>
      <c r="B1506" t="s">
        <v>218</v>
      </c>
      <c r="C1506" t="s">
        <v>2</v>
      </c>
      <c r="D1506" s="1">
        <v>45930</v>
      </c>
      <c r="E1506">
        <v>0</v>
      </c>
      <c r="F1506" s="2">
        <v>0</v>
      </c>
      <c r="G1506" s="2">
        <v>1981.2000000000007</v>
      </c>
    </row>
    <row r="1507" spans="1:7" hidden="1" x14ac:dyDescent="0.3">
      <c r="A1507" t="s">
        <v>217</v>
      </c>
      <c r="B1507" t="s">
        <v>218</v>
      </c>
      <c r="C1507" t="s">
        <v>2</v>
      </c>
      <c r="D1507" s="1">
        <v>45961</v>
      </c>
      <c r="E1507">
        <v>0</v>
      </c>
      <c r="F1507" s="2">
        <v>0</v>
      </c>
      <c r="G1507" s="2">
        <v>1981.2000000000007</v>
      </c>
    </row>
    <row r="1508" spans="1:7" hidden="1" x14ac:dyDescent="0.3">
      <c r="A1508" t="s">
        <v>217</v>
      </c>
      <c r="B1508" t="s">
        <v>218</v>
      </c>
      <c r="C1508" t="s">
        <v>2</v>
      </c>
      <c r="D1508" s="1">
        <v>45991</v>
      </c>
      <c r="E1508">
        <v>0</v>
      </c>
      <c r="F1508" s="2">
        <v>0</v>
      </c>
      <c r="G1508" s="2">
        <v>1981.2000000000007</v>
      </c>
    </row>
    <row r="1509" spans="1:7" hidden="1" x14ac:dyDescent="0.3">
      <c r="A1509" t="s">
        <v>217</v>
      </c>
      <c r="B1509" t="s">
        <v>218</v>
      </c>
      <c r="C1509" t="s">
        <v>2</v>
      </c>
      <c r="D1509" s="1">
        <v>46022</v>
      </c>
      <c r="E1509">
        <v>0</v>
      </c>
      <c r="F1509" s="2">
        <v>0</v>
      </c>
      <c r="G1509" s="2">
        <v>1981.2000000000007</v>
      </c>
    </row>
    <row r="1510" spans="1:7" hidden="1" x14ac:dyDescent="0.3">
      <c r="A1510" t="s">
        <v>105</v>
      </c>
      <c r="B1510" t="s">
        <v>106</v>
      </c>
      <c r="C1510" t="s">
        <v>2</v>
      </c>
      <c r="D1510" s="1">
        <v>45869</v>
      </c>
      <c r="E1510">
        <v>0</v>
      </c>
      <c r="F1510" s="2">
        <v>0</v>
      </c>
      <c r="G1510" s="2">
        <v>1740.5499999999993</v>
      </c>
    </row>
    <row r="1511" spans="1:7" hidden="1" x14ac:dyDescent="0.3">
      <c r="A1511" t="s">
        <v>105</v>
      </c>
      <c r="B1511" t="s">
        <v>106</v>
      </c>
      <c r="C1511" t="s">
        <v>2</v>
      </c>
      <c r="D1511" s="1">
        <v>45900</v>
      </c>
      <c r="E1511">
        <v>0</v>
      </c>
      <c r="F1511" s="2">
        <v>0</v>
      </c>
      <c r="G1511" s="2">
        <v>1740.5499999999993</v>
      </c>
    </row>
    <row r="1512" spans="1:7" hidden="1" x14ac:dyDescent="0.3">
      <c r="A1512" t="s">
        <v>105</v>
      </c>
      <c r="B1512" t="s">
        <v>106</v>
      </c>
      <c r="C1512" t="s">
        <v>2</v>
      </c>
      <c r="D1512" s="1">
        <v>45930</v>
      </c>
      <c r="E1512">
        <v>0</v>
      </c>
      <c r="F1512" s="2">
        <v>0</v>
      </c>
      <c r="G1512" s="2">
        <v>1740.5499999999993</v>
      </c>
    </row>
    <row r="1513" spans="1:7" hidden="1" x14ac:dyDescent="0.3">
      <c r="A1513" t="s">
        <v>105</v>
      </c>
      <c r="B1513" t="s">
        <v>106</v>
      </c>
      <c r="C1513" t="s">
        <v>2</v>
      </c>
      <c r="D1513" s="1">
        <v>45961</v>
      </c>
      <c r="E1513">
        <v>0</v>
      </c>
      <c r="F1513" s="2">
        <v>0</v>
      </c>
      <c r="G1513" s="2">
        <v>1740.5499999999993</v>
      </c>
    </row>
    <row r="1514" spans="1:7" hidden="1" x14ac:dyDescent="0.3">
      <c r="A1514" t="s">
        <v>105</v>
      </c>
      <c r="B1514" t="s">
        <v>106</v>
      </c>
      <c r="C1514" t="s">
        <v>2</v>
      </c>
      <c r="D1514" s="1">
        <v>45991</v>
      </c>
      <c r="E1514">
        <v>0</v>
      </c>
      <c r="F1514" s="2">
        <v>0</v>
      </c>
      <c r="G1514" s="2">
        <v>1740.5499999999993</v>
      </c>
    </row>
    <row r="1515" spans="1:7" hidden="1" x14ac:dyDescent="0.3">
      <c r="A1515" t="s">
        <v>105</v>
      </c>
      <c r="B1515" t="s">
        <v>106</v>
      </c>
      <c r="C1515" t="s">
        <v>2</v>
      </c>
      <c r="D1515" s="1">
        <v>46022</v>
      </c>
      <c r="E1515">
        <v>0</v>
      </c>
      <c r="F1515" s="2">
        <v>0</v>
      </c>
      <c r="G1515" s="2">
        <v>1740.5499999999993</v>
      </c>
    </row>
    <row r="1516" spans="1:7" hidden="1" x14ac:dyDescent="0.3">
      <c r="A1516" t="s">
        <v>249</v>
      </c>
      <c r="B1516" t="s">
        <v>250</v>
      </c>
      <c r="C1516" t="s">
        <v>2</v>
      </c>
      <c r="D1516" s="1">
        <v>45869</v>
      </c>
      <c r="E1516">
        <v>0</v>
      </c>
      <c r="F1516" s="2">
        <v>0</v>
      </c>
      <c r="G1516" s="2">
        <v>2282.9500000000007</v>
      </c>
    </row>
    <row r="1517" spans="1:7" hidden="1" x14ac:dyDescent="0.3">
      <c r="A1517" t="s">
        <v>249</v>
      </c>
      <c r="B1517" t="s">
        <v>250</v>
      </c>
      <c r="C1517" t="s">
        <v>2</v>
      </c>
      <c r="D1517" s="1">
        <v>45900</v>
      </c>
      <c r="E1517">
        <v>0</v>
      </c>
      <c r="F1517" s="2">
        <v>0</v>
      </c>
      <c r="G1517" s="2">
        <v>2282.9500000000007</v>
      </c>
    </row>
    <row r="1518" spans="1:7" hidden="1" x14ac:dyDescent="0.3">
      <c r="A1518" t="s">
        <v>249</v>
      </c>
      <c r="B1518" t="s">
        <v>250</v>
      </c>
      <c r="C1518" t="s">
        <v>2</v>
      </c>
      <c r="D1518" s="1">
        <v>45930</v>
      </c>
      <c r="E1518">
        <v>0</v>
      </c>
      <c r="F1518" s="2">
        <v>0</v>
      </c>
      <c r="G1518" s="2">
        <v>2282.9500000000007</v>
      </c>
    </row>
    <row r="1519" spans="1:7" hidden="1" x14ac:dyDescent="0.3">
      <c r="A1519" t="s">
        <v>249</v>
      </c>
      <c r="B1519" t="s">
        <v>250</v>
      </c>
      <c r="C1519" t="s">
        <v>2</v>
      </c>
      <c r="D1519" s="1">
        <v>45961</v>
      </c>
      <c r="E1519">
        <v>0</v>
      </c>
      <c r="F1519" s="2">
        <v>0</v>
      </c>
      <c r="G1519" s="2">
        <v>2282.9500000000007</v>
      </c>
    </row>
    <row r="1520" spans="1:7" hidden="1" x14ac:dyDescent="0.3">
      <c r="A1520" t="s">
        <v>249</v>
      </c>
      <c r="B1520" t="s">
        <v>250</v>
      </c>
      <c r="C1520" t="s">
        <v>2</v>
      </c>
      <c r="D1520" s="1">
        <v>45991</v>
      </c>
      <c r="E1520">
        <v>0</v>
      </c>
      <c r="F1520" s="2">
        <v>0</v>
      </c>
      <c r="G1520" s="2">
        <v>2282.9500000000007</v>
      </c>
    </row>
    <row r="1521" spans="1:7" hidden="1" x14ac:dyDescent="0.3">
      <c r="A1521" t="s">
        <v>249</v>
      </c>
      <c r="B1521" t="s">
        <v>250</v>
      </c>
      <c r="C1521" t="s">
        <v>2</v>
      </c>
      <c r="D1521" s="1">
        <v>46022</v>
      </c>
      <c r="E1521">
        <v>0</v>
      </c>
      <c r="F1521" s="2">
        <v>0</v>
      </c>
      <c r="G1521" s="2">
        <v>2282.9500000000007</v>
      </c>
    </row>
    <row r="1522" spans="1:7" hidden="1" x14ac:dyDescent="0.3">
      <c r="A1522" t="s">
        <v>115</v>
      </c>
      <c r="B1522" t="s">
        <v>116</v>
      </c>
      <c r="C1522" t="s">
        <v>2</v>
      </c>
      <c r="D1522" s="1">
        <v>45869</v>
      </c>
      <c r="E1522">
        <v>0</v>
      </c>
      <c r="F1522" s="2">
        <v>0</v>
      </c>
      <c r="G1522" s="2">
        <v>1698.7400000000007</v>
      </c>
    </row>
    <row r="1523" spans="1:7" hidden="1" x14ac:dyDescent="0.3">
      <c r="A1523" t="s">
        <v>115</v>
      </c>
      <c r="B1523" t="s">
        <v>116</v>
      </c>
      <c r="C1523" t="s">
        <v>2</v>
      </c>
      <c r="D1523" s="1">
        <v>45900</v>
      </c>
      <c r="E1523">
        <v>0</v>
      </c>
      <c r="F1523" s="2">
        <v>0</v>
      </c>
      <c r="G1523" s="2">
        <v>1698.7400000000007</v>
      </c>
    </row>
    <row r="1524" spans="1:7" hidden="1" x14ac:dyDescent="0.3">
      <c r="A1524" t="s">
        <v>115</v>
      </c>
      <c r="B1524" t="s">
        <v>116</v>
      </c>
      <c r="C1524" t="s">
        <v>2</v>
      </c>
      <c r="D1524" s="1">
        <v>45930</v>
      </c>
      <c r="E1524">
        <v>0</v>
      </c>
      <c r="F1524" s="2">
        <v>0</v>
      </c>
      <c r="G1524" s="2">
        <v>1698.7400000000007</v>
      </c>
    </row>
    <row r="1525" spans="1:7" hidden="1" x14ac:dyDescent="0.3">
      <c r="A1525" t="s">
        <v>115</v>
      </c>
      <c r="B1525" t="s">
        <v>116</v>
      </c>
      <c r="C1525" t="s">
        <v>2</v>
      </c>
      <c r="D1525" s="1">
        <v>45961</v>
      </c>
      <c r="E1525">
        <v>0</v>
      </c>
      <c r="F1525" s="2">
        <v>0</v>
      </c>
      <c r="G1525" s="2">
        <v>1698.7400000000007</v>
      </c>
    </row>
    <row r="1526" spans="1:7" hidden="1" x14ac:dyDescent="0.3">
      <c r="A1526" t="s">
        <v>115</v>
      </c>
      <c r="B1526" t="s">
        <v>116</v>
      </c>
      <c r="C1526" t="s">
        <v>2</v>
      </c>
      <c r="D1526" s="1">
        <v>45991</v>
      </c>
      <c r="E1526">
        <v>0</v>
      </c>
      <c r="F1526" s="2">
        <v>0</v>
      </c>
      <c r="G1526" s="2">
        <v>1698.7400000000007</v>
      </c>
    </row>
    <row r="1527" spans="1:7" hidden="1" x14ac:dyDescent="0.3">
      <c r="A1527" t="s">
        <v>115</v>
      </c>
      <c r="B1527" t="s">
        <v>116</v>
      </c>
      <c r="C1527" t="s">
        <v>2</v>
      </c>
      <c r="D1527" s="1">
        <v>46022</v>
      </c>
      <c r="E1527">
        <v>0</v>
      </c>
      <c r="F1527" s="2">
        <v>0</v>
      </c>
      <c r="G1527" s="2">
        <v>1698.7400000000007</v>
      </c>
    </row>
    <row r="1528" spans="1:7" hidden="1" x14ac:dyDescent="0.3">
      <c r="A1528" t="s">
        <v>35</v>
      </c>
      <c r="B1528" t="s">
        <v>36</v>
      </c>
      <c r="C1528" t="s">
        <v>2</v>
      </c>
      <c r="D1528" s="1">
        <v>45869</v>
      </c>
      <c r="E1528">
        <v>0</v>
      </c>
      <c r="F1528" s="2">
        <v>0</v>
      </c>
      <c r="G1528" s="2">
        <v>2933.1700000000019</v>
      </c>
    </row>
    <row r="1529" spans="1:7" hidden="1" x14ac:dyDescent="0.3">
      <c r="A1529" t="s">
        <v>35</v>
      </c>
      <c r="B1529" t="s">
        <v>36</v>
      </c>
      <c r="C1529" t="s">
        <v>2</v>
      </c>
      <c r="D1529" s="1">
        <v>45900</v>
      </c>
      <c r="E1529">
        <v>0</v>
      </c>
      <c r="F1529" s="2">
        <v>0</v>
      </c>
      <c r="G1529" s="2">
        <v>2933.1700000000019</v>
      </c>
    </row>
    <row r="1530" spans="1:7" hidden="1" x14ac:dyDescent="0.3">
      <c r="A1530" t="s">
        <v>35</v>
      </c>
      <c r="B1530" t="s">
        <v>36</v>
      </c>
      <c r="C1530" t="s">
        <v>2</v>
      </c>
      <c r="D1530" s="1">
        <v>45930</v>
      </c>
      <c r="E1530">
        <v>0</v>
      </c>
      <c r="F1530" s="2">
        <v>0</v>
      </c>
      <c r="G1530" s="2">
        <v>2933.1700000000019</v>
      </c>
    </row>
    <row r="1531" spans="1:7" hidden="1" x14ac:dyDescent="0.3">
      <c r="A1531" t="s">
        <v>35</v>
      </c>
      <c r="B1531" t="s">
        <v>36</v>
      </c>
      <c r="C1531" t="s">
        <v>2</v>
      </c>
      <c r="D1531" s="1">
        <v>45961</v>
      </c>
      <c r="E1531">
        <v>0</v>
      </c>
      <c r="F1531" s="2">
        <v>0</v>
      </c>
      <c r="G1531" s="2">
        <v>2933.1700000000019</v>
      </c>
    </row>
    <row r="1532" spans="1:7" hidden="1" x14ac:dyDescent="0.3">
      <c r="A1532" t="s">
        <v>35</v>
      </c>
      <c r="B1532" t="s">
        <v>36</v>
      </c>
      <c r="C1532" t="s">
        <v>2</v>
      </c>
      <c r="D1532" s="1">
        <v>45991</v>
      </c>
      <c r="E1532">
        <v>0</v>
      </c>
      <c r="F1532" s="2">
        <v>0</v>
      </c>
      <c r="G1532" s="2">
        <v>2933.1700000000019</v>
      </c>
    </row>
    <row r="1533" spans="1:7" hidden="1" x14ac:dyDescent="0.3">
      <c r="A1533" t="s">
        <v>35</v>
      </c>
      <c r="B1533" t="s">
        <v>36</v>
      </c>
      <c r="C1533" t="s">
        <v>2</v>
      </c>
      <c r="D1533" s="1">
        <v>46022</v>
      </c>
      <c r="E1533">
        <v>0</v>
      </c>
      <c r="F1533" s="2">
        <v>0</v>
      </c>
      <c r="G1533" s="2">
        <v>2933.1700000000019</v>
      </c>
    </row>
    <row r="1534" spans="1:7" hidden="1" x14ac:dyDescent="0.3">
      <c r="A1534" t="s">
        <v>388</v>
      </c>
      <c r="B1534" t="s">
        <v>389</v>
      </c>
      <c r="C1534" t="s">
        <v>2</v>
      </c>
      <c r="D1534" s="1">
        <v>45688</v>
      </c>
      <c r="E1534">
        <v>0</v>
      </c>
      <c r="F1534" s="2">
        <v>0</v>
      </c>
      <c r="G1534" s="2">
        <v>0</v>
      </c>
    </row>
    <row r="1535" spans="1:7" hidden="1" x14ac:dyDescent="0.3">
      <c r="A1535" t="s">
        <v>388</v>
      </c>
      <c r="B1535" t="s">
        <v>389</v>
      </c>
      <c r="C1535" t="s">
        <v>2</v>
      </c>
      <c r="D1535" s="1">
        <v>45716</v>
      </c>
      <c r="E1535">
        <v>0</v>
      </c>
      <c r="F1535" s="2">
        <v>0</v>
      </c>
      <c r="G1535" s="2">
        <v>0</v>
      </c>
    </row>
    <row r="1536" spans="1:7" hidden="1" x14ac:dyDescent="0.3">
      <c r="A1536" t="s">
        <v>388</v>
      </c>
      <c r="B1536" t="s">
        <v>389</v>
      </c>
      <c r="C1536" t="s">
        <v>2</v>
      </c>
      <c r="D1536" s="1">
        <v>45869</v>
      </c>
      <c r="E1536">
        <v>0</v>
      </c>
      <c r="F1536" s="2">
        <v>0</v>
      </c>
      <c r="G1536" s="2">
        <v>1743.9900000000002</v>
      </c>
    </row>
    <row r="1537" spans="1:7" hidden="1" x14ac:dyDescent="0.3">
      <c r="A1537" t="s">
        <v>388</v>
      </c>
      <c r="B1537" t="s">
        <v>389</v>
      </c>
      <c r="C1537" t="s">
        <v>2</v>
      </c>
      <c r="D1537" s="1">
        <v>45900</v>
      </c>
      <c r="E1537">
        <v>0</v>
      </c>
      <c r="F1537" s="2">
        <v>0</v>
      </c>
      <c r="G1537" s="2">
        <v>1743.9900000000002</v>
      </c>
    </row>
    <row r="1538" spans="1:7" hidden="1" x14ac:dyDescent="0.3">
      <c r="A1538" t="s">
        <v>388</v>
      </c>
      <c r="B1538" t="s">
        <v>389</v>
      </c>
      <c r="C1538" t="s">
        <v>2</v>
      </c>
      <c r="D1538" s="1">
        <v>45930</v>
      </c>
      <c r="E1538">
        <v>0</v>
      </c>
      <c r="F1538" s="2">
        <v>0</v>
      </c>
      <c r="G1538" s="2">
        <v>1743.9900000000002</v>
      </c>
    </row>
    <row r="1539" spans="1:7" hidden="1" x14ac:dyDescent="0.3">
      <c r="A1539" t="s">
        <v>388</v>
      </c>
      <c r="B1539" t="s">
        <v>389</v>
      </c>
      <c r="C1539" t="s">
        <v>2</v>
      </c>
      <c r="D1539" s="1">
        <v>45961</v>
      </c>
      <c r="E1539">
        <v>0</v>
      </c>
      <c r="F1539" s="2">
        <v>0</v>
      </c>
      <c r="G1539" s="2">
        <v>1743.9900000000002</v>
      </c>
    </row>
    <row r="1540" spans="1:7" hidden="1" x14ac:dyDescent="0.3">
      <c r="A1540" t="s">
        <v>388</v>
      </c>
      <c r="B1540" t="s">
        <v>389</v>
      </c>
      <c r="C1540" t="s">
        <v>2</v>
      </c>
      <c r="D1540" s="1">
        <v>45991</v>
      </c>
      <c r="E1540">
        <v>0</v>
      </c>
      <c r="F1540" s="2">
        <v>0</v>
      </c>
      <c r="G1540" s="2">
        <v>1743.9900000000002</v>
      </c>
    </row>
    <row r="1541" spans="1:7" hidden="1" x14ac:dyDescent="0.3">
      <c r="A1541" t="s">
        <v>388</v>
      </c>
      <c r="B1541" t="s">
        <v>389</v>
      </c>
      <c r="C1541" t="s">
        <v>2</v>
      </c>
      <c r="D1541" s="1">
        <v>46022</v>
      </c>
      <c r="E1541">
        <v>0</v>
      </c>
      <c r="F1541" s="2">
        <v>0</v>
      </c>
      <c r="G1541" s="2">
        <v>1743.9900000000002</v>
      </c>
    </row>
    <row r="1542" spans="1:7" hidden="1" x14ac:dyDescent="0.3">
      <c r="A1542" t="s">
        <v>69</v>
      </c>
      <c r="B1542" t="s">
        <v>70</v>
      </c>
      <c r="C1542" t="s">
        <v>2</v>
      </c>
      <c r="D1542" s="1">
        <v>45869</v>
      </c>
      <c r="E1542">
        <v>0</v>
      </c>
      <c r="F1542" s="2">
        <v>0</v>
      </c>
      <c r="G1542" s="2">
        <v>2629.99</v>
      </c>
    </row>
    <row r="1543" spans="1:7" hidden="1" x14ac:dyDescent="0.3">
      <c r="A1543" t="s">
        <v>69</v>
      </c>
      <c r="B1543" t="s">
        <v>70</v>
      </c>
      <c r="C1543" t="s">
        <v>2</v>
      </c>
      <c r="D1543" s="1">
        <v>45900</v>
      </c>
      <c r="E1543">
        <v>0</v>
      </c>
      <c r="F1543" s="2">
        <v>0</v>
      </c>
      <c r="G1543" s="2">
        <v>2629.99</v>
      </c>
    </row>
    <row r="1544" spans="1:7" hidden="1" x14ac:dyDescent="0.3">
      <c r="A1544" t="s">
        <v>69</v>
      </c>
      <c r="B1544" t="s">
        <v>70</v>
      </c>
      <c r="C1544" t="s">
        <v>2</v>
      </c>
      <c r="D1544" s="1">
        <v>45930</v>
      </c>
      <c r="E1544">
        <v>0</v>
      </c>
      <c r="F1544" s="2">
        <v>0</v>
      </c>
      <c r="G1544" s="2">
        <v>2629.99</v>
      </c>
    </row>
    <row r="1545" spans="1:7" hidden="1" x14ac:dyDescent="0.3">
      <c r="A1545" t="s">
        <v>69</v>
      </c>
      <c r="B1545" t="s">
        <v>70</v>
      </c>
      <c r="C1545" t="s">
        <v>2</v>
      </c>
      <c r="D1545" s="1">
        <v>45961</v>
      </c>
      <c r="E1545">
        <v>0</v>
      </c>
      <c r="F1545" s="2">
        <v>0</v>
      </c>
      <c r="G1545" s="2">
        <v>2629.99</v>
      </c>
    </row>
    <row r="1546" spans="1:7" hidden="1" x14ac:dyDescent="0.3">
      <c r="A1546" t="s">
        <v>69</v>
      </c>
      <c r="B1546" t="s">
        <v>70</v>
      </c>
      <c r="C1546" t="s">
        <v>2</v>
      </c>
      <c r="D1546" s="1">
        <v>45991</v>
      </c>
      <c r="E1546">
        <v>0</v>
      </c>
      <c r="F1546" s="2">
        <v>0</v>
      </c>
      <c r="G1546" s="2">
        <v>2629.99</v>
      </c>
    </row>
    <row r="1547" spans="1:7" hidden="1" x14ac:dyDescent="0.3">
      <c r="A1547" t="s">
        <v>69</v>
      </c>
      <c r="B1547" t="s">
        <v>70</v>
      </c>
      <c r="C1547" t="s">
        <v>2</v>
      </c>
      <c r="D1547" s="1">
        <v>46022</v>
      </c>
      <c r="E1547">
        <v>0</v>
      </c>
      <c r="F1547" s="2">
        <v>0</v>
      </c>
      <c r="G1547" s="2">
        <v>2629.99</v>
      </c>
    </row>
    <row r="1548" spans="1:7" hidden="1" x14ac:dyDescent="0.3">
      <c r="A1548" t="s">
        <v>85</v>
      </c>
      <c r="B1548" t="s">
        <v>86</v>
      </c>
      <c r="C1548" t="s">
        <v>2</v>
      </c>
      <c r="D1548" s="1">
        <v>45869</v>
      </c>
      <c r="E1548">
        <v>0</v>
      </c>
      <c r="F1548" s="2">
        <v>0</v>
      </c>
      <c r="G1548" s="2">
        <v>2540.83</v>
      </c>
    </row>
    <row r="1549" spans="1:7" hidden="1" x14ac:dyDescent="0.3">
      <c r="A1549" t="s">
        <v>85</v>
      </c>
      <c r="B1549" t="s">
        <v>86</v>
      </c>
      <c r="C1549" t="s">
        <v>2</v>
      </c>
      <c r="D1549" s="1">
        <v>45900</v>
      </c>
      <c r="E1549">
        <v>0</v>
      </c>
      <c r="F1549" s="2">
        <v>0</v>
      </c>
      <c r="G1549" s="2">
        <v>2540.83</v>
      </c>
    </row>
    <row r="1550" spans="1:7" hidden="1" x14ac:dyDescent="0.3">
      <c r="A1550" t="s">
        <v>85</v>
      </c>
      <c r="B1550" t="s">
        <v>86</v>
      </c>
      <c r="C1550" t="s">
        <v>2</v>
      </c>
      <c r="D1550" s="1">
        <v>45930</v>
      </c>
      <c r="E1550">
        <v>0</v>
      </c>
      <c r="F1550" s="2">
        <v>0</v>
      </c>
      <c r="G1550" s="2">
        <v>2540.83</v>
      </c>
    </row>
    <row r="1551" spans="1:7" hidden="1" x14ac:dyDescent="0.3">
      <c r="A1551" t="s">
        <v>85</v>
      </c>
      <c r="B1551" t="s">
        <v>86</v>
      </c>
      <c r="C1551" t="s">
        <v>2</v>
      </c>
      <c r="D1551" s="1">
        <v>45961</v>
      </c>
      <c r="E1551">
        <v>0</v>
      </c>
      <c r="F1551" s="2">
        <v>0</v>
      </c>
      <c r="G1551" s="2">
        <v>2540.83</v>
      </c>
    </row>
    <row r="1552" spans="1:7" hidden="1" x14ac:dyDescent="0.3">
      <c r="A1552" t="s">
        <v>85</v>
      </c>
      <c r="B1552" t="s">
        <v>86</v>
      </c>
      <c r="C1552" t="s">
        <v>2</v>
      </c>
      <c r="D1552" s="1">
        <v>45991</v>
      </c>
      <c r="E1552">
        <v>0</v>
      </c>
      <c r="F1552" s="2">
        <v>0</v>
      </c>
      <c r="G1552" s="2">
        <v>2540.83</v>
      </c>
    </row>
    <row r="1553" spans="1:7" hidden="1" x14ac:dyDescent="0.3">
      <c r="A1553" t="s">
        <v>85</v>
      </c>
      <c r="B1553" t="s">
        <v>86</v>
      </c>
      <c r="C1553" t="s">
        <v>2</v>
      </c>
      <c r="D1553" s="1">
        <v>46022</v>
      </c>
      <c r="E1553">
        <v>0</v>
      </c>
      <c r="F1553" s="2">
        <v>0</v>
      </c>
      <c r="G1553" s="2">
        <v>2540.83</v>
      </c>
    </row>
    <row r="1554" spans="1:7" hidden="1" x14ac:dyDescent="0.3">
      <c r="A1554" t="s">
        <v>351</v>
      </c>
      <c r="B1554" t="s">
        <v>352</v>
      </c>
      <c r="C1554" t="s">
        <v>2</v>
      </c>
      <c r="D1554" s="1">
        <v>45747</v>
      </c>
      <c r="E1554">
        <v>0</v>
      </c>
      <c r="F1554" s="2">
        <v>0</v>
      </c>
      <c r="G1554" s="2">
        <v>0</v>
      </c>
    </row>
    <row r="1555" spans="1:7" hidden="1" x14ac:dyDescent="0.3">
      <c r="A1555" t="s">
        <v>351</v>
      </c>
      <c r="B1555" t="s">
        <v>352</v>
      </c>
      <c r="C1555" t="s">
        <v>2</v>
      </c>
      <c r="D1555" s="1">
        <v>45777</v>
      </c>
      <c r="E1555">
        <v>0</v>
      </c>
      <c r="F1555" s="2">
        <v>0</v>
      </c>
      <c r="G1555" s="2">
        <v>0</v>
      </c>
    </row>
    <row r="1556" spans="1:7" hidden="1" x14ac:dyDescent="0.3">
      <c r="A1556" t="s">
        <v>351</v>
      </c>
      <c r="B1556" t="s">
        <v>352</v>
      </c>
      <c r="C1556" t="s">
        <v>2</v>
      </c>
      <c r="D1556" s="1">
        <v>45838</v>
      </c>
      <c r="E1556">
        <v>0</v>
      </c>
      <c r="F1556" s="2">
        <v>0</v>
      </c>
      <c r="G1556" s="2">
        <v>0</v>
      </c>
    </row>
    <row r="1557" spans="1:7" hidden="1" x14ac:dyDescent="0.3">
      <c r="A1557" t="s">
        <v>351</v>
      </c>
      <c r="B1557" t="s">
        <v>352</v>
      </c>
      <c r="C1557" t="s">
        <v>2</v>
      </c>
      <c r="D1557" s="1">
        <v>45869</v>
      </c>
      <c r="E1557">
        <v>0</v>
      </c>
      <c r="F1557" s="2">
        <v>0</v>
      </c>
      <c r="G1557" s="2">
        <v>0</v>
      </c>
    </row>
    <row r="1558" spans="1:7" hidden="1" x14ac:dyDescent="0.3">
      <c r="A1558" t="s">
        <v>351</v>
      </c>
      <c r="B1558" t="s">
        <v>352</v>
      </c>
      <c r="C1558" t="s">
        <v>2</v>
      </c>
      <c r="D1558" s="1">
        <v>45900</v>
      </c>
      <c r="E1558">
        <v>0</v>
      </c>
      <c r="F1558" s="2">
        <v>0</v>
      </c>
      <c r="G1558" s="2">
        <v>0</v>
      </c>
    </row>
    <row r="1559" spans="1:7" hidden="1" x14ac:dyDescent="0.3">
      <c r="A1559" t="s">
        <v>351</v>
      </c>
      <c r="B1559" t="s">
        <v>352</v>
      </c>
      <c r="C1559" t="s">
        <v>2</v>
      </c>
      <c r="D1559" s="1">
        <v>45930</v>
      </c>
      <c r="E1559">
        <v>0</v>
      </c>
      <c r="F1559" s="2">
        <v>0</v>
      </c>
      <c r="G1559" s="2">
        <v>0</v>
      </c>
    </row>
    <row r="1560" spans="1:7" hidden="1" x14ac:dyDescent="0.3">
      <c r="A1560" t="s">
        <v>351</v>
      </c>
      <c r="B1560" t="s">
        <v>352</v>
      </c>
      <c r="C1560" t="s">
        <v>2</v>
      </c>
      <c r="D1560" s="1">
        <v>45961</v>
      </c>
      <c r="E1560">
        <v>0</v>
      </c>
      <c r="F1560" s="2">
        <v>0</v>
      </c>
      <c r="G1560" s="2">
        <v>0</v>
      </c>
    </row>
    <row r="1561" spans="1:7" hidden="1" x14ac:dyDescent="0.3">
      <c r="A1561" t="s">
        <v>351</v>
      </c>
      <c r="B1561" t="s">
        <v>352</v>
      </c>
      <c r="C1561" t="s">
        <v>2</v>
      </c>
      <c r="D1561" s="1">
        <v>45991</v>
      </c>
      <c r="E1561">
        <v>0</v>
      </c>
      <c r="F1561" s="2">
        <v>0</v>
      </c>
      <c r="G1561" s="2">
        <v>0</v>
      </c>
    </row>
    <row r="1562" spans="1:7" hidden="1" x14ac:dyDescent="0.3">
      <c r="A1562" t="s">
        <v>351</v>
      </c>
      <c r="B1562" t="s">
        <v>352</v>
      </c>
      <c r="C1562" t="s">
        <v>2</v>
      </c>
      <c r="D1562" s="1">
        <v>46022</v>
      </c>
      <c r="E1562">
        <v>0</v>
      </c>
      <c r="F1562" s="2">
        <v>0</v>
      </c>
      <c r="G1562" s="2">
        <v>0</v>
      </c>
    </row>
    <row r="1563" spans="1:7" hidden="1" x14ac:dyDescent="0.3">
      <c r="A1563" t="s">
        <v>379</v>
      </c>
      <c r="B1563" t="s">
        <v>352</v>
      </c>
      <c r="C1563" t="s">
        <v>2</v>
      </c>
      <c r="D1563" s="1">
        <v>45688</v>
      </c>
      <c r="E1563">
        <v>0</v>
      </c>
      <c r="F1563" s="2">
        <v>0</v>
      </c>
      <c r="G1563" s="2">
        <v>0</v>
      </c>
    </row>
    <row r="1564" spans="1:7" hidden="1" x14ac:dyDescent="0.3">
      <c r="A1564" t="s">
        <v>379</v>
      </c>
      <c r="B1564" t="s">
        <v>352</v>
      </c>
      <c r="C1564" t="s">
        <v>2</v>
      </c>
      <c r="D1564" s="1">
        <v>45869</v>
      </c>
      <c r="E1564">
        <v>0</v>
      </c>
      <c r="F1564" s="2">
        <v>0</v>
      </c>
      <c r="G1564" s="2">
        <v>1147.0300000000007</v>
      </c>
    </row>
    <row r="1565" spans="1:7" hidden="1" x14ac:dyDescent="0.3">
      <c r="A1565" t="s">
        <v>379</v>
      </c>
      <c r="B1565" t="s">
        <v>352</v>
      </c>
      <c r="C1565" t="s">
        <v>2</v>
      </c>
      <c r="D1565" s="1">
        <v>45900</v>
      </c>
      <c r="E1565">
        <v>0</v>
      </c>
      <c r="F1565" s="2">
        <v>0</v>
      </c>
      <c r="G1565" s="2">
        <v>1147.0300000000007</v>
      </c>
    </row>
    <row r="1566" spans="1:7" hidden="1" x14ac:dyDescent="0.3">
      <c r="A1566" t="s">
        <v>379</v>
      </c>
      <c r="B1566" t="s">
        <v>352</v>
      </c>
      <c r="C1566" t="s">
        <v>2</v>
      </c>
      <c r="D1566" s="1">
        <v>45930</v>
      </c>
      <c r="E1566">
        <v>0</v>
      </c>
      <c r="F1566" s="2">
        <v>0</v>
      </c>
      <c r="G1566" s="2">
        <v>1147.0300000000007</v>
      </c>
    </row>
    <row r="1567" spans="1:7" hidden="1" x14ac:dyDescent="0.3">
      <c r="A1567" t="s">
        <v>379</v>
      </c>
      <c r="B1567" t="s">
        <v>352</v>
      </c>
      <c r="C1567" t="s">
        <v>2</v>
      </c>
      <c r="D1567" s="1">
        <v>45961</v>
      </c>
      <c r="E1567">
        <v>0</v>
      </c>
      <c r="F1567" s="2">
        <v>0</v>
      </c>
      <c r="G1567" s="2">
        <v>1147.0300000000007</v>
      </c>
    </row>
    <row r="1568" spans="1:7" hidden="1" x14ac:dyDescent="0.3">
      <c r="A1568" t="s">
        <v>379</v>
      </c>
      <c r="B1568" t="s">
        <v>352</v>
      </c>
      <c r="C1568" t="s">
        <v>2</v>
      </c>
      <c r="D1568" s="1">
        <v>45991</v>
      </c>
      <c r="E1568">
        <v>0</v>
      </c>
      <c r="F1568" s="2">
        <v>0</v>
      </c>
      <c r="G1568" s="2">
        <v>1147.0300000000007</v>
      </c>
    </row>
    <row r="1569" spans="1:7" hidden="1" x14ac:dyDescent="0.3">
      <c r="A1569" t="s">
        <v>379</v>
      </c>
      <c r="B1569" t="s">
        <v>352</v>
      </c>
      <c r="C1569" t="s">
        <v>2</v>
      </c>
      <c r="D1569" s="1">
        <v>46022</v>
      </c>
      <c r="E1569">
        <v>0</v>
      </c>
      <c r="F1569" s="2">
        <v>0</v>
      </c>
      <c r="G1569" s="2">
        <v>1147.0300000000007</v>
      </c>
    </row>
    <row r="1570" spans="1:7" hidden="1" x14ac:dyDescent="0.3">
      <c r="A1570" t="s">
        <v>67</v>
      </c>
      <c r="B1570" t="s">
        <v>68</v>
      </c>
      <c r="C1570" t="s">
        <v>2</v>
      </c>
      <c r="D1570" s="1">
        <v>45777</v>
      </c>
      <c r="E1570">
        <v>0</v>
      </c>
      <c r="F1570" s="2">
        <v>0</v>
      </c>
      <c r="G1570" s="2">
        <v>0</v>
      </c>
    </row>
    <row r="1571" spans="1:7" hidden="1" x14ac:dyDescent="0.3">
      <c r="A1571" t="s">
        <v>67</v>
      </c>
      <c r="B1571" t="s">
        <v>68</v>
      </c>
      <c r="C1571" t="s">
        <v>2</v>
      </c>
      <c r="D1571" s="1">
        <v>45838</v>
      </c>
      <c r="E1571">
        <v>0</v>
      </c>
      <c r="F1571" s="2">
        <v>0</v>
      </c>
      <c r="G1571" s="2">
        <v>0</v>
      </c>
    </row>
    <row r="1572" spans="1:7" hidden="1" x14ac:dyDescent="0.3">
      <c r="A1572" t="s">
        <v>67</v>
      </c>
      <c r="B1572" t="s">
        <v>68</v>
      </c>
      <c r="C1572" t="s">
        <v>2</v>
      </c>
      <c r="D1572" s="1">
        <v>45869</v>
      </c>
      <c r="E1572">
        <v>0</v>
      </c>
      <c r="F1572" s="2">
        <v>0</v>
      </c>
      <c r="G1572" s="2">
        <v>0</v>
      </c>
    </row>
    <row r="1573" spans="1:7" hidden="1" x14ac:dyDescent="0.3">
      <c r="A1573" t="s">
        <v>67</v>
      </c>
      <c r="B1573" t="s">
        <v>68</v>
      </c>
      <c r="C1573" t="s">
        <v>2</v>
      </c>
      <c r="D1573" s="1">
        <v>45900</v>
      </c>
      <c r="E1573">
        <v>0</v>
      </c>
      <c r="F1573" s="2">
        <v>0</v>
      </c>
      <c r="G1573" s="2">
        <v>0</v>
      </c>
    </row>
    <row r="1574" spans="1:7" hidden="1" x14ac:dyDescent="0.3">
      <c r="A1574" t="s">
        <v>67</v>
      </c>
      <c r="B1574" t="s">
        <v>68</v>
      </c>
      <c r="C1574" t="s">
        <v>2</v>
      </c>
      <c r="D1574" s="1">
        <v>45930</v>
      </c>
      <c r="E1574">
        <v>0</v>
      </c>
      <c r="F1574" s="2">
        <v>0</v>
      </c>
      <c r="G1574" s="2">
        <v>0</v>
      </c>
    </row>
    <row r="1575" spans="1:7" hidden="1" x14ac:dyDescent="0.3">
      <c r="A1575" t="s">
        <v>67</v>
      </c>
      <c r="B1575" t="s">
        <v>68</v>
      </c>
      <c r="C1575" t="s">
        <v>2</v>
      </c>
      <c r="D1575" s="1">
        <v>45961</v>
      </c>
      <c r="E1575">
        <v>0</v>
      </c>
      <c r="F1575" s="2">
        <v>0</v>
      </c>
      <c r="G1575" s="2">
        <v>0</v>
      </c>
    </row>
    <row r="1576" spans="1:7" hidden="1" x14ac:dyDescent="0.3">
      <c r="A1576" t="s">
        <v>67</v>
      </c>
      <c r="B1576" t="s">
        <v>68</v>
      </c>
      <c r="C1576" t="s">
        <v>2</v>
      </c>
      <c r="D1576" s="1">
        <v>45991</v>
      </c>
      <c r="E1576">
        <v>0</v>
      </c>
      <c r="F1576" s="2">
        <v>0</v>
      </c>
      <c r="G1576" s="2">
        <v>0</v>
      </c>
    </row>
    <row r="1577" spans="1:7" hidden="1" x14ac:dyDescent="0.3">
      <c r="A1577" t="s">
        <v>67</v>
      </c>
      <c r="B1577" t="s">
        <v>68</v>
      </c>
      <c r="C1577" t="s">
        <v>2</v>
      </c>
      <c r="D1577" s="1">
        <v>46022</v>
      </c>
      <c r="E1577">
        <v>0</v>
      </c>
      <c r="F1577" s="2">
        <v>0</v>
      </c>
      <c r="G1577" s="2">
        <v>0</v>
      </c>
    </row>
    <row r="1578" spans="1:7" hidden="1" x14ac:dyDescent="0.3">
      <c r="A1578" t="s">
        <v>259</v>
      </c>
      <c r="B1578" t="s">
        <v>260</v>
      </c>
      <c r="C1578" t="s">
        <v>2</v>
      </c>
      <c r="D1578" s="1">
        <v>45869</v>
      </c>
      <c r="E1578">
        <v>0</v>
      </c>
      <c r="F1578" s="2">
        <v>0</v>
      </c>
      <c r="G1578" s="2">
        <v>1924.37</v>
      </c>
    </row>
    <row r="1579" spans="1:7" hidden="1" x14ac:dyDescent="0.3">
      <c r="A1579" t="s">
        <v>259</v>
      </c>
      <c r="B1579" t="s">
        <v>260</v>
      </c>
      <c r="C1579" t="s">
        <v>2</v>
      </c>
      <c r="D1579" s="1">
        <v>45900</v>
      </c>
      <c r="E1579">
        <v>0</v>
      </c>
      <c r="F1579" s="2">
        <v>0</v>
      </c>
      <c r="G1579" s="2">
        <v>1924.37</v>
      </c>
    </row>
    <row r="1580" spans="1:7" hidden="1" x14ac:dyDescent="0.3">
      <c r="A1580" t="s">
        <v>259</v>
      </c>
      <c r="B1580" t="s">
        <v>260</v>
      </c>
      <c r="C1580" t="s">
        <v>2</v>
      </c>
      <c r="D1580" s="1">
        <v>45930</v>
      </c>
      <c r="E1580">
        <v>0</v>
      </c>
      <c r="F1580" s="2">
        <v>0</v>
      </c>
      <c r="G1580" s="2">
        <v>1924.37</v>
      </c>
    </row>
    <row r="1581" spans="1:7" hidden="1" x14ac:dyDescent="0.3">
      <c r="A1581" t="s">
        <v>259</v>
      </c>
      <c r="B1581" t="s">
        <v>260</v>
      </c>
      <c r="C1581" t="s">
        <v>2</v>
      </c>
      <c r="D1581" s="1">
        <v>45961</v>
      </c>
      <c r="E1581">
        <v>0</v>
      </c>
      <c r="F1581" s="2">
        <v>0</v>
      </c>
      <c r="G1581" s="2">
        <v>1924.37</v>
      </c>
    </row>
    <row r="1582" spans="1:7" hidden="1" x14ac:dyDescent="0.3">
      <c r="A1582" t="s">
        <v>259</v>
      </c>
      <c r="B1582" t="s">
        <v>260</v>
      </c>
      <c r="C1582" t="s">
        <v>2</v>
      </c>
      <c r="D1582" s="1">
        <v>45991</v>
      </c>
      <c r="E1582">
        <v>0</v>
      </c>
      <c r="F1582" s="2">
        <v>0</v>
      </c>
      <c r="G1582" s="2">
        <v>1924.37</v>
      </c>
    </row>
    <row r="1583" spans="1:7" hidden="1" x14ac:dyDescent="0.3">
      <c r="A1583" t="s">
        <v>259</v>
      </c>
      <c r="B1583" t="s">
        <v>260</v>
      </c>
      <c r="C1583" t="s">
        <v>2</v>
      </c>
      <c r="D1583" s="1">
        <v>46022</v>
      </c>
      <c r="E1583">
        <v>0</v>
      </c>
      <c r="F1583" s="2">
        <v>0</v>
      </c>
      <c r="G1583" s="2">
        <v>1924.37</v>
      </c>
    </row>
    <row r="1584" spans="1:7" hidden="1" x14ac:dyDescent="0.3">
      <c r="A1584" t="s">
        <v>119</v>
      </c>
      <c r="B1584" t="s">
        <v>120</v>
      </c>
      <c r="C1584" t="s">
        <v>2</v>
      </c>
      <c r="D1584" s="1">
        <v>45869</v>
      </c>
      <c r="E1584">
        <v>0</v>
      </c>
      <c r="F1584" s="2">
        <v>0</v>
      </c>
      <c r="G1584" s="2">
        <v>2134.5200000000041</v>
      </c>
    </row>
    <row r="1585" spans="1:7" hidden="1" x14ac:dyDescent="0.3">
      <c r="A1585" t="s">
        <v>119</v>
      </c>
      <c r="B1585" t="s">
        <v>120</v>
      </c>
      <c r="C1585" t="s">
        <v>2</v>
      </c>
      <c r="D1585" s="1">
        <v>45900</v>
      </c>
      <c r="E1585">
        <v>0</v>
      </c>
      <c r="F1585" s="2">
        <v>0</v>
      </c>
      <c r="G1585" s="2">
        <v>2134.5200000000041</v>
      </c>
    </row>
    <row r="1586" spans="1:7" hidden="1" x14ac:dyDescent="0.3">
      <c r="A1586" t="s">
        <v>119</v>
      </c>
      <c r="B1586" t="s">
        <v>120</v>
      </c>
      <c r="C1586" t="s">
        <v>2</v>
      </c>
      <c r="D1586" s="1">
        <v>45930</v>
      </c>
      <c r="E1586">
        <v>0</v>
      </c>
      <c r="F1586" s="2">
        <v>0</v>
      </c>
      <c r="G1586" s="2">
        <v>2134.5200000000041</v>
      </c>
    </row>
    <row r="1587" spans="1:7" hidden="1" x14ac:dyDescent="0.3">
      <c r="A1587" t="s">
        <v>119</v>
      </c>
      <c r="B1587" t="s">
        <v>120</v>
      </c>
      <c r="C1587" t="s">
        <v>2</v>
      </c>
      <c r="D1587" s="1">
        <v>45961</v>
      </c>
      <c r="E1587">
        <v>0</v>
      </c>
      <c r="F1587" s="2">
        <v>0</v>
      </c>
      <c r="G1587" s="2">
        <v>2134.5200000000041</v>
      </c>
    </row>
    <row r="1588" spans="1:7" hidden="1" x14ac:dyDescent="0.3">
      <c r="A1588" t="s">
        <v>119</v>
      </c>
      <c r="B1588" t="s">
        <v>120</v>
      </c>
      <c r="C1588" t="s">
        <v>2</v>
      </c>
      <c r="D1588" s="1">
        <v>45991</v>
      </c>
      <c r="E1588">
        <v>0</v>
      </c>
      <c r="F1588" s="2">
        <v>0</v>
      </c>
      <c r="G1588" s="2">
        <v>2134.5200000000041</v>
      </c>
    </row>
    <row r="1589" spans="1:7" hidden="1" x14ac:dyDescent="0.3">
      <c r="A1589" t="s">
        <v>119</v>
      </c>
      <c r="B1589" t="s">
        <v>120</v>
      </c>
      <c r="C1589" t="s">
        <v>2</v>
      </c>
      <c r="D1589" s="1">
        <v>46022</v>
      </c>
      <c r="E1589">
        <v>0</v>
      </c>
      <c r="F1589" s="2">
        <v>0</v>
      </c>
      <c r="G1589" s="2">
        <v>2134.5200000000041</v>
      </c>
    </row>
    <row r="1590" spans="1:7" hidden="1" x14ac:dyDescent="0.3">
      <c r="A1590" t="s">
        <v>233</v>
      </c>
      <c r="B1590" t="s">
        <v>234</v>
      </c>
      <c r="C1590" t="s">
        <v>2</v>
      </c>
      <c r="D1590" s="1">
        <v>45838</v>
      </c>
      <c r="E1590">
        <v>0</v>
      </c>
      <c r="F1590" s="2">
        <v>0</v>
      </c>
      <c r="G1590" s="2">
        <v>0</v>
      </c>
    </row>
    <row r="1591" spans="1:7" hidden="1" x14ac:dyDescent="0.3">
      <c r="A1591" t="s">
        <v>233</v>
      </c>
      <c r="B1591" t="s">
        <v>234</v>
      </c>
      <c r="C1591" t="s">
        <v>2</v>
      </c>
      <c r="D1591" s="1">
        <v>45869</v>
      </c>
      <c r="E1591">
        <v>0</v>
      </c>
      <c r="F1591" s="2">
        <v>0</v>
      </c>
      <c r="G1591" s="2">
        <v>0</v>
      </c>
    </row>
    <row r="1592" spans="1:7" hidden="1" x14ac:dyDescent="0.3">
      <c r="A1592" t="s">
        <v>233</v>
      </c>
      <c r="B1592" t="s">
        <v>234</v>
      </c>
      <c r="C1592" t="s">
        <v>2</v>
      </c>
      <c r="D1592" s="1">
        <v>45900</v>
      </c>
      <c r="E1592">
        <v>0</v>
      </c>
      <c r="F1592" s="2">
        <v>0</v>
      </c>
      <c r="G1592" s="2">
        <v>0</v>
      </c>
    </row>
    <row r="1593" spans="1:7" hidden="1" x14ac:dyDescent="0.3">
      <c r="A1593" t="s">
        <v>233</v>
      </c>
      <c r="B1593" t="s">
        <v>234</v>
      </c>
      <c r="C1593" t="s">
        <v>2</v>
      </c>
      <c r="D1593" s="1">
        <v>45930</v>
      </c>
      <c r="E1593">
        <v>0</v>
      </c>
      <c r="F1593" s="2">
        <v>0</v>
      </c>
      <c r="G1593" s="2">
        <v>0</v>
      </c>
    </row>
    <row r="1594" spans="1:7" hidden="1" x14ac:dyDescent="0.3">
      <c r="A1594" t="s">
        <v>233</v>
      </c>
      <c r="B1594" t="s">
        <v>234</v>
      </c>
      <c r="C1594" t="s">
        <v>2</v>
      </c>
      <c r="D1594" s="1">
        <v>45961</v>
      </c>
      <c r="E1594">
        <v>0</v>
      </c>
      <c r="F1594" s="2">
        <v>0</v>
      </c>
      <c r="G1594" s="2">
        <v>0</v>
      </c>
    </row>
    <row r="1595" spans="1:7" hidden="1" x14ac:dyDescent="0.3">
      <c r="A1595" t="s">
        <v>233</v>
      </c>
      <c r="B1595" t="s">
        <v>234</v>
      </c>
      <c r="C1595" t="s">
        <v>2</v>
      </c>
      <c r="D1595" s="1">
        <v>45991</v>
      </c>
      <c r="E1595">
        <v>0</v>
      </c>
      <c r="F1595" s="2">
        <v>0</v>
      </c>
      <c r="G1595" s="2">
        <v>0</v>
      </c>
    </row>
    <row r="1596" spans="1:7" hidden="1" x14ac:dyDescent="0.3">
      <c r="A1596" t="s">
        <v>233</v>
      </c>
      <c r="B1596" t="s">
        <v>234</v>
      </c>
      <c r="C1596" t="s">
        <v>2</v>
      </c>
      <c r="D1596" s="1">
        <v>46022</v>
      </c>
      <c r="E1596">
        <v>0</v>
      </c>
      <c r="F1596" s="2">
        <v>0</v>
      </c>
      <c r="G1596" s="2">
        <v>0</v>
      </c>
    </row>
    <row r="1597" spans="1:7" hidden="1" x14ac:dyDescent="0.3">
      <c r="A1597" t="s">
        <v>127</v>
      </c>
      <c r="B1597" t="s">
        <v>128</v>
      </c>
      <c r="C1597" t="s">
        <v>2</v>
      </c>
      <c r="D1597" s="1">
        <v>45869</v>
      </c>
      <c r="E1597">
        <v>0</v>
      </c>
      <c r="F1597" s="2">
        <v>0</v>
      </c>
      <c r="G1597" s="2">
        <v>2464.16</v>
      </c>
    </row>
    <row r="1598" spans="1:7" hidden="1" x14ac:dyDescent="0.3">
      <c r="A1598" t="s">
        <v>127</v>
      </c>
      <c r="B1598" t="s">
        <v>128</v>
      </c>
      <c r="C1598" t="s">
        <v>2</v>
      </c>
      <c r="D1598" s="1">
        <v>45900</v>
      </c>
      <c r="E1598">
        <v>0</v>
      </c>
      <c r="F1598" s="2">
        <v>0</v>
      </c>
      <c r="G1598" s="2">
        <v>2464.16</v>
      </c>
    </row>
    <row r="1599" spans="1:7" hidden="1" x14ac:dyDescent="0.3">
      <c r="A1599" t="s">
        <v>127</v>
      </c>
      <c r="B1599" t="s">
        <v>128</v>
      </c>
      <c r="C1599" t="s">
        <v>2</v>
      </c>
      <c r="D1599" s="1">
        <v>45930</v>
      </c>
      <c r="E1599">
        <v>0</v>
      </c>
      <c r="F1599" s="2">
        <v>0</v>
      </c>
      <c r="G1599" s="2">
        <v>2464.16</v>
      </c>
    </row>
    <row r="1600" spans="1:7" hidden="1" x14ac:dyDescent="0.3">
      <c r="A1600" t="s">
        <v>127</v>
      </c>
      <c r="B1600" t="s">
        <v>128</v>
      </c>
      <c r="C1600" t="s">
        <v>2</v>
      </c>
      <c r="D1600" s="1">
        <v>45961</v>
      </c>
      <c r="E1600">
        <v>0</v>
      </c>
      <c r="F1600" s="2">
        <v>0</v>
      </c>
      <c r="G1600" s="2">
        <v>2464.16</v>
      </c>
    </row>
    <row r="1601" spans="1:7" hidden="1" x14ac:dyDescent="0.3">
      <c r="A1601" t="s">
        <v>127</v>
      </c>
      <c r="B1601" t="s">
        <v>128</v>
      </c>
      <c r="C1601" t="s">
        <v>2</v>
      </c>
      <c r="D1601" s="1">
        <v>45991</v>
      </c>
      <c r="E1601">
        <v>0</v>
      </c>
      <c r="F1601" s="2">
        <v>0</v>
      </c>
      <c r="G1601" s="2">
        <v>2464.16</v>
      </c>
    </row>
    <row r="1602" spans="1:7" hidden="1" x14ac:dyDescent="0.3">
      <c r="A1602" t="s">
        <v>127</v>
      </c>
      <c r="B1602" t="s">
        <v>128</v>
      </c>
      <c r="C1602" t="s">
        <v>2</v>
      </c>
      <c r="D1602" s="1">
        <v>46022</v>
      </c>
      <c r="E1602">
        <v>0</v>
      </c>
      <c r="F1602" s="2">
        <v>0</v>
      </c>
      <c r="G1602" s="2">
        <v>2464.16</v>
      </c>
    </row>
    <row r="1603" spans="1:7" hidden="1" x14ac:dyDescent="0.3">
      <c r="A1603" t="s">
        <v>392</v>
      </c>
      <c r="B1603" t="s">
        <v>393</v>
      </c>
      <c r="C1603" t="s">
        <v>2</v>
      </c>
      <c r="D1603" s="1">
        <v>45688</v>
      </c>
      <c r="E1603">
        <v>0</v>
      </c>
      <c r="F1603" s="2">
        <v>0</v>
      </c>
      <c r="G1603" s="2">
        <v>0</v>
      </c>
    </row>
    <row r="1604" spans="1:7" hidden="1" x14ac:dyDescent="0.3">
      <c r="A1604" t="s">
        <v>392</v>
      </c>
      <c r="B1604" t="s">
        <v>393</v>
      </c>
      <c r="C1604" t="s">
        <v>2</v>
      </c>
      <c r="D1604" s="1">
        <v>45716</v>
      </c>
      <c r="E1604">
        <v>0</v>
      </c>
      <c r="F1604" s="2">
        <v>0</v>
      </c>
      <c r="G1604" s="2">
        <v>0</v>
      </c>
    </row>
    <row r="1605" spans="1:7" hidden="1" x14ac:dyDescent="0.3">
      <c r="A1605" t="s">
        <v>392</v>
      </c>
      <c r="B1605" t="s">
        <v>393</v>
      </c>
      <c r="C1605" t="s">
        <v>2</v>
      </c>
      <c r="D1605" s="1">
        <v>45869</v>
      </c>
      <c r="E1605">
        <v>0</v>
      </c>
      <c r="F1605" s="2">
        <v>0</v>
      </c>
      <c r="G1605" s="2">
        <v>907.00999999999976</v>
      </c>
    </row>
    <row r="1606" spans="1:7" hidden="1" x14ac:dyDescent="0.3">
      <c r="A1606" t="s">
        <v>392</v>
      </c>
      <c r="B1606" t="s">
        <v>393</v>
      </c>
      <c r="C1606" t="s">
        <v>2</v>
      </c>
      <c r="D1606" s="1">
        <v>45900</v>
      </c>
      <c r="E1606">
        <v>0</v>
      </c>
      <c r="F1606" s="2">
        <v>0</v>
      </c>
      <c r="G1606" s="2">
        <v>907.00999999999976</v>
      </c>
    </row>
    <row r="1607" spans="1:7" hidden="1" x14ac:dyDescent="0.3">
      <c r="A1607" t="s">
        <v>392</v>
      </c>
      <c r="B1607" t="s">
        <v>393</v>
      </c>
      <c r="C1607" t="s">
        <v>2</v>
      </c>
      <c r="D1607" s="1">
        <v>45930</v>
      </c>
      <c r="E1607">
        <v>0</v>
      </c>
      <c r="F1607" s="2">
        <v>0</v>
      </c>
      <c r="G1607" s="2">
        <v>907.00999999999976</v>
      </c>
    </row>
    <row r="1608" spans="1:7" hidden="1" x14ac:dyDescent="0.3">
      <c r="A1608" t="s">
        <v>392</v>
      </c>
      <c r="B1608" t="s">
        <v>393</v>
      </c>
      <c r="C1608" t="s">
        <v>2</v>
      </c>
      <c r="D1608" s="1">
        <v>45961</v>
      </c>
      <c r="E1608">
        <v>0</v>
      </c>
      <c r="F1608" s="2">
        <v>0</v>
      </c>
      <c r="G1608" s="2">
        <v>907.00999999999976</v>
      </c>
    </row>
    <row r="1609" spans="1:7" hidden="1" x14ac:dyDescent="0.3">
      <c r="A1609" t="s">
        <v>392</v>
      </c>
      <c r="B1609" t="s">
        <v>393</v>
      </c>
      <c r="C1609" t="s">
        <v>2</v>
      </c>
      <c r="D1609" s="1">
        <v>45991</v>
      </c>
      <c r="E1609">
        <v>0</v>
      </c>
      <c r="F1609" s="2">
        <v>0</v>
      </c>
      <c r="G1609" s="2">
        <v>907.00999999999976</v>
      </c>
    </row>
    <row r="1610" spans="1:7" hidden="1" x14ac:dyDescent="0.3">
      <c r="A1610" t="s">
        <v>392</v>
      </c>
      <c r="B1610" t="s">
        <v>393</v>
      </c>
      <c r="C1610" t="s">
        <v>2</v>
      </c>
      <c r="D1610" s="1">
        <v>46022</v>
      </c>
      <c r="E1610">
        <v>0</v>
      </c>
      <c r="F1610" s="2">
        <v>0</v>
      </c>
      <c r="G1610" s="2">
        <v>907.00999999999976</v>
      </c>
    </row>
    <row r="1611" spans="1:7" hidden="1" x14ac:dyDescent="0.3">
      <c r="A1611" t="s">
        <v>321</v>
      </c>
      <c r="B1611" t="s">
        <v>322</v>
      </c>
      <c r="C1611" t="s">
        <v>2</v>
      </c>
      <c r="D1611" s="1">
        <v>45869</v>
      </c>
      <c r="E1611">
        <v>0</v>
      </c>
      <c r="F1611" s="2">
        <v>0</v>
      </c>
      <c r="G1611" s="2">
        <v>2625.09</v>
      </c>
    </row>
    <row r="1612" spans="1:7" hidden="1" x14ac:dyDescent="0.3">
      <c r="A1612" t="s">
        <v>321</v>
      </c>
      <c r="B1612" t="s">
        <v>322</v>
      </c>
      <c r="C1612" t="s">
        <v>2</v>
      </c>
      <c r="D1612" s="1">
        <v>45900</v>
      </c>
      <c r="E1612">
        <v>0</v>
      </c>
      <c r="F1612" s="2">
        <v>0</v>
      </c>
      <c r="G1612" s="2">
        <v>2625.09</v>
      </c>
    </row>
    <row r="1613" spans="1:7" hidden="1" x14ac:dyDescent="0.3">
      <c r="A1613" t="s">
        <v>321</v>
      </c>
      <c r="B1613" t="s">
        <v>322</v>
      </c>
      <c r="C1613" t="s">
        <v>2</v>
      </c>
      <c r="D1613" s="1">
        <v>45930</v>
      </c>
      <c r="E1613">
        <v>0</v>
      </c>
      <c r="F1613" s="2">
        <v>0</v>
      </c>
      <c r="G1613" s="2">
        <v>2625.09</v>
      </c>
    </row>
    <row r="1614" spans="1:7" hidden="1" x14ac:dyDescent="0.3">
      <c r="A1614" t="s">
        <v>321</v>
      </c>
      <c r="B1614" t="s">
        <v>322</v>
      </c>
      <c r="C1614" t="s">
        <v>2</v>
      </c>
      <c r="D1614" s="1">
        <v>45961</v>
      </c>
      <c r="E1614">
        <v>0</v>
      </c>
      <c r="F1614" s="2">
        <v>0</v>
      </c>
      <c r="G1614" s="2">
        <v>2625.09</v>
      </c>
    </row>
    <row r="1615" spans="1:7" hidden="1" x14ac:dyDescent="0.3">
      <c r="A1615" t="s">
        <v>321</v>
      </c>
      <c r="B1615" t="s">
        <v>322</v>
      </c>
      <c r="C1615" t="s">
        <v>2</v>
      </c>
      <c r="D1615" s="1">
        <v>45991</v>
      </c>
      <c r="E1615">
        <v>0</v>
      </c>
      <c r="F1615" s="2">
        <v>0</v>
      </c>
      <c r="G1615" s="2">
        <v>2625.09</v>
      </c>
    </row>
    <row r="1616" spans="1:7" hidden="1" x14ac:dyDescent="0.3">
      <c r="A1616" t="s">
        <v>321</v>
      </c>
      <c r="B1616" t="s">
        <v>322</v>
      </c>
      <c r="C1616" t="s">
        <v>2</v>
      </c>
      <c r="D1616" s="1">
        <v>46022</v>
      </c>
      <c r="E1616">
        <v>0</v>
      </c>
      <c r="F1616" s="2">
        <v>0</v>
      </c>
      <c r="G1616" s="2">
        <v>2625.09</v>
      </c>
    </row>
    <row r="1617" spans="1:7" hidden="1" x14ac:dyDescent="0.3">
      <c r="A1617" t="s">
        <v>137</v>
      </c>
      <c r="B1617" t="s">
        <v>138</v>
      </c>
      <c r="C1617" t="s">
        <v>2</v>
      </c>
      <c r="D1617" s="1">
        <v>45869</v>
      </c>
      <c r="E1617">
        <v>0</v>
      </c>
      <c r="F1617" s="2">
        <v>0</v>
      </c>
      <c r="G1617" s="2">
        <v>2213.9400000000005</v>
      </c>
    </row>
    <row r="1618" spans="1:7" hidden="1" x14ac:dyDescent="0.3">
      <c r="A1618" t="s">
        <v>137</v>
      </c>
      <c r="B1618" t="s">
        <v>138</v>
      </c>
      <c r="C1618" t="s">
        <v>2</v>
      </c>
      <c r="D1618" s="1">
        <v>45900</v>
      </c>
      <c r="E1618">
        <v>0</v>
      </c>
      <c r="F1618" s="2">
        <v>0</v>
      </c>
      <c r="G1618" s="2">
        <v>2213.9400000000005</v>
      </c>
    </row>
    <row r="1619" spans="1:7" hidden="1" x14ac:dyDescent="0.3">
      <c r="A1619" t="s">
        <v>137</v>
      </c>
      <c r="B1619" t="s">
        <v>138</v>
      </c>
      <c r="C1619" t="s">
        <v>2</v>
      </c>
      <c r="D1619" s="1">
        <v>45930</v>
      </c>
      <c r="E1619">
        <v>0</v>
      </c>
      <c r="F1619" s="2">
        <v>0</v>
      </c>
      <c r="G1619" s="2">
        <v>2213.9400000000005</v>
      </c>
    </row>
    <row r="1620" spans="1:7" hidden="1" x14ac:dyDescent="0.3">
      <c r="A1620" t="s">
        <v>137</v>
      </c>
      <c r="B1620" t="s">
        <v>138</v>
      </c>
      <c r="C1620" t="s">
        <v>2</v>
      </c>
      <c r="D1620" s="1">
        <v>45961</v>
      </c>
      <c r="E1620">
        <v>0</v>
      </c>
      <c r="F1620" s="2">
        <v>0</v>
      </c>
      <c r="G1620" s="2">
        <v>2213.9400000000005</v>
      </c>
    </row>
    <row r="1621" spans="1:7" hidden="1" x14ac:dyDescent="0.3">
      <c r="A1621" t="s">
        <v>137</v>
      </c>
      <c r="B1621" t="s">
        <v>138</v>
      </c>
      <c r="C1621" t="s">
        <v>2</v>
      </c>
      <c r="D1621" s="1">
        <v>45991</v>
      </c>
      <c r="E1621">
        <v>0</v>
      </c>
      <c r="F1621" s="2">
        <v>0</v>
      </c>
      <c r="G1621" s="2">
        <v>2213.9400000000005</v>
      </c>
    </row>
    <row r="1622" spans="1:7" hidden="1" x14ac:dyDescent="0.3">
      <c r="A1622" t="s">
        <v>137</v>
      </c>
      <c r="B1622" t="s">
        <v>138</v>
      </c>
      <c r="C1622" t="s">
        <v>2</v>
      </c>
      <c r="D1622" s="1">
        <v>46022</v>
      </c>
      <c r="E1622">
        <v>0</v>
      </c>
      <c r="F1622" s="2">
        <v>0</v>
      </c>
      <c r="G1622" s="2">
        <v>2213.9400000000005</v>
      </c>
    </row>
    <row r="1623" spans="1:7" hidden="1" x14ac:dyDescent="0.3">
      <c r="A1623" t="s">
        <v>31</v>
      </c>
      <c r="B1623" t="s">
        <v>32</v>
      </c>
      <c r="C1623" t="s">
        <v>2</v>
      </c>
      <c r="D1623" s="1">
        <v>45838</v>
      </c>
      <c r="E1623">
        <v>0</v>
      </c>
      <c r="F1623" s="2">
        <v>0</v>
      </c>
      <c r="G1623" s="2">
        <v>0</v>
      </c>
    </row>
    <row r="1624" spans="1:7" hidden="1" x14ac:dyDescent="0.3">
      <c r="A1624" t="s">
        <v>31</v>
      </c>
      <c r="B1624" t="s">
        <v>32</v>
      </c>
      <c r="C1624" t="s">
        <v>2</v>
      </c>
      <c r="D1624" s="1">
        <v>45869</v>
      </c>
      <c r="E1624">
        <v>0</v>
      </c>
      <c r="F1624" s="2">
        <v>0</v>
      </c>
      <c r="G1624" s="2">
        <v>0</v>
      </c>
    </row>
    <row r="1625" spans="1:7" hidden="1" x14ac:dyDescent="0.3">
      <c r="A1625" t="s">
        <v>31</v>
      </c>
      <c r="B1625" t="s">
        <v>32</v>
      </c>
      <c r="C1625" t="s">
        <v>2</v>
      </c>
      <c r="D1625" s="1">
        <v>45900</v>
      </c>
      <c r="E1625">
        <v>0</v>
      </c>
      <c r="F1625" s="2">
        <v>0</v>
      </c>
      <c r="G1625" s="2">
        <v>0</v>
      </c>
    </row>
    <row r="1626" spans="1:7" hidden="1" x14ac:dyDescent="0.3">
      <c r="A1626" t="s">
        <v>31</v>
      </c>
      <c r="B1626" t="s">
        <v>32</v>
      </c>
      <c r="C1626" t="s">
        <v>2</v>
      </c>
      <c r="D1626" s="1">
        <v>45930</v>
      </c>
      <c r="E1626">
        <v>0</v>
      </c>
      <c r="F1626" s="2">
        <v>0</v>
      </c>
      <c r="G1626" s="2">
        <v>0</v>
      </c>
    </row>
    <row r="1627" spans="1:7" hidden="1" x14ac:dyDescent="0.3">
      <c r="A1627" t="s">
        <v>31</v>
      </c>
      <c r="B1627" t="s">
        <v>32</v>
      </c>
      <c r="C1627" t="s">
        <v>2</v>
      </c>
      <c r="D1627" s="1">
        <v>45961</v>
      </c>
      <c r="E1627">
        <v>0</v>
      </c>
      <c r="F1627" s="2">
        <v>0</v>
      </c>
      <c r="G1627" s="2">
        <v>0</v>
      </c>
    </row>
    <row r="1628" spans="1:7" hidden="1" x14ac:dyDescent="0.3">
      <c r="A1628" t="s">
        <v>31</v>
      </c>
      <c r="B1628" t="s">
        <v>32</v>
      </c>
      <c r="C1628" t="s">
        <v>2</v>
      </c>
      <c r="D1628" s="1">
        <v>45991</v>
      </c>
      <c r="E1628">
        <v>0</v>
      </c>
      <c r="F1628" s="2">
        <v>0</v>
      </c>
      <c r="G1628" s="2">
        <v>0</v>
      </c>
    </row>
    <row r="1629" spans="1:7" hidden="1" x14ac:dyDescent="0.3">
      <c r="A1629" t="s">
        <v>31</v>
      </c>
      <c r="B1629" t="s">
        <v>32</v>
      </c>
      <c r="C1629" t="s">
        <v>2</v>
      </c>
      <c r="D1629" s="1">
        <v>46022</v>
      </c>
      <c r="E1629">
        <v>0</v>
      </c>
      <c r="F1629" s="2">
        <v>0</v>
      </c>
      <c r="G1629" s="2">
        <v>0</v>
      </c>
    </row>
    <row r="1630" spans="1:7" hidden="1" x14ac:dyDescent="0.3">
      <c r="A1630" t="s">
        <v>271</v>
      </c>
      <c r="B1630" t="s">
        <v>272</v>
      </c>
      <c r="C1630" t="s">
        <v>2</v>
      </c>
      <c r="D1630" s="1">
        <v>45869</v>
      </c>
      <c r="E1630">
        <v>0</v>
      </c>
      <c r="F1630" s="2">
        <v>0</v>
      </c>
      <c r="G1630" s="2">
        <v>1333.6000000000004</v>
      </c>
    </row>
    <row r="1631" spans="1:7" hidden="1" x14ac:dyDescent="0.3">
      <c r="A1631" t="s">
        <v>271</v>
      </c>
      <c r="B1631" t="s">
        <v>272</v>
      </c>
      <c r="C1631" t="s">
        <v>2</v>
      </c>
      <c r="D1631" s="1">
        <v>45900</v>
      </c>
      <c r="E1631">
        <v>0</v>
      </c>
      <c r="F1631" s="2">
        <v>0</v>
      </c>
      <c r="G1631" s="2">
        <v>1333.6000000000004</v>
      </c>
    </row>
    <row r="1632" spans="1:7" hidden="1" x14ac:dyDescent="0.3">
      <c r="A1632" t="s">
        <v>271</v>
      </c>
      <c r="B1632" t="s">
        <v>272</v>
      </c>
      <c r="C1632" t="s">
        <v>2</v>
      </c>
      <c r="D1632" s="1">
        <v>45930</v>
      </c>
      <c r="E1632">
        <v>0</v>
      </c>
      <c r="F1632" s="2">
        <v>0</v>
      </c>
      <c r="G1632" s="2">
        <v>1333.6000000000004</v>
      </c>
    </row>
    <row r="1633" spans="1:7" hidden="1" x14ac:dyDescent="0.3">
      <c r="A1633" t="s">
        <v>271</v>
      </c>
      <c r="B1633" t="s">
        <v>272</v>
      </c>
      <c r="C1633" t="s">
        <v>2</v>
      </c>
      <c r="D1633" s="1">
        <v>45961</v>
      </c>
      <c r="E1633">
        <v>0</v>
      </c>
      <c r="F1633" s="2">
        <v>0</v>
      </c>
      <c r="G1633" s="2">
        <v>1333.6000000000004</v>
      </c>
    </row>
    <row r="1634" spans="1:7" hidden="1" x14ac:dyDescent="0.3">
      <c r="A1634" t="s">
        <v>271</v>
      </c>
      <c r="B1634" t="s">
        <v>272</v>
      </c>
      <c r="C1634" t="s">
        <v>2</v>
      </c>
      <c r="D1634" s="1">
        <v>45991</v>
      </c>
      <c r="E1634">
        <v>0</v>
      </c>
      <c r="F1634" s="2">
        <v>0</v>
      </c>
      <c r="G1634" s="2">
        <v>1333.6000000000004</v>
      </c>
    </row>
    <row r="1635" spans="1:7" hidden="1" x14ac:dyDescent="0.3">
      <c r="A1635" t="s">
        <v>271</v>
      </c>
      <c r="B1635" t="s">
        <v>272</v>
      </c>
      <c r="C1635" t="s">
        <v>2</v>
      </c>
      <c r="D1635" s="1">
        <v>46022</v>
      </c>
      <c r="E1635">
        <v>0</v>
      </c>
      <c r="F1635" s="2">
        <v>0</v>
      </c>
      <c r="G1635" s="2">
        <v>1333.6000000000004</v>
      </c>
    </row>
    <row r="1636" spans="1:7" hidden="1" x14ac:dyDescent="0.3">
      <c r="A1636" t="s">
        <v>153</v>
      </c>
      <c r="B1636" t="s">
        <v>154</v>
      </c>
      <c r="C1636" t="s">
        <v>2</v>
      </c>
      <c r="D1636" s="1">
        <v>45869</v>
      </c>
      <c r="E1636">
        <v>0</v>
      </c>
      <c r="F1636" s="2">
        <v>0</v>
      </c>
      <c r="G1636" s="2">
        <v>1975.7600000000002</v>
      </c>
    </row>
    <row r="1637" spans="1:7" hidden="1" x14ac:dyDescent="0.3">
      <c r="A1637" t="s">
        <v>153</v>
      </c>
      <c r="B1637" t="s">
        <v>154</v>
      </c>
      <c r="C1637" t="s">
        <v>2</v>
      </c>
      <c r="D1637" s="1">
        <v>45900</v>
      </c>
      <c r="E1637">
        <v>0</v>
      </c>
      <c r="F1637" s="2">
        <v>0</v>
      </c>
      <c r="G1637" s="2">
        <v>1975.7600000000002</v>
      </c>
    </row>
    <row r="1638" spans="1:7" hidden="1" x14ac:dyDescent="0.3">
      <c r="A1638" t="s">
        <v>153</v>
      </c>
      <c r="B1638" t="s">
        <v>154</v>
      </c>
      <c r="C1638" t="s">
        <v>2</v>
      </c>
      <c r="D1638" s="1">
        <v>45930</v>
      </c>
      <c r="E1638">
        <v>0</v>
      </c>
      <c r="F1638" s="2">
        <v>0</v>
      </c>
      <c r="G1638" s="2">
        <v>1975.7600000000002</v>
      </c>
    </row>
    <row r="1639" spans="1:7" hidden="1" x14ac:dyDescent="0.3">
      <c r="A1639" t="s">
        <v>153</v>
      </c>
      <c r="B1639" t="s">
        <v>154</v>
      </c>
      <c r="C1639" t="s">
        <v>2</v>
      </c>
      <c r="D1639" s="1">
        <v>45961</v>
      </c>
      <c r="E1639">
        <v>0</v>
      </c>
      <c r="F1639" s="2">
        <v>0</v>
      </c>
      <c r="G1639" s="2">
        <v>1975.7600000000002</v>
      </c>
    </row>
    <row r="1640" spans="1:7" hidden="1" x14ac:dyDescent="0.3">
      <c r="A1640" t="s">
        <v>153</v>
      </c>
      <c r="B1640" t="s">
        <v>154</v>
      </c>
      <c r="C1640" t="s">
        <v>2</v>
      </c>
      <c r="D1640" s="1">
        <v>45991</v>
      </c>
      <c r="E1640">
        <v>0</v>
      </c>
      <c r="F1640" s="2">
        <v>0</v>
      </c>
      <c r="G1640" s="2">
        <v>1975.7600000000002</v>
      </c>
    </row>
    <row r="1641" spans="1:7" hidden="1" x14ac:dyDescent="0.3">
      <c r="A1641" t="s">
        <v>153</v>
      </c>
      <c r="B1641" t="s">
        <v>154</v>
      </c>
      <c r="C1641" t="s">
        <v>2</v>
      </c>
      <c r="D1641" s="1">
        <v>46022</v>
      </c>
      <c r="E1641">
        <v>0</v>
      </c>
      <c r="F1641" s="2">
        <v>0</v>
      </c>
      <c r="G1641" s="2">
        <v>1975.7600000000002</v>
      </c>
    </row>
    <row r="1642" spans="1:7" hidden="1" x14ac:dyDescent="0.3">
      <c r="A1642" t="s">
        <v>65</v>
      </c>
      <c r="B1642" t="s">
        <v>66</v>
      </c>
      <c r="C1642" t="s">
        <v>2</v>
      </c>
      <c r="D1642" s="1">
        <v>45869</v>
      </c>
      <c r="E1642">
        <v>0</v>
      </c>
      <c r="F1642" s="2">
        <v>0</v>
      </c>
      <c r="G1642" s="2">
        <v>1724.1100000000015</v>
      </c>
    </row>
    <row r="1643" spans="1:7" hidden="1" x14ac:dyDescent="0.3">
      <c r="A1643" t="s">
        <v>65</v>
      </c>
      <c r="B1643" t="s">
        <v>66</v>
      </c>
      <c r="C1643" t="s">
        <v>2</v>
      </c>
      <c r="D1643" s="1">
        <v>45900</v>
      </c>
      <c r="E1643">
        <v>0</v>
      </c>
      <c r="F1643" s="2">
        <v>0</v>
      </c>
      <c r="G1643" s="2">
        <v>1724.1100000000015</v>
      </c>
    </row>
    <row r="1644" spans="1:7" hidden="1" x14ac:dyDescent="0.3">
      <c r="A1644" t="s">
        <v>65</v>
      </c>
      <c r="B1644" t="s">
        <v>66</v>
      </c>
      <c r="C1644" t="s">
        <v>2</v>
      </c>
      <c r="D1644" s="1">
        <v>45930</v>
      </c>
      <c r="E1644">
        <v>0</v>
      </c>
      <c r="F1644" s="2">
        <v>0</v>
      </c>
      <c r="G1644" s="2">
        <v>1724.1100000000015</v>
      </c>
    </row>
    <row r="1645" spans="1:7" hidden="1" x14ac:dyDescent="0.3">
      <c r="A1645" t="s">
        <v>65</v>
      </c>
      <c r="B1645" t="s">
        <v>66</v>
      </c>
      <c r="C1645" t="s">
        <v>2</v>
      </c>
      <c r="D1645" s="1">
        <v>45961</v>
      </c>
      <c r="E1645">
        <v>0</v>
      </c>
      <c r="F1645" s="2">
        <v>0</v>
      </c>
      <c r="G1645" s="2">
        <v>1724.1100000000015</v>
      </c>
    </row>
    <row r="1646" spans="1:7" hidden="1" x14ac:dyDescent="0.3">
      <c r="A1646" t="s">
        <v>65</v>
      </c>
      <c r="B1646" t="s">
        <v>66</v>
      </c>
      <c r="C1646" t="s">
        <v>2</v>
      </c>
      <c r="D1646" s="1">
        <v>45991</v>
      </c>
      <c r="E1646">
        <v>0</v>
      </c>
      <c r="F1646" s="2">
        <v>0</v>
      </c>
      <c r="G1646" s="2">
        <v>1724.1100000000015</v>
      </c>
    </row>
    <row r="1647" spans="1:7" hidden="1" x14ac:dyDescent="0.3">
      <c r="A1647" t="s">
        <v>65</v>
      </c>
      <c r="B1647" t="s">
        <v>66</v>
      </c>
      <c r="C1647" t="s">
        <v>2</v>
      </c>
      <c r="D1647" s="1">
        <v>46022</v>
      </c>
      <c r="E1647">
        <v>0</v>
      </c>
      <c r="F1647" s="2">
        <v>0</v>
      </c>
      <c r="G1647" s="2">
        <v>1724.1100000000015</v>
      </c>
    </row>
    <row r="1648" spans="1:7" hidden="1" x14ac:dyDescent="0.3">
      <c r="A1648" t="s">
        <v>33</v>
      </c>
      <c r="B1648" t="s">
        <v>34</v>
      </c>
      <c r="C1648" t="s">
        <v>2</v>
      </c>
      <c r="D1648" s="1">
        <v>45869</v>
      </c>
      <c r="E1648">
        <v>0</v>
      </c>
      <c r="F1648" s="2">
        <v>0</v>
      </c>
      <c r="G1648" s="2">
        <v>1031.29</v>
      </c>
    </row>
    <row r="1649" spans="1:7" hidden="1" x14ac:dyDescent="0.3">
      <c r="A1649" t="s">
        <v>33</v>
      </c>
      <c r="B1649" t="s">
        <v>34</v>
      </c>
      <c r="C1649" t="s">
        <v>2</v>
      </c>
      <c r="D1649" s="1">
        <v>45900</v>
      </c>
      <c r="E1649">
        <v>0</v>
      </c>
      <c r="F1649" s="2">
        <v>0</v>
      </c>
      <c r="G1649" s="2">
        <v>1031.29</v>
      </c>
    </row>
    <row r="1650" spans="1:7" hidden="1" x14ac:dyDescent="0.3">
      <c r="A1650" t="s">
        <v>33</v>
      </c>
      <c r="B1650" t="s">
        <v>34</v>
      </c>
      <c r="C1650" t="s">
        <v>2</v>
      </c>
      <c r="D1650" s="1">
        <v>45930</v>
      </c>
      <c r="E1650">
        <v>0</v>
      </c>
      <c r="F1650" s="2">
        <v>0</v>
      </c>
      <c r="G1650" s="2">
        <v>1031.29</v>
      </c>
    </row>
    <row r="1651" spans="1:7" hidden="1" x14ac:dyDescent="0.3">
      <c r="A1651" t="s">
        <v>33</v>
      </c>
      <c r="B1651" t="s">
        <v>34</v>
      </c>
      <c r="C1651" t="s">
        <v>2</v>
      </c>
      <c r="D1651" s="1">
        <v>45961</v>
      </c>
      <c r="E1651">
        <v>0</v>
      </c>
      <c r="F1651" s="2">
        <v>0</v>
      </c>
      <c r="G1651" s="2">
        <v>1031.29</v>
      </c>
    </row>
    <row r="1652" spans="1:7" hidden="1" x14ac:dyDescent="0.3">
      <c r="A1652" t="s">
        <v>33</v>
      </c>
      <c r="B1652" t="s">
        <v>34</v>
      </c>
      <c r="C1652" t="s">
        <v>2</v>
      </c>
      <c r="D1652" s="1">
        <v>45991</v>
      </c>
      <c r="E1652">
        <v>0</v>
      </c>
      <c r="F1652" s="2">
        <v>0</v>
      </c>
      <c r="G1652" s="2">
        <v>1031.29</v>
      </c>
    </row>
    <row r="1653" spans="1:7" hidden="1" x14ac:dyDescent="0.3">
      <c r="A1653" t="s">
        <v>33</v>
      </c>
      <c r="B1653" t="s">
        <v>34</v>
      </c>
      <c r="C1653" t="s">
        <v>2</v>
      </c>
      <c r="D1653" s="1">
        <v>46022</v>
      </c>
      <c r="E1653">
        <v>0</v>
      </c>
      <c r="F1653" s="2">
        <v>0</v>
      </c>
      <c r="G1653" s="2">
        <v>1031.29</v>
      </c>
    </row>
    <row r="1654" spans="1:7" hidden="1" x14ac:dyDescent="0.3">
      <c r="A1654" t="s">
        <v>209</v>
      </c>
      <c r="B1654" t="s">
        <v>210</v>
      </c>
      <c r="C1654" t="s">
        <v>2</v>
      </c>
      <c r="D1654" s="1">
        <v>45869</v>
      </c>
      <c r="E1654">
        <v>0</v>
      </c>
      <c r="F1654" s="2">
        <v>0</v>
      </c>
      <c r="G1654" s="2">
        <v>1803.8400000000011</v>
      </c>
    </row>
    <row r="1655" spans="1:7" hidden="1" x14ac:dyDescent="0.3">
      <c r="A1655" t="s">
        <v>209</v>
      </c>
      <c r="B1655" t="s">
        <v>210</v>
      </c>
      <c r="C1655" t="s">
        <v>2</v>
      </c>
      <c r="D1655" s="1">
        <v>45900</v>
      </c>
      <c r="E1655">
        <v>0</v>
      </c>
      <c r="F1655" s="2">
        <v>0</v>
      </c>
      <c r="G1655" s="2">
        <v>1803.8400000000011</v>
      </c>
    </row>
    <row r="1656" spans="1:7" hidden="1" x14ac:dyDescent="0.3">
      <c r="A1656" t="s">
        <v>209</v>
      </c>
      <c r="B1656" t="s">
        <v>210</v>
      </c>
      <c r="C1656" t="s">
        <v>2</v>
      </c>
      <c r="D1656" s="1">
        <v>45930</v>
      </c>
      <c r="E1656">
        <v>0</v>
      </c>
      <c r="F1656" s="2">
        <v>0</v>
      </c>
      <c r="G1656" s="2">
        <v>1803.8400000000011</v>
      </c>
    </row>
    <row r="1657" spans="1:7" hidden="1" x14ac:dyDescent="0.3">
      <c r="A1657" t="s">
        <v>209</v>
      </c>
      <c r="B1657" t="s">
        <v>210</v>
      </c>
      <c r="C1657" t="s">
        <v>2</v>
      </c>
      <c r="D1657" s="1">
        <v>45961</v>
      </c>
      <c r="E1657">
        <v>0</v>
      </c>
      <c r="F1657" s="2">
        <v>0</v>
      </c>
      <c r="G1657" s="2">
        <v>1803.8400000000011</v>
      </c>
    </row>
    <row r="1658" spans="1:7" hidden="1" x14ac:dyDescent="0.3">
      <c r="A1658" t="s">
        <v>209</v>
      </c>
      <c r="B1658" t="s">
        <v>210</v>
      </c>
      <c r="C1658" t="s">
        <v>2</v>
      </c>
      <c r="D1658" s="1">
        <v>45991</v>
      </c>
      <c r="E1658">
        <v>0</v>
      </c>
      <c r="F1658" s="2">
        <v>0</v>
      </c>
      <c r="G1658" s="2">
        <v>1803.8400000000011</v>
      </c>
    </row>
    <row r="1659" spans="1:7" hidden="1" x14ac:dyDescent="0.3">
      <c r="A1659" t="s">
        <v>209</v>
      </c>
      <c r="B1659" t="s">
        <v>210</v>
      </c>
      <c r="C1659" t="s">
        <v>2</v>
      </c>
      <c r="D1659" s="1">
        <v>46022</v>
      </c>
      <c r="E1659">
        <v>0</v>
      </c>
      <c r="F1659" s="2">
        <v>0</v>
      </c>
      <c r="G1659" s="2">
        <v>1803.8400000000011</v>
      </c>
    </row>
    <row r="1660" spans="1:7" hidden="1" x14ac:dyDescent="0.3">
      <c r="A1660" t="s">
        <v>73</v>
      </c>
      <c r="B1660" t="s">
        <v>74</v>
      </c>
      <c r="C1660" t="s">
        <v>2</v>
      </c>
      <c r="D1660" s="1">
        <v>45869</v>
      </c>
      <c r="E1660">
        <v>0</v>
      </c>
      <c r="F1660" s="2">
        <v>0</v>
      </c>
      <c r="G1660" s="2">
        <v>2559.1800000000021</v>
      </c>
    </row>
    <row r="1661" spans="1:7" hidden="1" x14ac:dyDescent="0.3">
      <c r="A1661" t="s">
        <v>73</v>
      </c>
      <c r="B1661" t="s">
        <v>74</v>
      </c>
      <c r="C1661" t="s">
        <v>2</v>
      </c>
      <c r="D1661" s="1">
        <v>45900</v>
      </c>
      <c r="E1661">
        <v>0</v>
      </c>
      <c r="F1661" s="2">
        <v>0</v>
      </c>
      <c r="G1661" s="2">
        <v>2559.1800000000021</v>
      </c>
    </row>
    <row r="1662" spans="1:7" hidden="1" x14ac:dyDescent="0.3">
      <c r="A1662" t="s">
        <v>73</v>
      </c>
      <c r="B1662" t="s">
        <v>74</v>
      </c>
      <c r="C1662" t="s">
        <v>2</v>
      </c>
      <c r="D1662" s="1">
        <v>45930</v>
      </c>
      <c r="E1662">
        <v>0</v>
      </c>
      <c r="F1662" s="2">
        <v>0</v>
      </c>
      <c r="G1662" s="2">
        <v>2559.1800000000021</v>
      </c>
    </row>
    <row r="1663" spans="1:7" hidden="1" x14ac:dyDescent="0.3">
      <c r="A1663" t="s">
        <v>73</v>
      </c>
      <c r="B1663" t="s">
        <v>74</v>
      </c>
      <c r="C1663" t="s">
        <v>2</v>
      </c>
      <c r="D1663" s="1">
        <v>45961</v>
      </c>
      <c r="E1663">
        <v>0</v>
      </c>
      <c r="F1663" s="2">
        <v>0</v>
      </c>
      <c r="G1663" s="2">
        <v>2559.1800000000021</v>
      </c>
    </row>
    <row r="1664" spans="1:7" hidden="1" x14ac:dyDescent="0.3">
      <c r="A1664" t="s">
        <v>73</v>
      </c>
      <c r="B1664" t="s">
        <v>74</v>
      </c>
      <c r="C1664" t="s">
        <v>2</v>
      </c>
      <c r="D1664" s="1">
        <v>45991</v>
      </c>
      <c r="E1664">
        <v>0</v>
      </c>
      <c r="F1664" s="2">
        <v>0</v>
      </c>
      <c r="G1664" s="2">
        <v>2559.1800000000021</v>
      </c>
    </row>
    <row r="1665" spans="1:7" hidden="1" x14ac:dyDescent="0.3">
      <c r="A1665" t="s">
        <v>73</v>
      </c>
      <c r="B1665" t="s">
        <v>74</v>
      </c>
      <c r="C1665" t="s">
        <v>2</v>
      </c>
      <c r="D1665" s="1">
        <v>46022</v>
      </c>
      <c r="E1665">
        <v>0</v>
      </c>
      <c r="F1665" s="2">
        <v>0</v>
      </c>
      <c r="G1665" s="2">
        <v>2559.1800000000021</v>
      </c>
    </row>
    <row r="1666" spans="1:7" hidden="1" x14ac:dyDescent="0.3">
      <c r="A1666" t="s">
        <v>205</v>
      </c>
      <c r="B1666" t="s">
        <v>206</v>
      </c>
      <c r="C1666" t="s">
        <v>2</v>
      </c>
      <c r="D1666" s="1">
        <v>45869</v>
      </c>
      <c r="E1666">
        <v>0</v>
      </c>
      <c r="F1666" s="2">
        <v>0</v>
      </c>
      <c r="G1666" s="2">
        <v>2283.4899999999998</v>
      </c>
    </row>
    <row r="1667" spans="1:7" hidden="1" x14ac:dyDescent="0.3">
      <c r="A1667" t="s">
        <v>205</v>
      </c>
      <c r="B1667" t="s">
        <v>206</v>
      </c>
      <c r="C1667" t="s">
        <v>2</v>
      </c>
      <c r="D1667" s="1">
        <v>45900</v>
      </c>
      <c r="E1667">
        <v>0</v>
      </c>
      <c r="F1667" s="2">
        <v>0</v>
      </c>
      <c r="G1667" s="2">
        <v>2283.4899999999998</v>
      </c>
    </row>
    <row r="1668" spans="1:7" hidden="1" x14ac:dyDescent="0.3">
      <c r="A1668" t="s">
        <v>205</v>
      </c>
      <c r="B1668" t="s">
        <v>206</v>
      </c>
      <c r="C1668" t="s">
        <v>2</v>
      </c>
      <c r="D1668" s="1">
        <v>45930</v>
      </c>
      <c r="E1668">
        <v>0</v>
      </c>
      <c r="F1668" s="2">
        <v>0</v>
      </c>
      <c r="G1668" s="2">
        <v>2283.4899999999998</v>
      </c>
    </row>
    <row r="1669" spans="1:7" hidden="1" x14ac:dyDescent="0.3">
      <c r="A1669" t="s">
        <v>205</v>
      </c>
      <c r="B1669" t="s">
        <v>206</v>
      </c>
      <c r="C1669" t="s">
        <v>2</v>
      </c>
      <c r="D1669" s="1">
        <v>45961</v>
      </c>
      <c r="E1669">
        <v>0</v>
      </c>
      <c r="F1669" s="2">
        <v>0</v>
      </c>
      <c r="G1669" s="2">
        <v>2283.4899999999998</v>
      </c>
    </row>
    <row r="1670" spans="1:7" hidden="1" x14ac:dyDescent="0.3">
      <c r="A1670" t="s">
        <v>205</v>
      </c>
      <c r="B1670" t="s">
        <v>206</v>
      </c>
      <c r="C1670" t="s">
        <v>2</v>
      </c>
      <c r="D1670" s="1">
        <v>45991</v>
      </c>
      <c r="E1670">
        <v>0</v>
      </c>
      <c r="F1670" s="2">
        <v>0</v>
      </c>
      <c r="G1670" s="2">
        <v>2283.4899999999998</v>
      </c>
    </row>
    <row r="1671" spans="1:7" hidden="1" x14ac:dyDescent="0.3">
      <c r="A1671" t="s">
        <v>205</v>
      </c>
      <c r="B1671" t="s">
        <v>206</v>
      </c>
      <c r="C1671" t="s">
        <v>2</v>
      </c>
      <c r="D1671" s="1">
        <v>46022</v>
      </c>
      <c r="E1671">
        <v>0</v>
      </c>
      <c r="F1671" s="2">
        <v>0</v>
      </c>
      <c r="G1671" s="2">
        <v>2283.4899999999998</v>
      </c>
    </row>
    <row r="1672" spans="1:7" hidden="1" x14ac:dyDescent="0.3">
      <c r="A1672" t="s">
        <v>97</v>
      </c>
      <c r="B1672" t="s">
        <v>98</v>
      </c>
      <c r="C1672" t="s">
        <v>2</v>
      </c>
      <c r="D1672" s="1">
        <v>45869</v>
      </c>
      <c r="E1672">
        <v>0</v>
      </c>
      <c r="F1672" s="2">
        <v>0</v>
      </c>
      <c r="G1672" s="2">
        <v>1806.7699999999986</v>
      </c>
    </row>
    <row r="1673" spans="1:7" hidden="1" x14ac:dyDescent="0.3">
      <c r="A1673" t="s">
        <v>97</v>
      </c>
      <c r="B1673" t="s">
        <v>98</v>
      </c>
      <c r="C1673" t="s">
        <v>2</v>
      </c>
      <c r="D1673" s="1">
        <v>45900</v>
      </c>
      <c r="E1673">
        <v>0</v>
      </c>
      <c r="F1673" s="2">
        <v>0</v>
      </c>
      <c r="G1673" s="2">
        <v>1806.7699999999986</v>
      </c>
    </row>
    <row r="1674" spans="1:7" hidden="1" x14ac:dyDescent="0.3">
      <c r="A1674" t="s">
        <v>97</v>
      </c>
      <c r="B1674" t="s">
        <v>98</v>
      </c>
      <c r="C1674" t="s">
        <v>2</v>
      </c>
      <c r="D1674" s="1">
        <v>45930</v>
      </c>
      <c r="E1674">
        <v>0</v>
      </c>
      <c r="F1674" s="2">
        <v>0</v>
      </c>
      <c r="G1674" s="2">
        <v>1806.7699999999986</v>
      </c>
    </row>
    <row r="1675" spans="1:7" hidden="1" x14ac:dyDescent="0.3">
      <c r="A1675" t="s">
        <v>97</v>
      </c>
      <c r="B1675" t="s">
        <v>98</v>
      </c>
      <c r="C1675" t="s">
        <v>2</v>
      </c>
      <c r="D1675" s="1">
        <v>45961</v>
      </c>
      <c r="E1675">
        <v>0</v>
      </c>
      <c r="F1675" s="2">
        <v>0</v>
      </c>
      <c r="G1675" s="2">
        <v>1806.7699999999986</v>
      </c>
    </row>
    <row r="1676" spans="1:7" hidden="1" x14ac:dyDescent="0.3">
      <c r="A1676" t="s">
        <v>97</v>
      </c>
      <c r="B1676" t="s">
        <v>98</v>
      </c>
      <c r="C1676" t="s">
        <v>2</v>
      </c>
      <c r="D1676" s="1">
        <v>45991</v>
      </c>
      <c r="E1676">
        <v>0</v>
      </c>
      <c r="F1676" s="2">
        <v>0</v>
      </c>
      <c r="G1676" s="2">
        <v>1806.7699999999986</v>
      </c>
    </row>
    <row r="1677" spans="1:7" hidden="1" x14ac:dyDescent="0.3">
      <c r="A1677" t="s">
        <v>97</v>
      </c>
      <c r="B1677" t="s">
        <v>98</v>
      </c>
      <c r="C1677" t="s">
        <v>2</v>
      </c>
      <c r="D1677" s="1">
        <v>46022</v>
      </c>
      <c r="E1677">
        <v>0</v>
      </c>
      <c r="F1677" s="2">
        <v>0</v>
      </c>
      <c r="G1677" s="2">
        <v>1806.7699999999986</v>
      </c>
    </row>
    <row r="1678" spans="1:7" hidden="1" x14ac:dyDescent="0.3">
      <c r="A1678" t="s">
        <v>193</v>
      </c>
      <c r="B1678" t="s">
        <v>194</v>
      </c>
      <c r="C1678" t="s">
        <v>3</v>
      </c>
      <c r="D1678" s="1">
        <v>45688</v>
      </c>
      <c r="E1678">
        <v>0</v>
      </c>
      <c r="F1678" s="2">
        <v>0</v>
      </c>
      <c r="G1678" s="2">
        <v>2186.0100000000002</v>
      </c>
    </row>
    <row r="1679" spans="1:7" hidden="1" x14ac:dyDescent="0.3">
      <c r="A1679" t="s">
        <v>193</v>
      </c>
      <c r="B1679" t="s">
        <v>194</v>
      </c>
      <c r="C1679" t="s">
        <v>3</v>
      </c>
      <c r="D1679" s="1">
        <v>45716</v>
      </c>
      <c r="E1679">
        <v>0</v>
      </c>
      <c r="F1679" s="2">
        <v>0</v>
      </c>
      <c r="G1679" s="2">
        <v>2005.9699999999993</v>
      </c>
    </row>
    <row r="1680" spans="1:7" hidden="1" x14ac:dyDescent="0.3">
      <c r="A1680" t="s">
        <v>193</v>
      </c>
      <c r="B1680" t="s">
        <v>194</v>
      </c>
      <c r="C1680" t="s">
        <v>3</v>
      </c>
      <c r="D1680" s="1">
        <v>45747</v>
      </c>
      <c r="E1680">
        <v>0</v>
      </c>
      <c r="F1680" s="2">
        <v>0</v>
      </c>
      <c r="G1680" s="2">
        <v>1968.67</v>
      </c>
    </row>
    <row r="1681" spans="1:7" hidden="1" x14ac:dyDescent="0.3">
      <c r="A1681" t="s">
        <v>193</v>
      </c>
      <c r="B1681" t="s">
        <v>194</v>
      </c>
      <c r="C1681" t="s">
        <v>3</v>
      </c>
      <c r="D1681" s="1">
        <v>45777</v>
      </c>
      <c r="E1681">
        <v>0</v>
      </c>
      <c r="F1681" s="2">
        <v>0</v>
      </c>
      <c r="G1681" s="2">
        <v>2253.4500000000007</v>
      </c>
    </row>
    <row r="1682" spans="1:7" hidden="1" x14ac:dyDescent="0.3">
      <c r="A1682" t="s">
        <v>193</v>
      </c>
      <c r="B1682" t="s">
        <v>194</v>
      </c>
      <c r="C1682" t="s">
        <v>3</v>
      </c>
      <c r="D1682" s="1">
        <v>45808</v>
      </c>
      <c r="E1682">
        <v>0</v>
      </c>
      <c r="F1682" s="2">
        <v>0</v>
      </c>
      <c r="G1682" s="2">
        <v>2026.75</v>
      </c>
    </row>
    <row r="1683" spans="1:7" hidden="1" x14ac:dyDescent="0.3">
      <c r="A1683" t="s">
        <v>193</v>
      </c>
      <c r="B1683" t="s">
        <v>194</v>
      </c>
      <c r="C1683" t="s">
        <v>3</v>
      </c>
      <c r="D1683" s="1">
        <v>45838</v>
      </c>
      <c r="E1683">
        <v>0</v>
      </c>
      <c r="F1683" s="2">
        <v>0</v>
      </c>
      <c r="G1683" s="2">
        <v>2026.75</v>
      </c>
    </row>
    <row r="1684" spans="1:7" hidden="1" x14ac:dyDescent="0.3">
      <c r="A1684" t="s">
        <v>193</v>
      </c>
      <c r="B1684" t="s">
        <v>194</v>
      </c>
      <c r="C1684" t="s">
        <v>3</v>
      </c>
      <c r="D1684" s="1">
        <v>45869</v>
      </c>
      <c r="E1684">
        <v>0</v>
      </c>
      <c r="F1684" s="2">
        <v>0</v>
      </c>
      <c r="G1684" s="2">
        <v>2026.75</v>
      </c>
    </row>
    <row r="1685" spans="1:7" hidden="1" x14ac:dyDescent="0.3">
      <c r="A1685" t="s">
        <v>193</v>
      </c>
      <c r="B1685" t="s">
        <v>194</v>
      </c>
      <c r="C1685" t="s">
        <v>3</v>
      </c>
      <c r="D1685" s="1">
        <v>45900</v>
      </c>
      <c r="E1685">
        <v>0</v>
      </c>
      <c r="F1685" s="2">
        <v>0</v>
      </c>
      <c r="G1685" s="2">
        <v>2026.75</v>
      </c>
    </row>
    <row r="1686" spans="1:7" hidden="1" x14ac:dyDescent="0.3">
      <c r="A1686" t="s">
        <v>193</v>
      </c>
      <c r="B1686" t="s">
        <v>194</v>
      </c>
      <c r="C1686" t="s">
        <v>3</v>
      </c>
      <c r="D1686" s="1">
        <v>45930</v>
      </c>
      <c r="E1686">
        <v>0</v>
      </c>
      <c r="F1686" s="2">
        <v>0</v>
      </c>
      <c r="G1686" s="2">
        <v>2026.75</v>
      </c>
    </row>
    <row r="1687" spans="1:7" hidden="1" x14ac:dyDescent="0.3">
      <c r="A1687" t="s">
        <v>193</v>
      </c>
      <c r="B1687" t="s">
        <v>194</v>
      </c>
      <c r="C1687" t="s">
        <v>3</v>
      </c>
      <c r="D1687" s="1">
        <v>45961</v>
      </c>
      <c r="E1687">
        <v>0</v>
      </c>
      <c r="F1687" s="2">
        <v>0</v>
      </c>
      <c r="G1687" s="2">
        <v>2026.75</v>
      </c>
    </row>
    <row r="1688" spans="1:7" hidden="1" x14ac:dyDescent="0.3">
      <c r="A1688" t="s">
        <v>193</v>
      </c>
      <c r="B1688" t="s">
        <v>194</v>
      </c>
      <c r="C1688" t="s">
        <v>3</v>
      </c>
      <c r="D1688" s="1">
        <v>45991</v>
      </c>
      <c r="E1688">
        <v>0</v>
      </c>
      <c r="F1688" s="2">
        <v>0</v>
      </c>
      <c r="G1688" s="2">
        <v>2026.75</v>
      </c>
    </row>
    <row r="1689" spans="1:7" hidden="1" x14ac:dyDescent="0.3">
      <c r="A1689" t="s">
        <v>193</v>
      </c>
      <c r="B1689" t="s">
        <v>194</v>
      </c>
      <c r="C1689" t="s">
        <v>3</v>
      </c>
      <c r="D1689" s="1">
        <v>46022</v>
      </c>
      <c r="E1689">
        <v>0</v>
      </c>
      <c r="F1689" s="2">
        <v>0</v>
      </c>
      <c r="G1689" s="2">
        <v>2026.75</v>
      </c>
    </row>
    <row r="1690" spans="1:7" hidden="1" x14ac:dyDescent="0.3">
      <c r="A1690" t="s">
        <v>245</v>
      </c>
      <c r="B1690" t="s">
        <v>246</v>
      </c>
      <c r="C1690" t="s">
        <v>3</v>
      </c>
      <c r="D1690" s="1">
        <v>45869</v>
      </c>
      <c r="E1690">
        <v>0</v>
      </c>
      <c r="F1690" s="2">
        <v>0</v>
      </c>
      <c r="G1690" s="2">
        <v>748.58000000000038</v>
      </c>
    </row>
    <row r="1691" spans="1:7" hidden="1" x14ac:dyDescent="0.3">
      <c r="A1691" t="s">
        <v>245</v>
      </c>
      <c r="B1691" t="s">
        <v>246</v>
      </c>
      <c r="C1691" t="s">
        <v>3</v>
      </c>
      <c r="D1691" s="1">
        <v>45900</v>
      </c>
      <c r="E1691">
        <v>0</v>
      </c>
      <c r="F1691" s="2">
        <v>0</v>
      </c>
      <c r="G1691" s="2">
        <v>748.58000000000038</v>
      </c>
    </row>
    <row r="1692" spans="1:7" hidden="1" x14ac:dyDescent="0.3">
      <c r="A1692" t="s">
        <v>245</v>
      </c>
      <c r="B1692" t="s">
        <v>246</v>
      </c>
      <c r="C1692" t="s">
        <v>3</v>
      </c>
      <c r="D1692" s="1">
        <v>45930</v>
      </c>
      <c r="E1692">
        <v>0</v>
      </c>
      <c r="F1692" s="2">
        <v>0</v>
      </c>
      <c r="G1692" s="2">
        <v>748.58000000000038</v>
      </c>
    </row>
    <row r="1693" spans="1:7" hidden="1" x14ac:dyDescent="0.3">
      <c r="A1693" t="s">
        <v>245</v>
      </c>
      <c r="B1693" t="s">
        <v>246</v>
      </c>
      <c r="C1693" t="s">
        <v>3</v>
      </c>
      <c r="D1693" s="1">
        <v>45961</v>
      </c>
      <c r="E1693">
        <v>0</v>
      </c>
      <c r="F1693" s="2">
        <v>0</v>
      </c>
      <c r="G1693" s="2">
        <v>748.58000000000038</v>
      </c>
    </row>
    <row r="1694" spans="1:7" hidden="1" x14ac:dyDescent="0.3">
      <c r="A1694" t="s">
        <v>245</v>
      </c>
      <c r="B1694" t="s">
        <v>246</v>
      </c>
      <c r="C1694" t="s">
        <v>3</v>
      </c>
      <c r="D1694" s="1">
        <v>45991</v>
      </c>
      <c r="E1694">
        <v>0</v>
      </c>
      <c r="F1694" s="2">
        <v>0</v>
      </c>
      <c r="G1694" s="2">
        <v>748.58000000000038</v>
      </c>
    </row>
    <row r="1695" spans="1:7" hidden="1" x14ac:dyDescent="0.3">
      <c r="A1695" t="s">
        <v>245</v>
      </c>
      <c r="B1695" t="s">
        <v>246</v>
      </c>
      <c r="C1695" t="s">
        <v>3</v>
      </c>
      <c r="D1695" s="1">
        <v>46022</v>
      </c>
      <c r="E1695">
        <v>0</v>
      </c>
      <c r="F1695" s="2">
        <v>0</v>
      </c>
      <c r="G1695" s="2">
        <v>748.58000000000038</v>
      </c>
    </row>
    <row r="1696" spans="1:7" hidden="1" x14ac:dyDescent="0.3">
      <c r="A1696" t="s">
        <v>135</v>
      </c>
      <c r="B1696" t="s">
        <v>136</v>
      </c>
      <c r="C1696" t="s">
        <v>3</v>
      </c>
      <c r="D1696" s="1">
        <v>45869</v>
      </c>
      <c r="E1696">
        <v>0</v>
      </c>
      <c r="F1696" s="2">
        <v>0</v>
      </c>
      <c r="G1696" s="2">
        <v>447.40999999999985</v>
      </c>
    </row>
    <row r="1697" spans="1:7" hidden="1" x14ac:dyDescent="0.3">
      <c r="A1697" t="s">
        <v>135</v>
      </c>
      <c r="B1697" t="s">
        <v>136</v>
      </c>
      <c r="C1697" t="s">
        <v>3</v>
      </c>
      <c r="D1697" s="1">
        <v>45900</v>
      </c>
      <c r="E1697">
        <v>0</v>
      </c>
      <c r="F1697" s="2">
        <v>0</v>
      </c>
      <c r="G1697" s="2">
        <v>447.40999999999985</v>
      </c>
    </row>
    <row r="1698" spans="1:7" hidden="1" x14ac:dyDescent="0.3">
      <c r="A1698" t="s">
        <v>135</v>
      </c>
      <c r="B1698" t="s">
        <v>136</v>
      </c>
      <c r="C1698" t="s">
        <v>3</v>
      </c>
      <c r="D1698" s="1">
        <v>45930</v>
      </c>
      <c r="E1698">
        <v>0</v>
      </c>
      <c r="F1698" s="2">
        <v>0</v>
      </c>
      <c r="G1698" s="2">
        <v>447.40999999999985</v>
      </c>
    </row>
    <row r="1699" spans="1:7" hidden="1" x14ac:dyDescent="0.3">
      <c r="A1699" t="s">
        <v>135</v>
      </c>
      <c r="B1699" t="s">
        <v>136</v>
      </c>
      <c r="C1699" t="s">
        <v>3</v>
      </c>
      <c r="D1699" s="1">
        <v>45961</v>
      </c>
      <c r="E1699">
        <v>0</v>
      </c>
      <c r="F1699" s="2">
        <v>0</v>
      </c>
      <c r="G1699" s="2">
        <v>447.40999999999985</v>
      </c>
    </row>
    <row r="1700" spans="1:7" hidden="1" x14ac:dyDescent="0.3">
      <c r="A1700" t="s">
        <v>135</v>
      </c>
      <c r="B1700" t="s">
        <v>136</v>
      </c>
      <c r="C1700" t="s">
        <v>3</v>
      </c>
      <c r="D1700" s="1">
        <v>45991</v>
      </c>
      <c r="E1700">
        <v>0</v>
      </c>
      <c r="F1700" s="2">
        <v>0</v>
      </c>
      <c r="G1700" s="2">
        <v>447.40999999999985</v>
      </c>
    </row>
    <row r="1701" spans="1:7" hidden="1" x14ac:dyDescent="0.3">
      <c r="A1701" t="s">
        <v>135</v>
      </c>
      <c r="B1701" t="s">
        <v>136</v>
      </c>
      <c r="C1701" t="s">
        <v>3</v>
      </c>
      <c r="D1701" s="1">
        <v>46022</v>
      </c>
      <c r="E1701">
        <v>0</v>
      </c>
      <c r="F1701" s="2">
        <v>0</v>
      </c>
      <c r="G1701" s="2">
        <v>447.40999999999985</v>
      </c>
    </row>
    <row r="1702" spans="1:7" hidden="1" x14ac:dyDescent="0.3">
      <c r="A1702" t="s">
        <v>277</v>
      </c>
      <c r="B1702" t="s">
        <v>278</v>
      </c>
      <c r="C1702" t="s">
        <v>3</v>
      </c>
      <c r="D1702" s="1">
        <v>45869</v>
      </c>
      <c r="E1702">
        <v>0</v>
      </c>
      <c r="F1702" s="2">
        <v>0</v>
      </c>
      <c r="G1702" s="2">
        <v>1688.340000000002</v>
      </c>
    </row>
    <row r="1703" spans="1:7" hidden="1" x14ac:dyDescent="0.3">
      <c r="A1703" t="s">
        <v>277</v>
      </c>
      <c r="B1703" t="s">
        <v>278</v>
      </c>
      <c r="C1703" t="s">
        <v>3</v>
      </c>
      <c r="D1703" s="1">
        <v>45900</v>
      </c>
      <c r="E1703">
        <v>0</v>
      </c>
      <c r="F1703" s="2">
        <v>0</v>
      </c>
      <c r="G1703" s="2">
        <v>1688.340000000002</v>
      </c>
    </row>
    <row r="1704" spans="1:7" hidden="1" x14ac:dyDescent="0.3">
      <c r="A1704" t="s">
        <v>277</v>
      </c>
      <c r="B1704" t="s">
        <v>278</v>
      </c>
      <c r="C1704" t="s">
        <v>3</v>
      </c>
      <c r="D1704" s="1">
        <v>45930</v>
      </c>
      <c r="E1704">
        <v>0</v>
      </c>
      <c r="F1704" s="2">
        <v>0</v>
      </c>
      <c r="G1704" s="2">
        <v>1688.340000000002</v>
      </c>
    </row>
    <row r="1705" spans="1:7" hidden="1" x14ac:dyDescent="0.3">
      <c r="A1705" t="s">
        <v>277</v>
      </c>
      <c r="B1705" t="s">
        <v>278</v>
      </c>
      <c r="C1705" t="s">
        <v>3</v>
      </c>
      <c r="D1705" s="1">
        <v>45961</v>
      </c>
      <c r="E1705">
        <v>0</v>
      </c>
      <c r="F1705" s="2">
        <v>0</v>
      </c>
      <c r="G1705" s="2">
        <v>1688.340000000002</v>
      </c>
    </row>
    <row r="1706" spans="1:7" hidden="1" x14ac:dyDescent="0.3">
      <c r="A1706" t="s">
        <v>277</v>
      </c>
      <c r="B1706" t="s">
        <v>278</v>
      </c>
      <c r="C1706" t="s">
        <v>3</v>
      </c>
      <c r="D1706" s="1">
        <v>45991</v>
      </c>
      <c r="E1706">
        <v>0</v>
      </c>
      <c r="F1706" s="2">
        <v>0</v>
      </c>
      <c r="G1706" s="2">
        <v>1688.340000000002</v>
      </c>
    </row>
    <row r="1707" spans="1:7" hidden="1" x14ac:dyDescent="0.3">
      <c r="A1707" t="s">
        <v>277</v>
      </c>
      <c r="B1707" t="s">
        <v>278</v>
      </c>
      <c r="C1707" t="s">
        <v>3</v>
      </c>
      <c r="D1707" s="1">
        <v>46022</v>
      </c>
      <c r="E1707">
        <v>0</v>
      </c>
      <c r="F1707" s="2">
        <v>0</v>
      </c>
      <c r="G1707" s="2">
        <v>1688.340000000002</v>
      </c>
    </row>
    <row r="1708" spans="1:7" hidden="1" x14ac:dyDescent="0.3">
      <c r="A1708" t="s">
        <v>203</v>
      </c>
      <c r="B1708" t="s">
        <v>204</v>
      </c>
      <c r="C1708" t="s">
        <v>3</v>
      </c>
      <c r="D1708" s="1">
        <v>45869</v>
      </c>
      <c r="E1708">
        <v>0</v>
      </c>
      <c r="F1708" s="2">
        <v>0</v>
      </c>
      <c r="G1708" s="2">
        <v>2617.8199999999997</v>
      </c>
    </row>
    <row r="1709" spans="1:7" hidden="1" x14ac:dyDescent="0.3">
      <c r="A1709" t="s">
        <v>203</v>
      </c>
      <c r="B1709" t="s">
        <v>204</v>
      </c>
      <c r="C1709" t="s">
        <v>3</v>
      </c>
      <c r="D1709" s="1">
        <v>45900</v>
      </c>
      <c r="E1709">
        <v>0</v>
      </c>
      <c r="F1709" s="2">
        <v>0</v>
      </c>
      <c r="G1709" s="2">
        <v>2617.8199999999997</v>
      </c>
    </row>
    <row r="1710" spans="1:7" hidden="1" x14ac:dyDescent="0.3">
      <c r="A1710" t="s">
        <v>203</v>
      </c>
      <c r="B1710" t="s">
        <v>204</v>
      </c>
      <c r="C1710" t="s">
        <v>3</v>
      </c>
      <c r="D1710" s="1">
        <v>45930</v>
      </c>
      <c r="E1710">
        <v>0</v>
      </c>
      <c r="F1710" s="2">
        <v>0</v>
      </c>
      <c r="G1710" s="2">
        <v>2617.8199999999997</v>
      </c>
    </row>
    <row r="1711" spans="1:7" hidden="1" x14ac:dyDescent="0.3">
      <c r="A1711" t="s">
        <v>203</v>
      </c>
      <c r="B1711" t="s">
        <v>204</v>
      </c>
      <c r="C1711" t="s">
        <v>3</v>
      </c>
      <c r="D1711" s="1">
        <v>45961</v>
      </c>
      <c r="E1711">
        <v>0</v>
      </c>
      <c r="F1711" s="2">
        <v>0</v>
      </c>
      <c r="G1711" s="2">
        <v>2617.8199999999997</v>
      </c>
    </row>
    <row r="1712" spans="1:7" hidden="1" x14ac:dyDescent="0.3">
      <c r="A1712" t="s">
        <v>203</v>
      </c>
      <c r="B1712" t="s">
        <v>204</v>
      </c>
      <c r="C1712" t="s">
        <v>3</v>
      </c>
      <c r="D1712" s="1">
        <v>45991</v>
      </c>
      <c r="E1712">
        <v>0</v>
      </c>
      <c r="F1712" s="2">
        <v>0</v>
      </c>
      <c r="G1712" s="2">
        <v>2617.8199999999997</v>
      </c>
    </row>
    <row r="1713" spans="1:7" hidden="1" x14ac:dyDescent="0.3">
      <c r="A1713" t="s">
        <v>203</v>
      </c>
      <c r="B1713" t="s">
        <v>204</v>
      </c>
      <c r="C1713" t="s">
        <v>3</v>
      </c>
      <c r="D1713" s="1">
        <v>46022</v>
      </c>
      <c r="E1713">
        <v>0</v>
      </c>
      <c r="F1713" s="2">
        <v>0</v>
      </c>
      <c r="G1713" s="2">
        <v>2617.8199999999997</v>
      </c>
    </row>
    <row r="1714" spans="1:7" hidden="1" x14ac:dyDescent="0.3">
      <c r="A1714" t="s">
        <v>43</v>
      </c>
      <c r="B1714" t="s">
        <v>44</v>
      </c>
      <c r="C1714" t="s">
        <v>3</v>
      </c>
      <c r="D1714" s="1">
        <v>45869</v>
      </c>
      <c r="E1714">
        <v>0</v>
      </c>
      <c r="F1714" s="2">
        <v>0</v>
      </c>
      <c r="G1714" s="2">
        <v>3024.2599999999984</v>
      </c>
    </row>
    <row r="1715" spans="1:7" hidden="1" x14ac:dyDescent="0.3">
      <c r="A1715" t="s">
        <v>43</v>
      </c>
      <c r="B1715" t="s">
        <v>44</v>
      </c>
      <c r="C1715" t="s">
        <v>3</v>
      </c>
      <c r="D1715" s="1">
        <v>45900</v>
      </c>
      <c r="E1715">
        <v>0</v>
      </c>
      <c r="F1715" s="2">
        <v>0</v>
      </c>
      <c r="G1715" s="2">
        <v>3024.2599999999984</v>
      </c>
    </row>
    <row r="1716" spans="1:7" hidden="1" x14ac:dyDescent="0.3">
      <c r="A1716" t="s">
        <v>43</v>
      </c>
      <c r="B1716" t="s">
        <v>44</v>
      </c>
      <c r="C1716" t="s">
        <v>3</v>
      </c>
      <c r="D1716" s="1">
        <v>45930</v>
      </c>
      <c r="E1716">
        <v>0</v>
      </c>
      <c r="F1716" s="2">
        <v>0</v>
      </c>
      <c r="G1716" s="2">
        <v>3024.2599999999984</v>
      </c>
    </row>
    <row r="1717" spans="1:7" hidden="1" x14ac:dyDescent="0.3">
      <c r="A1717" t="s">
        <v>43</v>
      </c>
      <c r="B1717" t="s">
        <v>44</v>
      </c>
      <c r="C1717" t="s">
        <v>3</v>
      </c>
      <c r="D1717" s="1">
        <v>45961</v>
      </c>
      <c r="E1717">
        <v>0</v>
      </c>
      <c r="F1717" s="2">
        <v>0</v>
      </c>
      <c r="G1717" s="2">
        <v>3024.2599999999984</v>
      </c>
    </row>
    <row r="1718" spans="1:7" hidden="1" x14ac:dyDescent="0.3">
      <c r="A1718" t="s">
        <v>43</v>
      </c>
      <c r="B1718" t="s">
        <v>44</v>
      </c>
      <c r="C1718" t="s">
        <v>3</v>
      </c>
      <c r="D1718" s="1">
        <v>45991</v>
      </c>
      <c r="E1718">
        <v>0</v>
      </c>
      <c r="F1718" s="2">
        <v>0</v>
      </c>
      <c r="G1718" s="2">
        <v>3024.2599999999984</v>
      </c>
    </row>
    <row r="1719" spans="1:7" hidden="1" x14ac:dyDescent="0.3">
      <c r="A1719" t="s">
        <v>43</v>
      </c>
      <c r="B1719" t="s">
        <v>44</v>
      </c>
      <c r="C1719" t="s">
        <v>3</v>
      </c>
      <c r="D1719" s="1">
        <v>46022</v>
      </c>
      <c r="E1719">
        <v>0</v>
      </c>
      <c r="F1719" s="2">
        <v>0</v>
      </c>
      <c r="G1719" s="2">
        <v>3024.2599999999984</v>
      </c>
    </row>
    <row r="1720" spans="1:7" hidden="1" x14ac:dyDescent="0.3">
      <c r="A1720" t="s">
        <v>331</v>
      </c>
      <c r="B1720" t="s">
        <v>332</v>
      </c>
      <c r="C1720" t="s">
        <v>3</v>
      </c>
      <c r="D1720" s="1">
        <v>45869</v>
      </c>
      <c r="E1720">
        <v>0</v>
      </c>
      <c r="F1720" s="2">
        <v>0</v>
      </c>
      <c r="G1720" s="2">
        <v>828.61999999999989</v>
      </c>
    </row>
    <row r="1721" spans="1:7" hidden="1" x14ac:dyDescent="0.3">
      <c r="A1721" t="s">
        <v>331</v>
      </c>
      <c r="B1721" t="s">
        <v>332</v>
      </c>
      <c r="C1721" t="s">
        <v>3</v>
      </c>
      <c r="D1721" s="1">
        <v>45900</v>
      </c>
      <c r="E1721">
        <v>0</v>
      </c>
      <c r="F1721" s="2">
        <v>0</v>
      </c>
      <c r="G1721" s="2">
        <v>828.61999999999989</v>
      </c>
    </row>
    <row r="1722" spans="1:7" hidden="1" x14ac:dyDescent="0.3">
      <c r="A1722" t="s">
        <v>331</v>
      </c>
      <c r="B1722" t="s">
        <v>332</v>
      </c>
      <c r="C1722" t="s">
        <v>3</v>
      </c>
      <c r="D1722" s="1">
        <v>45930</v>
      </c>
      <c r="E1722">
        <v>0</v>
      </c>
      <c r="F1722" s="2">
        <v>0</v>
      </c>
      <c r="G1722" s="2">
        <v>828.61999999999989</v>
      </c>
    </row>
    <row r="1723" spans="1:7" hidden="1" x14ac:dyDescent="0.3">
      <c r="A1723" t="s">
        <v>331</v>
      </c>
      <c r="B1723" t="s">
        <v>332</v>
      </c>
      <c r="C1723" t="s">
        <v>3</v>
      </c>
      <c r="D1723" s="1">
        <v>45961</v>
      </c>
      <c r="E1723">
        <v>0</v>
      </c>
      <c r="F1723" s="2">
        <v>0</v>
      </c>
      <c r="G1723" s="2">
        <v>828.61999999999989</v>
      </c>
    </row>
    <row r="1724" spans="1:7" hidden="1" x14ac:dyDescent="0.3">
      <c r="A1724" t="s">
        <v>331</v>
      </c>
      <c r="B1724" t="s">
        <v>332</v>
      </c>
      <c r="C1724" t="s">
        <v>3</v>
      </c>
      <c r="D1724" s="1">
        <v>45991</v>
      </c>
      <c r="E1724">
        <v>0</v>
      </c>
      <c r="F1724" s="2">
        <v>0</v>
      </c>
      <c r="G1724" s="2">
        <v>828.61999999999989</v>
      </c>
    </row>
    <row r="1725" spans="1:7" hidden="1" x14ac:dyDescent="0.3">
      <c r="A1725" t="s">
        <v>331</v>
      </c>
      <c r="B1725" t="s">
        <v>332</v>
      </c>
      <c r="C1725" t="s">
        <v>3</v>
      </c>
      <c r="D1725" s="1">
        <v>46022</v>
      </c>
      <c r="E1725">
        <v>0</v>
      </c>
      <c r="F1725" s="2">
        <v>0</v>
      </c>
      <c r="G1725" s="2">
        <v>828.61999999999989</v>
      </c>
    </row>
    <row r="1726" spans="1:7" hidden="1" x14ac:dyDescent="0.3">
      <c r="A1726" t="s">
        <v>390</v>
      </c>
      <c r="B1726" t="s">
        <v>391</v>
      </c>
      <c r="C1726" t="s">
        <v>3</v>
      </c>
      <c r="D1726" s="1">
        <v>45688</v>
      </c>
      <c r="E1726">
        <v>0</v>
      </c>
      <c r="F1726" s="2">
        <v>0</v>
      </c>
      <c r="G1726" s="2">
        <v>0</v>
      </c>
    </row>
    <row r="1727" spans="1:7" hidden="1" x14ac:dyDescent="0.3">
      <c r="A1727" t="s">
        <v>390</v>
      </c>
      <c r="B1727" t="s">
        <v>391</v>
      </c>
      <c r="C1727" t="s">
        <v>3</v>
      </c>
      <c r="D1727" s="1">
        <v>45716</v>
      </c>
      <c r="E1727">
        <v>0</v>
      </c>
      <c r="F1727" s="2">
        <v>0</v>
      </c>
      <c r="G1727" s="2">
        <v>0</v>
      </c>
    </row>
    <row r="1728" spans="1:7" hidden="1" x14ac:dyDescent="0.3">
      <c r="A1728" t="s">
        <v>390</v>
      </c>
      <c r="B1728" t="s">
        <v>391</v>
      </c>
      <c r="C1728" t="s">
        <v>3</v>
      </c>
      <c r="D1728" s="1">
        <v>45869</v>
      </c>
      <c r="E1728">
        <v>0</v>
      </c>
      <c r="F1728" s="2">
        <v>0</v>
      </c>
      <c r="G1728" s="2">
        <v>1724.56</v>
      </c>
    </row>
    <row r="1729" spans="1:7" hidden="1" x14ac:dyDescent="0.3">
      <c r="A1729" t="s">
        <v>390</v>
      </c>
      <c r="B1729" t="s">
        <v>391</v>
      </c>
      <c r="C1729" t="s">
        <v>3</v>
      </c>
      <c r="D1729" s="1">
        <v>45900</v>
      </c>
      <c r="E1729">
        <v>0</v>
      </c>
      <c r="F1729" s="2">
        <v>0</v>
      </c>
      <c r="G1729" s="2">
        <v>1724.56</v>
      </c>
    </row>
    <row r="1730" spans="1:7" hidden="1" x14ac:dyDescent="0.3">
      <c r="A1730" t="s">
        <v>390</v>
      </c>
      <c r="B1730" t="s">
        <v>391</v>
      </c>
      <c r="C1730" t="s">
        <v>3</v>
      </c>
      <c r="D1730" s="1">
        <v>45930</v>
      </c>
      <c r="E1730">
        <v>0</v>
      </c>
      <c r="F1730" s="2">
        <v>0</v>
      </c>
      <c r="G1730" s="2">
        <v>1724.56</v>
      </c>
    </row>
    <row r="1731" spans="1:7" hidden="1" x14ac:dyDescent="0.3">
      <c r="A1731" t="s">
        <v>390</v>
      </c>
      <c r="B1731" t="s">
        <v>391</v>
      </c>
      <c r="C1731" t="s">
        <v>3</v>
      </c>
      <c r="D1731" s="1">
        <v>45961</v>
      </c>
      <c r="E1731">
        <v>0</v>
      </c>
      <c r="F1731" s="2">
        <v>0</v>
      </c>
      <c r="G1731" s="2">
        <v>1724.56</v>
      </c>
    </row>
    <row r="1732" spans="1:7" hidden="1" x14ac:dyDescent="0.3">
      <c r="A1732" t="s">
        <v>390</v>
      </c>
      <c r="B1732" t="s">
        <v>391</v>
      </c>
      <c r="C1732" t="s">
        <v>3</v>
      </c>
      <c r="D1732" s="1">
        <v>45991</v>
      </c>
      <c r="E1732">
        <v>0</v>
      </c>
      <c r="F1732" s="2">
        <v>0</v>
      </c>
      <c r="G1732" s="2">
        <v>1724.56</v>
      </c>
    </row>
    <row r="1733" spans="1:7" hidden="1" x14ac:dyDescent="0.3">
      <c r="A1733" t="s">
        <v>390</v>
      </c>
      <c r="B1733" t="s">
        <v>391</v>
      </c>
      <c r="C1733" t="s">
        <v>3</v>
      </c>
      <c r="D1733" s="1">
        <v>46022</v>
      </c>
      <c r="E1733">
        <v>0</v>
      </c>
      <c r="F1733" s="2">
        <v>0</v>
      </c>
      <c r="G1733" s="2">
        <v>1724.56</v>
      </c>
    </row>
    <row r="1734" spans="1:7" hidden="1" x14ac:dyDescent="0.3">
      <c r="A1734" t="s">
        <v>157</v>
      </c>
      <c r="B1734" t="s">
        <v>158</v>
      </c>
      <c r="C1734" t="s">
        <v>3</v>
      </c>
      <c r="D1734" s="1">
        <v>45838</v>
      </c>
      <c r="E1734">
        <v>0</v>
      </c>
      <c r="F1734" s="2">
        <v>0</v>
      </c>
      <c r="G1734" s="2">
        <v>0</v>
      </c>
    </row>
    <row r="1735" spans="1:7" hidden="1" x14ac:dyDescent="0.3">
      <c r="A1735" t="s">
        <v>157</v>
      </c>
      <c r="B1735" t="s">
        <v>158</v>
      </c>
      <c r="C1735" t="s">
        <v>3</v>
      </c>
      <c r="D1735" s="1">
        <v>45869</v>
      </c>
      <c r="E1735">
        <v>0</v>
      </c>
      <c r="F1735" s="2">
        <v>0</v>
      </c>
      <c r="G1735" s="2">
        <v>0</v>
      </c>
    </row>
    <row r="1736" spans="1:7" hidden="1" x14ac:dyDescent="0.3">
      <c r="A1736" t="s">
        <v>157</v>
      </c>
      <c r="B1736" t="s">
        <v>158</v>
      </c>
      <c r="C1736" t="s">
        <v>3</v>
      </c>
      <c r="D1736" s="1">
        <v>45900</v>
      </c>
      <c r="E1736">
        <v>0</v>
      </c>
      <c r="F1736" s="2">
        <v>0</v>
      </c>
      <c r="G1736" s="2">
        <v>0</v>
      </c>
    </row>
    <row r="1737" spans="1:7" hidden="1" x14ac:dyDescent="0.3">
      <c r="A1737" t="s">
        <v>157</v>
      </c>
      <c r="B1737" t="s">
        <v>158</v>
      </c>
      <c r="C1737" t="s">
        <v>3</v>
      </c>
      <c r="D1737" s="1">
        <v>45930</v>
      </c>
      <c r="E1737">
        <v>0</v>
      </c>
      <c r="F1737" s="2">
        <v>0</v>
      </c>
      <c r="G1737" s="2">
        <v>0</v>
      </c>
    </row>
    <row r="1738" spans="1:7" hidden="1" x14ac:dyDescent="0.3">
      <c r="A1738" t="s">
        <v>157</v>
      </c>
      <c r="B1738" t="s">
        <v>158</v>
      </c>
      <c r="C1738" t="s">
        <v>3</v>
      </c>
      <c r="D1738" s="1">
        <v>45961</v>
      </c>
      <c r="E1738">
        <v>0</v>
      </c>
      <c r="F1738" s="2">
        <v>0</v>
      </c>
      <c r="G1738" s="2">
        <v>0</v>
      </c>
    </row>
    <row r="1739" spans="1:7" hidden="1" x14ac:dyDescent="0.3">
      <c r="A1739" t="s">
        <v>157</v>
      </c>
      <c r="B1739" t="s">
        <v>158</v>
      </c>
      <c r="C1739" t="s">
        <v>3</v>
      </c>
      <c r="D1739" s="1">
        <v>45991</v>
      </c>
      <c r="E1739">
        <v>0</v>
      </c>
      <c r="F1739" s="2">
        <v>0</v>
      </c>
      <c r="G1739" s="2">
        <v>0</v>
      </c>
    </row>
    <row r="1740" spans="1:7" hidden="1" x14ac:dyDescent="0.3">
      <c r="A1740" t="s">
        <v>157</v>
      </c>
      <c r="B1740" t="s">
        <v>158</v>
      </c>
      <c r="C1740" t="s">
        <v>3</v>
      </c>
      <c r="D1740" s="1">
        <v>46022</v>
      </c>
      <c r="E1740">
        <v>0</v>
      </c>
      <c r="F1740" s="2">
        <v>0</v>
      </c>
      <c r="G1740" s="2">
        <v>0</v>
      </c>
    </row>
    <row r="1741" spans="1:7" hidden="1" x14ac:dyDescent="0.3">
      <c r="A1741" t="s">
        <v>95</v>
      </c>
      <c r="B1741" t="s">
        <v>96</v>
      </c>
      <c r="C1741" t="s">
        <v>3</v>
      </c>
      <c r="D1741" s="1">
        <v>45869</v>
      </c>
      <c r="E1741">
        <v>0</v>
      </c>
      <c r="F1741" s="2">
        <v>0</v>
      </c>
      <c r="G1741" s="2">
        <v>2149.33</v>
      </c>
    </row>
    <row r="1742" spans="1:7" hidden="1" x14ac:dyDescent="0.3">
      <c r="A1742" t="s">
        <v>95</v>
      </c>
      <c r="B1742" t="s">
        <v>96</v>
      </c>
      <c r="C1742" t="s">
        <v>3</v>
      </c>
      <c r="D1742" s="1">
        <v>45900</v>
      </c>
      <c r="E1742">
        <v>0</v>
      </c>
      <c r="F1742" s="2">
        <v>0</v>
      </c>
      <c r="G1742" s="2">
        <v>2149.33</v>
      </c>
    </row>
    <row r="1743" spans="1:7" hidden="1" x14ac:dyDescent="0.3">
      <c r="A1743" t="s">
        <v>95</v>
      </c>
      <c r="B1743" t="s">
        <v>96</v>
      </c>
      <c r="C1743" t="s">
        <v>3</v>
      </c>
      <c r="D1743" s="1">
        <v>45930</v>
      </c>
      <c r="E1743">
        <v>0</v>
      </c>
      <c r="F1743" s="2">
        <v>0</v>
      </c>
      <c r="G1743" s="2">
        <v>2149.33</v>
      </c>
    </row>
    <row r="1744" spans="1:7" hidden="1" x14ac:dyDescent="0.3">
      <c r="A1744" t="s">
        <v>95</v>
      </c>
      <c r="B1744" t="s">
        <v>96</v>
      </c>
      <c r="C1744" t="s">
        <v>3</v>
      </c>
      <c r="D1744" s="1">
        <v>45961</v>
      </c>
      <c r="E1744">
        <v>0</v>
      </c>
      <c r="F1744" s="2">
        <v>0</v>
      </c>
      <c r="G1744" s="2">
        <v>2149.33</v>
      </c>
    </row>
    <row r="1745" spans="1:7" hidden="1" x14ac:dyDescent="0.3">
      <c r="A1745" t="s">
        <v>95</v>
      </c>
      <c r="B1745" t="s">
        <v>96</v>
      </c>
      <c r="C1745" t="s">
        <v>3</v>
      </c>
      <c r="D1745" s="1">
        <v>45991</v>
      </c>
      <c r="E1745">
        <v>0</v>
      </c>
      <c r="F1745" s="2">
        <v>0</v>
      </c>
      <c r="G1745" s="2">
        <v>2149.33</v>
      </c>
    </row>
    <row r="1746" spans="1:7" hidden="1" x14ac:dyDescent="0.3">
      <c r="A1746" t="s">
        <v>95</v>
      </c>
      <c r="B1746" t="s">
        <v>96</v>
      </c>
      <c r="C1746" t="s">
        <v>3</v>
      </c>
      <c r="D1746" s="1">
        <v>46022</v>
      </c>
      <c r="E1746">
        <v>0</v>
      </c>
      <c r="F1746" s="2">
        <v>0</v>
      </c>
      <c r="G1746" s="2">
        <v>2149.33</v>
      </c>
    </row>
    <row r="1747" spans="1:7" hidden="1" x14ac:dyDescent="0.3">
      <c r="A1747" t="s">
        <v>173</v>
      </c>
      <c r="B1747" t="s">
        <v>174</v>
      </c>
      <c r="C1747" t="s">
        <v>3</v>
      </c>
      <c r="D1747" s="1">
        <v>45869</v>
      </c>
      <c r="E1747">
        <v>0</v>
      </c>
      <c r="F1747" s="2">
        <v>0</v>
      </c>
      <c r="G1747" s="2">
        <v>1166.9800000000014</v>
      </c>
    </row>
    <row r="1748" spans="1:7" hidden="1" x14ac:dyDescent="0.3">
      <c r="A1748" t="s">
        <v>173</v>
      </c>
      <c r="B1748" t="s">
        <v>174</v>
      </c>
      <c r="C1748" t="s">
        <v>3</v>
      </c>
      <c r="D1748" s="1">
        <v>45900</v>
      </c>
      <c r="E1748">
        <v>0</v>
      </c>
      <c r="F1748" s="2">
        <v>0</v>
      </c>
      <c r="G1748" s="2">
        <v>1166.9800000000014</v>
      </c>
    </row>
    <row r="1749" spans="1:7" hidden="1" x14ac:dyDescent="0.3">
      <c r="A1749" t="s">
        <v>173</v>
      </c>
      <c r="B1749" t="s">
        <v>174</v>
      </c>
      <c r="C1749" t="s">
        <v>3</v>
      </c>
      <c r="D1749" s="1">
        <v>45930</v>
      </c>
      <c r="E1749">
        <v>0</v>
      </c>
      <c r="F1749" s="2">
        <v>0</v>
      </c>
      <c r="G1749" s="2">
        <v>1166.9800000000014</v>
      </c>
    </row>
    <row r="1750" spans="1:7" hidden="1" x14ac:dyDescent="0.3">
      <c r="A1750" t="s">
        <v>173</v>
      </c>
      <c r="B1750" t="s">
        <v>174</v>
      </c>
      <c r="C1750" t="s">
        <v>3</v>
      </c>
      <c r="D1750" s="1">
        <v>45961</v>
      </c>
      <c r="E1750">
        <v>0</v>
      </c>
      <c r="F1750" s="2">
        <v>0</v>
      </c>
      <c r="G1750" s="2">
        <v>1166.9800000000014</v>
      </c>
    </row>
    <row r="1751" spans="1:7" hidden="1" x14ac:dyDescent="0.3">
      <c r="A1751" t="s">
        <v>173</v>
      </c>
      <c r="B1751" t="s">
        <v>174</v>
      </c>
      <c r="C1751" t="s">
        <v>3</v>
      </c>
      <c r="D1751" s="1">
        <v>45991</v>
      </c>
      <c r="E1751">
        <v>0</v>
      </c>
      <c r="F1751" s="2">
        <v>0</v>
      </c>
      <c r="G1751" s="2">
        <v>1166.9800000000014</v>
      </c>
    </row>
    <row r="1752" spans="1:7" hidden="1" x14ac:dyDescent="0.3">
      <c r="A1752" t="s">
        <v>173</v>
      </c>
      <c r="B1752" t="s">
        <v>174</v>
      </c>
      <c r="C1752" t="s">
        <v>3</v>
      </c>
      <c r="D1752" s="1">
        <v>46022</v>
      </c>
      <c r="E1752">
        <v>0</v>
      </c>
      <c r="F1752" s="2">
        <v>0</v>
      </c>
      <c r="G1752" s="2">
        <v>1166.9800000000014</v>
      </c>
    </row>
    <row r="1753" spans="1:7" hidden="1" x14ac:dyDescent="0.3">
      <c r="A1753" t="s">
        <v>151</v>
      </c>
      <c r="B1753" t="s">
        <v>152</v>
      </c>
      <c r="C1753" t="s">
        <v>3</v>
      </c>
      <c r="D1753" s="1">
        <v>45869</v>
      </c>
      <c r="E1753">
        <v>0</v>
      </c>
      <c r="F1753" s="2">
        <v>0</v>
      </c>
      <c r="G1753" s="2">
        <v>1196.0800000000008</v>
      </c>
    </row>
    <row r="1754" spans="1:7" hidden="1" x14ac:dyDescent="0.3">
      <c r="A1754" t="s">
        <v>151</v>
      </c>
      <c r="B1754" t="s">
        <v>152</v>
      </c>
      <c r="C1754" t="s">
        <v>3</v>
      </c>
      <c r="D1754" s="1">
        <v>45900</v>
      </c>
      <c r="E1754">
        <v>0</v>
      </c>
      <c r="F1754" s="2">
        <v>0</v>
      </c>
      <c r="G1754" s="2">
        <v>1196.0800000000008</v>
      </c>
    </row>
    <row r="1755" spans="1:7" hidden="1" x14ac:dyDescent="0.3">
      <c r="A1755" t="s">
        <v>151</v>
      </c>
      <c r="B1755" t="s">
        <v>152</v>
      </c>
      <c r="C1755" t="s">
        <v>3</v>
      </c>
      <c r="D1755" s="1">
        <v>45930</v>
      </c>
      <c r="E1755">
        <v>0</v>
      </c>
      <c r="F1755" s="2">
        <v>0</v>
      </c>
      <c r="G1755" s="2">
        <v>1196.0800000000008</v>
      </c>
    </row>
    <row r="1756" spans="1:7" hidden="1" x14ac:dyDescent="0.3">
      <c r="A1756" t="s">
        <v>151</v>
      </c>
      <c r="B1756" t="s">
        <v>152</v>
      </c>
      <c r="C1756" t="s">
        <v>3</v>
      </c>
      <c r="D1756" s="1">
        <v>45961</v>
      </c>
      <c r="E1756">
        <v>0</v>
      </c>
      <c r="F1756" s="2">
        <v>0</v>
      </c>
      <c r="G1756" s="2">
        <v>1196.0800000000008</v>
      </c>
    </row>
    <row r="1757" spans="1:7" hidden="1" x14ac:dyDescent="0.3">
      <c r="A1757" t="s">
        <v>151</v>
      </c>
      <c r="B1757" t="s">
        <v>152</v>
      </c>
      <c r="C1757" t="s">
        <v>3</v>
      </c>
      <c r="D1757" s="1">
        <v>45991</v>
      </c>
      <c r="E1757">
        <v>0</v>
      </c>
      <c r="F1757" s="2">
        <v>0</v>
      </c>
      <c r="G1757" s="2">
        <v>1196.0800000000008</v>
      </c>
    </row>
    <row r="1758" spans="1:7" hidden="1" x14ac:dyDescent="0.3">
      <c r="A1758" t="s">
        <v>151</v>
      </c>
      <c r="B1758" t="s">
        <v>152</v>
      </c>
      <c r="C1758" t="s">
        <v>3</v>
      </c>
      <c r="D1758" s="1">
        <v>46022</v>
      </c>
      <c r="E1758">
        <v>0</v>
      </c>
      <c r="F1758" s="2">
        <v>0</v>
      </c>
      <c r="G1758" s="2">
        <v>1196.0800000000008</v>
      </c>
    </row>
    <row r="1759" spans="1:7" hidden="1" x14ac:dyDescent="0.3">
      <c r="A1759" t="s">
        <v>235</v>
      </c>
      <c r="B1759" t="s">
        <v>236</v>
      </c>
      <c r="C1759" t="s">
        <v>3</v>
      </c>
      <c r="D1759" s="1">
        <v>45869</v>
      </c>
      <c r="E1759">
        <v>0</v>
      </c>
      <c r="F1759" s="2">
        <v>0</v>
      </c>
      <c r="G1759" s="2">
        <v>2203.0700000000015</v>
      </c>
    </row>
    <row r="1760" spans="1:7" hidden="1" x14ac:dyDescent="0.3">
      <c r="A1760" t="s">
        <v>235</v>
      </c>
      <c r="B1760" t="s">
        <v>236</v>
      </c>
      <c r="C1760" t="s">
        <v>3</v>
      </c>
      <c r="D1760" s="1">
        <v>45900</v>
      </c>
      <c r="E1760">
        <v>0</v>
      </c>
      <c r="F1760" s="2">
        <v>0</v>
      </c>
      <c r="G1760" s="2">
        <v>2203.0700000000015</v>
      </c>
    </row>
    <row r="1761" spans="1:7" hidden="1" x14ac:dyDescent="0.3">
      <c r="A1761" t="s">
        <v>235</v>
      </c>
      <c r="B1761" t="s">
        <v>236</v>
      </c>
      <c r="C1761" t="s">
        <v>3</v>
      </c>
      <c r="D1761" s="1">
        <v>45930</v>
      </c>
      <c r="E1761">
        <v>0</v>
      </c>
      <c r="F1761" s="2">
        <v>0</v>
      </c>
      <c r="G1761" s="2">
        <v>2203.0700000000015</v>
      </c>
    </row>
    <row r="1762" spans="1:7" hidden="1" x14ac:dyDescent="0.3">
      <c r="A1762" t="s">
        <v>235</v>
      </c>
      <c r="B1762" t="s">
        <v>236</v>
      </c>
      <c r="C1762" t="s">
        <v>3</v>
      </c>
      <c r="D1762" s="1">
        <v>45961</v>
      </c>
      <c r="E1762">
        <v>0</v>
      </c>
      <c r="F1762" s="2">
        <v>0</v>
      </c>
      <c r="G1762" s="2">
        <v>2203.0700000000015</v>
      </c>
    </row>
    <row r="1763" spans="1:7" hidden="1" x14ac:dyDescent="0.3">
      <c r="A1763" t="s">
        <v>235</v>
      </c>
      <c r="B1763" t="s">
        <v>236</v>
      </c>
      <c r="C1763" t="s">
        <v>3</v>
      </c>
      <c r="D1763" s="1">
        <v>45991</v>
      </c>
      <c r="E1763">
        <v>0</v>
      </c>
      <c r="F1763" s="2">
        <v>0</v>
      </c>
      <c r="G1763" s="2">
        <v>2203.0700000000015</v>
      </c>
    </row>
    <row r="1764" spans="1:7" hidden="1" x14ac:dyDescent="0.3">
      <c r="A1764" t="s">
        <v>235</v>
      </c>
      <c r="B1764" t="s">
        <v>236</v>
      </c>
      <c r="C1764" t="s">
        <v>3</v>
      </c>
      <c r="D1764" s="1">
        <v>46022</v>
      </c>
      <c r="E1764">
        <v>0</v>
      </c>
      <c r="F1764" s="2">
        <v>0</v>
      </c>
      <c r="G1764" s="2">
        <v>2203.0700000000015</v>
      </c>
    </row>
    <row r="1765" spans="1:7" hidden="1" x14ac:dyDescent="0.3">
      <c r="A1765" t="s">
        <v>171</v>
      </c>
      <c r="B1765" t="s">
        <v>172</v>
      </c>
      <c r="C1765" t="s">
        <v>3</v>
      </c>
      <c r="D1765" s="1">
        <v>45869</v>
      </c>
      <c r="E1765">
        <v>0</v>
      </c>
      <c r="F1765" s="2">
        <v>0</v>
      </c>
      <c r="G1765" s="2">
        <v>1492.88</v>
      </c>
    </row>
    <row r="1766" spans="1:7" hidden="1" x14ac:dyDescent="0.3">
      <c r="A1766" t="s">
        <v>171</v>
      </c>
      <c r="B1766" t="s">
        <v>172</v>
      </c>
      <c r="C1766" t="s">
        <v>3</v>
      </c>
      <c r="D1766" s="1">
        <v>45900</v>
      </c>
      <c r="E1766">
        <v>0</v>
      </c>
      <c r="F1766" s="2">
        <v>0</v>
      </c>
      <c r="G1766" s="2">
        <v>1492.88</v>
      </c>
    </row>
    <row r="1767" spans="1:7" hidden="1" x14ac:dyDescent="0.3">
      <c r="A1767" t="s">
        <v>171</v>
      </c>
      <c r="B1767" t="s">
        <v>172</v>
      </c>
      <c r="C1767" t="s">
        <v>3</v>
      </c>
      <c r="D1767" s="1">
        <v>45930</v>
      </c>
      <c r="E1767">
        <v>0</v>
      </c>
      <c r="F1767" s="2">
        <v>0</v>
      </c>
      <c r="G1767" s="2">
        <v>1492.88</v>
      </c>
    </row>
    <row r="1768" spans="1:7" hidden="1" x14ac:dyDescent="0.3">
      <c r="A1768" t="s">
        <v>171</v>
      </c>
      <c r="B1768" t="s">
        <v>172</v>
      </c>
      <c r="C1768" t="s">
        <v>3</v>
      </c>
      <c r="D1768" s="1">
        <v>45961</v>
      </c>
      <c r="E1768">
        <v>0</v>
      </c>
      <c r="F1768" s="2">
        <v>0</v>
      </c>
      <c r="G1768" s="2">
        <v>1492.88</v>
      </c>
    </row>
    <row r="1769" spans="1:7" hidden="1" x14ac:dyDescent="0.3">
      <c r="A1769" t="s">
        <v>171</v>
      </c>
      <c r="B1769" t="s">
        <v>172</v>
      </c>
      <c r="C1769" t="s">
        <v>3</v>
      </c>
      <c r="D1769" s="1">
        <v>45991</v>
      </c>
      <c r="E1769">
        <v>0</v>
      </c>
      <c r="F1769" s="2">
        <v>0</v>
      </c>
      <c r="G1769" s="2">
        <v>1492.88</v>
      </c>
    </row>
    <row r="1770" spans="1:7" hidden="1" x14ac:dyDescent="0.3">
      <c r="A1770" t="s">
        <v>171</v>
      </c>
      <c r="B1770" t="s">
        <v>172</v>
      </c>
      <c r="C1770" t="s">
        <v>3</v>
      </c>
      <c r="D1770" s="1">
        <v>46022</v>
      </c>
      <c r="E1770">
        <v>0</v>
      </c>
      <c r="F1770" s="2">
        <v>0</v>
      </c>
      <c r="G1770" s="2">
        <v>1492.88</v>
      </c>
    </row>
    <row r="1771" spans="1:7" hidden="1" x14ac:dyDescent="0.3">
      <c r="A1771" t="s">
        <v>165</v>
      </c>
      <c r="B1771" t="s">
        <v>166</v>
      </c>
      <c r="C1771" t="s">
        <v>3</v>
      </c>
      <c r="D1771" s="1">
        <v>45869</v>
      </c>
      <c r="E1771">
        <v>0</v>
      </c>
      <c r="F1771" s="2">
        <v>0</v>
      </c>
      <c r="G1771" s="2">
        <v>1845.8900000000003</v>
      </c>
    </row>
    <row r="1772" spans="1:7" hidden="1" x14ac:dyDescent="0.3">
      <c r="A1772" t="s">
        <v>165</v>
      </c>
      <c r="B1772" t="s">
        <v>166</v>
      </c>
      <c r="C1772" t="s">
        <v>3</v>
      </c>
      <c r="D1772" s="1">
        <v>45900</v>
      </c>
      <c r="E1772">
        <v>0</v>
      </c>
      <c r="F1772" s="2">
        <v>0</v>
      </c>
      <c r="G1772" s="2">
        <v>1845.8900000000003</v>
      </c>
    </row>
    <row r="1773" spans="1:7" hidden="1" x14ac:dyDescent="0.3">
      <c r="A1773" t="s">
        <v>165</v>
      </c>
      <c r="B1773" t="s">
        <v>166</v>
      </c>
      <c r="C1773" t="s">
        <v>3</v>
      </c>
      <c r="D1773" s="1">
        <v>45930</v>
      </c>
      <c r="E1773">
        <v>0</v>
      </c>
      <c r="F1773" s="2">
        <v>0</v>
      </c>
      <c r="G1773" s="2">
        <v>1845.8900000000003</v>
      </c>
    </row>
    <row r="1774" spans="1:7" hidden="1" x14ac:dyDescent="0.3">
      <c r="A1774" t="s">
        <v>165</v>
      </c>
      <c r="B1774" t="s">
        <v>166</v>
      </c>
      <c r="C1774" t="s">
        <v>3</v>
      </c>
      <c r="D1774" s="1">
        <v>45961</v>
      </c>
      <c r="E1774">
        <v>0</v>
      </c>
      <c r="F1774" s="2">
        <v>0</v>
      </c>
      <c r="G1774" s="2">
        <v>1845.8900000000003</v>
      </c>
    </row>
    <row r="1775" spans="1:7" hidden="1" x14ac:dyDescent="0.3">
      <c r="A1775" t="s">
        <v>165</v>
      </c>
      <c r="B1775" t="s">
        <v>166</v>
      </c>
      <c r="C1775" t="s">
        <v>3</v>
      </c>
      <c r="D1775" s="1">
        <v>45991</v>
      </c>
      <c r="E1775">
        <v>0</v>
      </c>
      <c r="F1775" s="2">
        <v>0</v>
      </c>
      <c r="G1775" s="2">
        <v>1845.8900000000003</v>
      </c>
    </row>
    <row r="1776" spans="1:7" hidden="1" x14ac:dyDescent="0.3">
      <c r="A1776" t="s">
        <v>165</v>
      </c>
      <c r="B1776" t="s">
        <v>166</v>
      </c>
      <c r="C1776" t="s">
        <v>3</v>
      </c>
      <c r="D1776" s="1">
        <v>46022</v>
      </c>
      <c r="E1776">
        <v>0</v>
      </c>
      <c r="F1776" s="2">
        <v>0</v>
      </c>
      <c r="G1776" s="2">
        <v>1845.8900000000003</v>
      </c>
    </row>
    <row r="1777" spans="1:7" hidden="1" x14ac:dyDescent="0.3">
      <c r="A1777" t="s">
        <v>403</v>
      </c>
      <c r="B1777" t="s">
        <v>404</v>
      </c>
      <c r="C1777" t="s">
        <v>3</v>
      </c>
      <c r="D1777" s="1">
        <v>45688</v>
      </c>
      <c r="E1777">
        <v>0</v>
      </c>
      <c r="F1777" s="2">
        <v>0</v>
      </c>
      <c r="G1777" s="2">
        <v>0</v>
      </c>
    </row>
    <row r="1778" spans="1:7" hidden="1" x14ac:dyDescent="0.3">
      <c r="A1778" t="s">
        <v>403</v>
      </c>
      <c r="B1778" t="s">
        <v>404</v>
      </c>
      <c r="C1778" t="s">
        <v>3</v>
      </c>
      <c r="D1778" s="1">
        <v>45716</v>
      </c>
      <c r="E1778">
        <v>0</v>
      </c>
      <c r="F1778" s="2">
        <v>0</v>
      </c>
      <c r="G1778" s="2">
        <v>0</v>
      </c>
    </row>
    <row r="1779" spans="1:7" hidden="1" x14ac:dyDescent="0.3">
      <c r="A1779" t="s">
        <v>403</v>
      </c>
      <c r="B1779" t="s">
        <v>404</v>
      </c>
      <c r="C1779" t="s">
        <v>3</v>
      </c>
      <c r="D1779" s="1">
        <v>45747</v>
      </c>
      <c r="E1779">
        <v>0</v>
      </c>
      <c r="F1779" s="2">
        <v>0</v>
      </c>
      <c r="G1779" s="2">
        <v>0</v>
      </c>
    </row>
    <row r="1780" spans="1:7" hidden="1" x14ac:dyDescent="0.3">
      <c r="A1780" t="s">
        <v>403</v>
      </c>
      <c r="B1780" t="s">
        <v>404</v>
      </c>
      <c r="C1780" t="s">
        <v>3</v>
      </c>
      <c r="D1780" s="1">
        <v>45869</v>
      </c>
      <c r="E1780">
        <v>0</v>
      </c>
      <c r="F1780" s="2">
        <v>0</v>
      </c>
      <c r="G1780" s="2">
        <v>0</v>
      </c>
    </row>
    <row r="1781" spans="1:7" hidden="1" x14ac:dyDescent="0.3">
      <c r="A1781" t="s">
        <v>403</v>
      </c>
      <c r="B1781" t="s">
        <v>404</v>
      </c>
      <c r="C1781" t="s">
        <v>3</v>
      </c>
      <c r="D1781" s="1">
        <v>45900</v>
      </c>
      <c r="E1781">
        <v>0</v>
      </c>
      <c r="F1781" s="2">
        <v>0</v>
      </c>
      <c r="G1781" s="2">
        <v>0</v>
      </c>
    </row>
    <row r="1782" spans="1:7" hidden="1" x14ac:dyDescent="0.3">
      <c r="A1782" t="s">
        <v>403</v>
      </c>
      <c r="B1782" t="s">
        <v>404</v>
      </c>
      <c r="C1782" t="s">
        <v>3</v>
      </c>
      <c r="D1782" s="1">
        <v>45930</v>
      </c>
      <c r="E1782">
        <v>0</v>
      </c>
      <c r="F1782" s="2">
        <v>0</v>
      </c>
      <c r="G1782" s="2">
        <v>0</v>
      </c>
    </row>
    <row r="1783" spans="1:7" hidden="1" x14ac:dyDescent="0.3">
      <c r="A1783" t="s">
        <v>403</v>
      </c>
      <c r="B1783" t="s">
        <v>404</v>
      </c>
      <c r="C1783" t="s">
        <v>3</v>
      </c>
      <c r="D1783" s="1">
        <v>45961</v>
      </c>
      <c r="E1783">
        <v>0</v>
      </c>
      <c r="F1783" s="2">
        <v>0</v>
      </c>
      <c r="G1783" s="2">
        <v>0</v>
      </c>
    </row>
    <row r="1784" spans="1:7" hidden="1" x14ac:dyDescent="0.3">
      <c r="A1784" t="s">
        <v>403</v>
      </c>
      <c r="B1784" t="s">
        <v>404</v>
      </c>
      <c r="C1784" t="s">
        <v>3</v>
      </c>
      <c r="D1784" s="1">
        <v>45991</v>
      </c>
      <c r="E1784">
        <v>0</v>
      </c>
      <c r="F1784" s="2">
        <v>0</v>
      </c>
      <c r="G1784" s="2">
        <v>0</v>
      </c>
    </row>
    <row r="1785" spans="1:7" hidden="1" x14ac:dyDescent="0.3">
      <c r="A1785" t="s">
        <v>403</v>
      </c>
      <c r="B1785" t="s">
        <v>404</v>
      </c>
      <c r="C1785" t="s">
        <v>3</v>
      </c>
      <c r="D1785" s="1">
        <v>46022</v>
      </c>
      <c r="E1785">
        <v>0</v>
      </c>
      <c r="F1785" s="2">
        <v>0</v>
      </c>
      <c r="G1785" s="2">
        <v>0</v>
      </c>
    </row>
    <row r="1786" spans="1:7" hidden="1" x14ac:dyDescent="0.3">
      <c r="A1786" t="s">
        <v>225</v>
      </c>
      <c r="B1786" t="s">
        <v>226</v>
      </c>
      <c r="C1786" t="s">
        <v>3</v>
      </c>
      <c r="D1786" s="1">
        <v>45869</v>
      </c>
      <c r="E1786">
        <v>0</v>
      </c>
      <c r="F1786" s="2">
        <v>0</v>
      </c>
      <c r="G1786" s="2">
        <v>1436.670000000001</v>
      </c>
    </row>
    <row r="1787" spans="1:7" hidden="1" x14ac:dyDescent="0.3">
      <c r="A1787" t="s">
        <v>225</v>
      </c>
      <c r="B1787" t="s">
        <v>226</v>
      </c>
      <c r="C1787" t="s">
        <v>3</v>
      </c>
      <c r="D1787" s="1">
        <v>45900</v>
      </c>
      <c r="E1787">
        <v>0</v>
      </c>
      <c r="F1787" s="2">
        <v>0</v>
      </c>
      <c r="G1787" s="2">
        <v>1436.670000000001</v>
      </c>
    </row>
    <row r="1788" spans="1:7" hidden="1" x14ac:dyDescent="0.3">
      <c r="A1788" t="s">
        <v>225</v>
      </c>
      <c r="B1788" t="s">
        <v>226</v>
      </c>
      <c r="C1788" t="s">
        <v>3</v>
      </c>
      <c r="D1788" s="1">
        <v>45930</v>
      </c>
      <c r="E1788">
        <v>0</v>
      </c>
      <c r="F1788" s="2">
        <v>0</v>
      </c>
      <c r="G1788" s="2">
        <v>1436.670000000001</v>
      </c>
    </row>
    <row r="1789" spans="1:7" hidden="1" x14ac:dyDescent="0.3">
      <c r="A1789" t="s">
        <v>225</v>
      </c>
      <c r="B1789" t="s">
        <v>226</v>
      </c>
      <c r="C1789" t="s">
        <v>3</v>
      </c>
      <c r="D1789" s="1">
        <v>45961</v>
      </c>
      <c r="E1789">
        <v>0</v>
      </c>
      <c r="F1789" s="2">
        <v>0</v>
      </c>
      <c r="G1789" s="2">
        <v>1436.670000000001</v>
      </c>
    </row>
    <row r="1790" spans="1:7" hidden="1" x14ac:dyDescent="0.3">
      <c r="A1790" t="s">
        <v>225</v>
      </c>
      <c r="B1790" t="s">
        <v>226</v>
      </c>
      <c r="C1790" t="s">
        <v>3</v>
      </c>
      <c r="D1790" s="1">
        <v>45991</v>
      </c>
      <c r="E1790">
        <v>0</v>
      </c>
      <c r="F1790" s="2">
        <v>0</v>
      </c>
      <c r="G1790" s="2">
        <v>1436.670000000001</v>
      </c>
    </row>
    <row r="1791" spans="1:7" hidden="1" x14ac:dyDescent="0.3">
      <c r="A1791" t="s">
        <v>225</v>
      </c>
      <c r="B1791" t="s">
        <v>226</v>
      </c>
      <c r="C1791" t="s">
        <v>3</v>
      </c>
      <c r="D1791" s="1">
        <v>46022</v>
      </c>
      <c r="E1791">
        <v>0</v>
      </c>
      <c r="F1791" s="2">
        <v>0</v>
      </c>
      <c r="G1791" s="2">
        <v>1436.670000000001</v>
      </c>
    </row>
    <row r="1792" spans="1:7" hidden="1" x14ac:dyDescent="0.3">
      <c r="A1792" t="s">
        <v>317</v>
      </c>
      <c r="B1792" t="s">
        <v>318</v>
      </c>
      <c r="C1792" t="s">
        <v>3</v>
      </c>
      <c r="D1792" s="1">
        <v>45747</v>
      </c>
      <c r="E1792">
        <v>0</v>
      </c>
      <c r="F1792" s="2">
        <v>0</v>
      </c>
      <c r="G1792" s="2">
        <v>0</v>
      </c>
    </row>
    <row r="1793" spans="1:7" hidden="1" x14ac:dyDescent="0.3">
      <c r="A1793" t="s">
        <v>317</v>
      </c>
      <c r="B1793" t="s">
        <v>318</v>
      </c>
      <c r="C1793" t="s">
        <v>3</v>
      </c>
      <c r="D1793" s="1">
        <v>45777</v>
      </c>
      <c r="E1793">
        <v>0</v>
      </c>
      <c r="F1793" s="2">
        <v>0</v>
      </c>
      <c r="G1793" s="2">
        <v>0</v>
      </c>
    </row>
    <row r="1794" spans="1:7" hidden="1" x14ac:dyDescent="0.3">
      <c r="A1794" t="s">
        <v>317</v>
      </c>
      <c r="B1794" t="s">
        <v>318</v>
      </c>
      <c r="C1794" t="s">
        <v>3</v>
      </c>
      <c r="D1794" s="1">
        <v>45838</v>
      </c>
      <c r="E1794">
        <v>0</v>
      </c>
      <c r="F1794" s="2">
        <v>0</v>
      </c>
      <c r="G1794" s="2">
        <v>0</v>
      </c>
    </row>
    <row r="1795" spans="1:7" hidden="1" x14ac:dyDescent="0.3">
      <c r="A1795" t="s">
        <v>317</v>
      </c>
      <c r="B1795" t="s">
        <v>318</v>
      </c>
      <c r="C1795" t="s">
        <v>3</v>
      </c>
      <c r="D1795" s="1">
        <v>45869</v>
      </c>
      <c r="E1795">
        <v>0</v>
      </c>
      <c r="F1795" s="2">
        <v>0</v>
      </c>
      <c r="G1795" s="2">
        <v>0</v>
      </c>
    </row>
    <row r="1796" spans="1:7" hidden="1" x14ac:dyDescent="0.3">
      <c r="A1796" t="s">
        <v>317</v>
      </c>
      <c r="B1796" t="s">
        <v>318</v>
      </c>
      <c r="C1796" t="s">
        <v>3</v>
      </c>
      <c r="D1796" s="1">
        <v>45900</v>
      </c>
      <c r="E1796">
        <v>0</v>
      </c>
      <c r="F1796" s="2">
        <v>0</v>
      </c>
      <c r="G1796" s="2">
        <v>0</v>
      </c>
    </row>
    <row r="1797" spans="1:7" hidden="1" x14ac:dyDescent="0.3">
      <c r="A1797" t="s">
        <v>317</v>
      </c>
      <c r="B1797" t="s">
        <v>318</v>
      </c>
      <c r="C1797" t="s">
        <v>3</v>
      </c>
      <c r="D1797" s="1">
        <v>45930</v>
      </c>
      <c r="E1797">
        <v>0</v>
      </c>
      <c r="F1797" s="2">
        <v>0</v>
      </c>
      <c r="G1797" s="2">
        <v>0</v>
      </c>
    </row>
    <row r="1798" spans="1:7" hidden="1" x14ac:dyDescent="0.3">
      <c r="A1798" t="s">
        <v>317</v>
      </c>
      <c r="B1798" t="s">
        <v>318</v>
      </c>
      <c r="C1798" t="s">
        <v>3</v>
      </c>
      <c r="D1798" s="1">
        <v>45961</v>
      </c>
      <c r="E1798">
        <v>0</v>
      </c>
      <c r="F1798" s="2">
        <v>0</v>
      </c>
      <c r="G1798" s="2">
        <v>0</v>
      </c>
    </row>
    <row r="1799" spans="1:7" hidden="1" x14ac:dyDescent="0.3">
      <c r="A1799" t="s">
        <v>317</v>
      </c>
      <c r="B1799" t="s">
        <v>318</v>
      </c>
      <c r="C1799" t="s">
        <v>3</v>
      </c>
      <c r="D1799" s="1">
        <v>45991</v>
      </c>
      <c r="E1799">
        <v>0</v>
      </c>
      <c r="F1799" s="2">
        <v>0</v>
      </c>
      <c r="G1799" s="2">
        <v>0</v>
      </c>
    </row>
    <row r="1800" spans="1:7" hidden="1" x14ac:dyDescent="0.3">
      <c r="A1800" t="s">
        <v>317</v>
      </c>
      <c r="B1800" t="s">
        <v>318</v>
      </c>
      <c r="C1800" t="s">
        <v>3</v>
      </c>
      <c r="D1800" s="1">
        <v>46022</v>
      </c>
      <c r="E1800">
        <v>0</v>
      </c>
      <c r="F1800" s="2">
        <v>0</v>
      </c>
      <c r="G1800" s="2">
        <v>0</v>
      </c>
    </row>
    <row r="1801" spans="1:7" hidden="1" x14ac:dyDescent="0.3">
      <c r="A1801" t="s">
        <v>283</v>
      </c>
      <c r="B1801" t="s">
        <v>284</v>
      </c>
      <c r="C1801" t="s">
        <v>3</v>
      </c>
      <c r="D1801" s="1">
        <v>45869</v>
      </c>
      <c r="E1801">
        <v>0</v>
      </c>
      <c r="F1801" s="2">
        <v>0</v>
      </c>
      <c r="G1801" s="2">
        <v>1141.2400000000007</v>
      </c>
    </row>
    <row r="1802" spans="1:7" hidden="1" x14ac:dyDescent="0.3">
      <c r="A1802" t="s">
        <v>283</v>
      </c>
      <c r="B1802" t="s">
        <v>284</v>
      </c>
      <c r="C1802" t="s">
        <v>3</v>
      </c>
      <c r="D1802" s="1">
        <v>45900</v>
      </c>
      <c r="E1802">
        <v>0</v>
      </c>
      <c r="F1802" s="2">
        <v>0</v>
      </c>
      <c r="G1802" s="2">
        <v>1141.2400000000007</v>
      </c>
    </row>
    <row r="1803" spans="1:7" hidden="1" x14ac:dyDescent="0.3">
      <c r="A1803" t="s">
        <v>283</v>
      </c>
      <c r="B1803" t="s">
        <v>284</v>
      </c>
      <c r="C1803" t="s">
        <v>3</v>
      </c>
      <c r="D1803" s="1">
        <v>45930</v>
      </c>
      <c r="E1803">
        <v>0</v>
      </c>
      <c r="F1803" s="2">
        <v>0</v>
      </c>
      <c r="G1803" s="2">
        <v>1141.2400000000007</v>
      </c>
    </row>
    <row r="1804" spans="1:7" hidden="1" x14ac:dyDescent="0.3">
      <c r="A1804" t="s">
        <v>283</v>
      </c>
      <c r="B1804" t="s">
        <v>284</v>
      </c>
      <c r="C1804" t="s">
        <v>3</v>
      </c>
      <c r="D1804" s="1">
        <v>45961</v>
      </c>
      <c r="E1804">
        <v>0</v>
      </c>
      <c r="F1804" s="2">
        <v>0</v>
      </c>
      <c r="G1804" s="2">
        <v>1141.2400000000007</v>
      </c>
    </row>
    <row r="1805" spans="1:7" hidden="1" x14ac:dyDescent="0.3">
      <c r="A1805" t="s">
        <v>283</v>
      </c>
      <c r="B1805" t="s">
        <v>284</v>
      </c>
      <c r="C1805" t="s">
        <v>3</v>
      </c>
      <c r="D1805" s="1">
        <v>45991</v>
      </c>
      <c r="E1805">
        <v>0</v>
      </c>
      <c r="F1805" s="2">
        <v>0</v>
      </c>
      <c r="G1805" s="2">
        <v>1141.2400000000007</v>
      </c>
    </row>
    <row r="1806" spans="1:7" hidden="1" x14ac:dyDescent="0.3">
      <c r="A1806" t="s">
        <v>283</v>
      </c>
      <c r="B1806" t="s">
        <v>284</v>
      </c>
      <c r="C1806" t="s">
        <v>3</v>
      </c>
      <c r="D1806" s="1">
        <v>46022</v>
      </c>
      <c r="E1806">
        <v>0</v>
      </c>
      <c r="F1806" s="2">
        <v>0</v>
      </c>
      <c r="G1806" s="2">
        <v>1141.2400000000007</v>
      </c>
    </row>
    <row r="1807" spans="1:7" hidden="1" x14ac:dyDescent="0.3">
      <c r="A1807" t="s">
        <v>357</v>
      </c>
      <c r="B1807" t="s">
        <v>358</v>
      </c>
      <c r="C1807" t="s">
        <v>3</v>
      </c>
      <c r="D1807" s="1">
        <v>45777</v>
      </c>
      <c r="E1807">
        <v>0</v>
      </c>
      <c r="F1807" s="2">
        <v>0</v>
      </c>
      <c r="G1807" s="2">
        <v>0</v>
      </c>
    </row>
    <row r="1808" spans="1:7" hidden="1" x14ac:dyDescent="0.3">
      <c r="A1808" t="s">
        <v>357</v>
      </c>
      <c r="B1808" t="s">
        <v>358</v>
      </c>
      <c r="C1808" t="s">
        <v>3</v>
      </c>
      <c r="D1808" s="1">
        <v>45838</v>
      </c>
      <c r="E1808">
        <v>0</v>
      </c>
      <c r="F1808" s="2">
        <v>0</v>
      </c>
      <c r="G1808" s="2">
        <v>0</v>
      </c>
    </row>
    <row r="1809" spans="1:7" hidden="1" x14ac:dyDescent="0.3">
      <c r="A1809" t="s">
        <v>357</v>
      </c>
      <c r="B1809" t="s">
        <v>358</v>
      </c>
      <c r="C1809" t="s">
        <v>3</v>
      </c>
      <c r="D1809" s="1">
        <v>45869</v>
      </c>
      <c r="E1809">
        <v>0</v>
      </c>
      <c r="F1809" s="2">
        <v>0</v>
      </c>
      <c r="G1809" s="2">
        <v>0</v>
      </c>
    </row>
    <row r="1810" spans="1:7" hidden="1" x14ac:dyDescent="0.3">
      <c r="A1810" t="s">
        <v>357</v>
      </c>
      <c r="B1810" t="s">
        <v>358</v>
      </c>
      <c r="C1810" t="s">
        <v>3</v>
      </c>
      <c r="D1810" s="1">
        <v>45900</v>
      </c>
      <c r="E1810">
        <v>0</v>
      </c>
      <c r="F1810" s="2">
        <v>0</v>
      </c>
      <c r="G1810" s="2">
        <v>0</v>
      </c>
    </row>
    <row r="1811" spans="1:7" hidden="1" x14ac:dyDescent="0.3">
      <c r="A1811" t="s">
        <v>357</v>
      </c>
      <c r="B1811" t="s">
        <v>358</v>
      </c>
      <c r="C1811" t="s">
        <v>3</v>
      </c>
      <c r="D1811" s="1">
        <v>45930</v>
      </c>
      <c r="E1811">
        <v>0</v>
      </c>
      <c r="F1811" s="2">
        <v>0</v>
      </c>
      <c r="G1811" s="2">
        <v>0</v>
      </c>
    </row>
    <row r="1812" spans="1:7" hidden="1" x14ac:dyDescent="0.3">
      <c r="A1812" t="s">
        <v>357</v>
      </c>
      <c r="B1812" t="s">
        <v>358</v>
      </c>
      <c r="C1812" t="s">
        <v>3</v>
      </c>
      <c r="D1812" s="1">
        <v>45961</v>
      </c>
      <c r="E1812">
        <v>0</v>
      </c>
      <c r="F1812" s="2">
        <v>0</v>
      </c>
      <c r="G1812" s="2">
        <v>0</v>
      </c>
    </row>
    <row r="1813" spans="1:7" hidden="1" x14ac:dyDescent="0.3">
      <c r="A1813" t="s">
        <v>357</v>
      </c>
      <c r="B1813" t="s">
        <v>358</v>
      </c>
      <c r="C1813" t="s">
        <v>3</v>
      </c>
      <c r="D1813" s="1">
        <v>45991</v>
      </c>
      <c r="E1813">
        <v>0</v>
      </c>
      <c r="F1813" s="2">
        <v>0</v>
      </c>
      <c r="G1813" s="2">
        <v>0</v>
      </c>
    </row>
    <row r="1814" spans="1:7" hidden="1" x14ac:dyDescent="0.3">
      <c r="A1814" t="s">
        <v>357</v>
      </c>
      <c r="B1814" t="s">
        <v>358</v>
      </c>
      <c r="C1814" t="s">
        <v>3</v>
      </c>
      <c r="D1814" s="1">
        <v>46022</v>
      </c>
      <c r="E1814">
        <v>0</v>
      </c>
      <c r="F1814" s="2">
        <v>0</v>
      </c>
      <c r="G1814" s="2">
        <v>0</v>
      </c>
    </row>
    <row r="1815" spans="1:7" hidden="1" x14ac:dyDescent="0.3">
      <c r="A1815" t="s">
        <v>103</v>
      </c>
      <c r="B1815" t="s">
        <v>104</v>
      </c>
      <c r="C1815" t="s">
        <v>3</v>
      </c>
      <c r="D1815" s="1">
        <v>45688</v>
      </c>
      <c r="E1815">
        <v>0</v>
      </c>
      <c r="F1815" s="2">
        <v>0</v>
      </c>
      <c r="G1815" s="2">
        <v>621.26000000000022</v>
      </c>
    </row>
    <row r="1816" spans="1:7" hidden="1" x14ac:dyDescent="0.3">
      <c r="A1816" t="s">
        <v>103</v>
      </c>
      <c r="B1816" t="s">
        <v>104</v>
      </c>
      <c r="C1816" t="s">
        <v>3</v>
      </c>
      <c r="D1816" s="1">
        <v>45716</v>
      </c>
      <c r="E1816">
        <v>0</v>
      </c>
      <c r="F1816" s="2">
        <v>0</v>
      </c>
      <c r="G1816" s="2">
        <v>1114.6100000000001</v>
      </c>
    </row>
    <row r="1817" spans="1:7" hidden="1" x14ac:dyDescent="0.3">
      <c r="A1817" t="s">
        <v>103</v>
      </c>
      <c r="B1817" t="s">
        <v>104</v>
      </c>
      <c r="C1817" t="s">
        <v>3</v>
      </c>
      <c r="D1817" s="1">
        <v>45747</v>
      </c>
      <c r="E1817">
        <v>0</v>
      </c>
      <c r="F1817" s="2">
        <v>0</v>
      </c>
      <c r="G1817" s="2">
        <v>1074.6199999999994</v>
      </c>
    </row>
    <row r="1818" spans="1:7" hidden="1" x14ac:dyDescent="0.3">
      <c r="A1818" t="s">
        <v>103</v>
      </c>
      <c r="B1818" t="s">
        <v>104</v>
      </c>
      <c r="C1818" t="s">
        <v>3</v>
      </c>
      <c r="D1818" s="1">
        <v>45777</v>
      </c>
      <c r="E1818">
        <v>0</v>
      </c>
      <c r="F1818" s="2">
        <v>0</v>
      </c>
      <c r="G1818" s="2">
        <v>1070.5300000000007</v>
      </c>
    </row>
    <row r="1819" spans="1:7" hidden="1" x14ac:dyDescent="0.3">
      <c r="A1819" t="s">
        <v>103</v>
      </c>
      <c r="B1819" t="s">
        <v>104</v>
      </c>
      <c r="C1819" t="s">
        <v>3</v>
      </c>
      <c r="D1819" s="1">
        <v>45869</v>
      </c>
      <c r="E1819">
        <v>0</v>
      </c>
      <c r="F1819" s="2">
        <v>0</v>
      </c>
      <c r="G1819" s="2">
        <v>1081</v>
      </c>
    </row>
    <row r="1820" spans="1:7" hidden="1" x14ac:dyDescent="0.3">
      <c r="A1820" t="s">
        <v>103</v>
      </c>
      <c r="B1820" t="s">
        <v>104</v>
      </c>
      <c r="C1820" t="s">
        <v>3</v>
      </c>
      <c r="D1820" s="1">
        <v>45900</v>
      </c>
      <c r="E1820">
        <v>0</v>
      </c>
      <c r="F1820" s="2">
        <v>0</v>
      </c>
      <c r="G1820" s="2">
        <v>1081</v>
      </c>
    </row>
    <row r="1821" spans="1:7" hidden="1" x14ac:dyDescent="0.3">
      <c r="A1821" t="s">
        <v>103</v>
      </c>
      <c r="B1821" t="s">
        <v>104</v>
      </c>
      <c r="C1821" t="s">
        <v>3</v>
      </c>
      <c r="D1821" s="1">
        <v>45930</v>
      </c>
      <c r="E1821">
        <v>0</v>
      </c>
      <c r="F1821" s="2">
        <v>0</v>
      </c>
      <c r="G1821" s="2">
        <v>1081</v>
      </c>
    </row>
    <row r="1822" spans="1:7" hidden="1" x14ac:dyDescent="0.3">
      <c r="A1822" t="s">
        <v>103</v>
      </c>
      <c r="B1822" t="s">
        <v>104</v>
      </c>
      <c r="C1822" t="s">
        <v>3</v>
      </c>
      <c r="D1822" s="1">
        <v>45961</v>
      </c>
      <c r="E1822">
        <v>0</v>
      </c>
      <c r="F1822" s="2">
        <v>0</v>
      </c>
      <c r="G1822" s="2">
        <v>1081</v>
      </c>
    </row>
    <row r="1823" spans="1:7" hidden="1" x14ac:dyDescent="0.3">
      <c r="A1823" t="s">
        <v>103</v>
      </c>
      <c r="B1823" t="s">
        <v>104</v>
      </c>
      <c r="C1823" t="s">
        <v>3</v>
      </c>
      <c r="D1823" s="1">
        <v>45991</v>
      </c>
      <c r="E1823">
        <v>0</v>
      </c>
      <c r="F1823" s="2">
        <v>0</v>
      </c>
      <c r="G1823" s="2">
        <v>1081</v>
      </c>
    </row>
    <row r="1824" spans="1:7" hidden="1" x14ac:dyDescent="0.3">
      <c r="A1824" t="s">
        <v>103</v>
      </c>
      <c r="B1824" t="s">
        <v>104</v>
      </c>
      <c r="C1824" t="s">
        <v>3</v>
      </c>
      <c r="D1824" s="1">
        <v>46022</v>
      </c>
      <c r="E1824">
        <v>0</v>
      </c>
      <c r="F1824" s="2">
        <v>0</v>
      </c>
      <c r="G1824" s="2">
        <v>1081</v>
      </c>
    </row>
    <row r="1825" spans="1:7" hidden="1" x14ac:dyDescent="0.3">
      <c r="A1825" t="s">
        <v>45</v>
      </c>
      <c r="B1825" t="s">
        <v>46</v>
      </c>
      <c r="C1825" t="s">
        <v>3</v>
      </c>
      <c r="D1825" s="1">
        <v>45869</v>
      </c>
      <c r="E1825">
        <v>0</v>
      </c>
      <c r="F1825" s="2">
        <v>0</v>
      </c>
      <c r="G1825" s="2">
        <v>2798.5099999999966</v>
      </c>
    </row>
    <row r="1826" spans="1:7" hidden="1" x14ac:dyDescent="0.3">
      <c r="A1826" t="s">
        <v>45</v>
      </c>
      <c r="B1826" t="s">
        <v>46</v>
      </c>
      <c r="C1826" t="s">
        <v>3</v>
      </c>
      <c r="D1826" s="1">
        <v>45900</v>
      </c>
      <c r="E1826">
        <v>0</v>
      </c>
      <c r="F1826" s="2">
        <v>0</v>
      </c>
      <c r="G1826" s="2">
        <v>2798.5099999999966</v>
      </c>
    </row>
    <row r="1827" spans="1:7" hidden="1" x14ac:dyDescent="0.3">
      <c r="A1827" t="s">
        <v>45</v>
      </c>
      <c r="B1827" t="s">
        <v>46</v>
      </c>
      <c r="C1827" t="s">
        <v>3</v>
      </c>
      <c r="D1827" s="1">
        <v>45930</v>
      </c>
      <c r="E1827">
        <v>0</v>
      </c>
      <c r="F1827" s="2">
        <v>0</v>
      </c>
      <c r="G1827" s="2">
        <v>2798.5099999999966</v>
      </c>
    </row>
    <row r="1828" spans="1:7" hidden="1" x14ac:dyDescent="0.3">
      <c r="A1828" t="s">
        <v>45</v>
      </c>
      <c r="B1828" t="s">
        <v>46</v>
      </c>
      <c r="C1828" t="s">
        <v>3</v>
      </c>
      <c r="D1828" s="1">
        <v>45961</v>
      </c>
      <c r="E1828">
        <v>0</v>
      </c>
      <c r="F1828" s="2">
        <v>0</v>
      </c>
      <c r="G1828" s="2">
        <v>2798.5099999999966</v>
      </c>
    </row>
    <row r="1829" spans="1:7" hidden="1" x14ac:dyDescent="0.3">
      <c r="A1829" t="s">
        <v>45</v>
      </c>
      <c r="B1829" t="s">
        <v>46</v>
      </c>
      <c r="C1829" t="s">
        <v>3</v>
      </c>
      <c r="D1829" s="1">
        <v>45991</v>
      </c>
      <c r="E1829">
        <v>0</v>
      </c>
      <c r="F1829" s="2">
        <v>0</v>
      </c>
      <c r="G1829" s="2">
        <v>2798.5099999999966</v>
      </c>
    </row>
    <row r="1830" spans="1:7" hidden="1" x14ac:dyDescent="0.3">
      <c r="A1830" t="s">
        <v>45</v>
      </c>
      <c r="B1830" t="s">
        <v>46</v>
      </c>
      <c r="C1830" t="s">
        <v>3</v>
      </c>
      <c r="D1830" s="1">
        <v>46022</v>
      </c>
      <c r="E1830">
        <v>0</v>
      </c>
      <c r="F1830" s="2">
        <v>0</v>
      </c>
      <c r="G1830" s="2">
        <v>2798.5099999999966</v>
      </c>
    </row>
    <row r="1831" spans="1:7" hidden="1" x14ac:dyDescent="0.3">
      <c r="A1831" t="s">
        <v>61</v>
      </c>
      <c r="B1831" t="s">
        <v>62</v>
      </c>
      <c r="C1831" t="s">
        <v>3</v>
      </c>
      <c r="D1831" s="1">
        <v>45869</v>
      </c>
      <c r="E1831">
        <v>0</v>
      </c>
      <c r="F1831" s="2">
        <v>0</v>
      </c>
      <c r="G1831" s="2">
        <v>1840.369999999999</v>
      </c>
    </row>
    <row r="1832" spans="1:7" hidden="1" x14ac:dyDescent="0.3">
      <c r="A1832" t="s">
        <v>61</v>
      </c>
      <c r="B1832" t="s">
        <v>62</v>
      </c>
      <c r="C1832" t="s">
        <v>3</v>
      </c>
      <c r="D1832" s="1">
        <v>45900</v>
      </c>
      <c r="E1832">
        <v>0</v>
      </c>
      <c r="F1832" s="2">
        <v>0</v>
      </c>
      <c r="G1832" s="2">
        <v>1840.369999999999</v>
      </c>
    </row>
    <row r="1833" spans="1:7" hidden="1" x14ac:dyDescent="0.3">
      <c r="A1833" t="s">
        <v>61</v>
      </c>
      <c r="B1833" t="s">
        <v>62</v>
      </c>
      <c r="C1833" t="s">
        <v>3</v>
      </c>
      <c r="D1833" s="1">
        <v>45930</v>
      </c>
      <c r="E1833">
        <v>0</v>
      </c>
      <c r="F1833" s="2">
        <v>0</v>
      </c>
      <c r="G1833" s="2">
        <v>1840.369999999999</v>
      </c>
    </row>
    <row r="1834" spans="1:7" hidden="1" x14ac:dyDescent="0.3">
      <c r="A1834" t="s">
        <v>61</v>
      </c>
      <c r="B1834" t="s">
        <v>62</v>
      </c>
      <c r="C1834" t="s">
        <v>3</v>
      </c>
      <c r="D1834" s="1">
        <v>45961</v>
      </c>
      <c r="E1834">
        <v>0</v>
      </c>
      <c r="F1834" s="2">
        <v>0</v>
      </c>
      <c r="G1834" s="2">
        <v>1840.369999999999</v>
      </c>
    </row>
    <row r="1835" spans="1:7" hidden="1" x14ac:dyDescent="0.3">
      <c r="A1835" t="s">
        <v>61</v>
      </c>
      <c r="B1835" t="s">
        <v>62</v>
      </c>
      <c r="C1835" t="s">
        <v>3</v>
      </c>
      <c r="D1835" s="1">
        <v>45991</v>
      </c>
      <c r="E1835">
        <v>0</v>
      </c>
      <c r="F1835" s="2">
        <v>0</v>
      </c>
      <c r="G1835" s="2">
        <v>1840.369999999999</v>
      </c>
    </row>
    <row r="1836" spans="1:7" hidden="1" x14ac:dyDescent="0.3">
      <c r="A1836" t="s">
        <v>61</v>
      </c>
      <c r="B1836" t="s">
        <v>62</v>
      </c>
      <c r="C1836" t="s">
        <v>3</v>
      </c>
      <c r="D1836" s="1">
        <v>46022</v>
      </c>
      <c r="E1836">
        <v>0</v>
      </c>
      <c r="F1836" s="2">
        <v>0</v>
      </c>
      <c r="G1836" s="2">
        <v>1840.369999999999</v>
      </c>
    </row>
    <row r="1837" spans="1:7" hidden="1" x14ac:dyDescent="0.3">
      <c r="A1837" t="s">
        <v>113</v>
      </c>
      <c r="B1837" t="s">
        <v>114</v>
      </c>
      <c r="C1837" t="s">
        <v>3</v>
      </c>
      <c r="D1837" s="1">
        <v>45869</v>
      </c>
      <c r="E1837">
        <v>0</v>
      </c>
      <c r="F1837" s="2">
        <v>0</v>
      </c>
      <c r="G1837" s="2">
        <v>1322.1200000000008</v>
      </c>
    </row>
    <row r="1838" spans="1:7" hidden="1" x14ac:dyDescent="0.3">
      <c r="A1838" t="s">
        <v>113</v>
      </c>
      <c r="B1838" t="s">
        <v>114</v>
      </c>
      <c r="C1838" t="s">
        <v>3</v>
      </c>
      <c r="D1838" s="1">
        <v>45900</v>
      </c>
      <c r="E1838">
        <v>0</v>
      </c>
      <c r="F1838" s="2">
        <v>0</v>
      </c>
      <c r="G1838" s="2">
        <v>1322.1200000000008</v>
      </c>
    </row>
    <row r="1839" spans="1:7" hidden="1" x14ac:dyDescent="0.3">
      <c r="A1839" t="s">
        <v>113</v>
      </c>
      <c r="B1839" t="s">
        <v>114</v>
      </c>
      <c r="C1839" t="s">
        <v>3</v>
      </c>
      <c r="D1839" s="1">
        <v>45930</v>
      </c>
      <c r="E1839">
        <v>0</v>
      </c>
      <c r="F1839" s="2">
        <v>0</v>
      </c>
      <c r="G1839" s="2">
        <v>1322.1200000000008</v>
      </c>
    </row>
    <row r="1840" spans="1:7" hidden="1" x14ac:dyDescent="0.3">
      <c r="A1840" t="s">
        <v>113</v>
      </c>
      <c r="B1840" t="s">
        <v>114</v>
      </c>
      <c r="C1840" t="s">
        <v>3</v>
      </c>
      <c r="D1840" s="1">
        <v>45961</v>
      </c>
      <c r="E1840">
        <v>0</v>
      </c>
      <c r="F1840" s="2">
        <v>0</v>
      </c>
      <c r="G1840" s="2">
        <v>1322.1200000000008</v>
      </c>
    </row>
    <row r="1841" spans="1:7" hidden="1" x14ac:dyDescent="0.3">
      <c r="A1841" t="s">
        <v>113</v>
      </c>
      <c r="B1841" t="s">
        <v>114</v>
      </c>
      <c r="C1841" t="s">
        <v>3</v>
      </c>
      <c r="D1841" s="1">
        <v>45991</v>
      </c>
      <c r="E1841">
        <v>0</v>
      </c>
      <c r="F1841" s="2">
        <v>0</v>
      </c>
      <c r="G1841" s="2">
        <v>1322.1200000000008</v>
      </c>
    </row>
    <row r="1842" spans="1:7" hidden="1" x14ac:dyDescent="0.3">
      <c r="A1842" t="s">
        <v>113</v>
      </c>
      <c r="B1842" t="s">
        <v>114</v>
      </c>
      <c r="C1842" t="s">
        <v>3</v>
      </c>
      <c r="D1842" s="1">
        <v>46022</v>
      </c>
      <c r="E1842">
        <v>0</v>
      </c>
      <c r="F1842" s="2">
        <v>0</v>
      </c>
      <c r="G1842" s="2">
        <v>1322.1200000000008</v>
      </c>
    </row>
    <row r="1843" spans="1:7" hidden="1" x14ac:dyDescent="0.3">
      <c r="A1843" t="s">
        <v>121</v>
      </c>
      <c r="B1843" t="s">
        <v>122</v>
      </c>
      <c r="C1843" t="s">
        <v>3</v>
      </c>
      <c r="D1843" s="1">
        <v>45869</v>
      </c>
      <c r="E1843">
        <v>0</v>
      </c>
      <c r="F1843" s="2">
        <v>0</v>
      </c>
      <c r="G1843" s="2">
        <v>2705.51</v>
      </c>
    </row>
    <row r="1844" spans="1:7" hidden="1" x14ac:dyDescent="0.3">
      <c r="A1844" t="s">
        <v>121</v>
      </c>
      <c r="B1844" t="s">
        <v>122</v>
      </c>
      <c r="C1844" t="s">
        <v>3</v>
      </c>
      <c r="D1844" s="1">
        <v>45900</v>
      </c>
      <c r="E1844">
        <v>0</v>
      </c>
      <c r="F1844" s="2">
        <v>0</v>
      </c>
      <c r="G1844" s="2">
        <v>2705.51</v>
      </c>
    </row>
    <row r="1845" spans="1:7" hidden="1" x14ac:dyDescent="0.3">
      <c r="A1845" t="s">
        <v>121</v>
      </c>
      <c r="B1845" t="s">
        <v>122</v>
      </c>
      <c r="C1845" t="s">
        <v>3</v>
      </c>
      <c r="D1845" s="1">
        <v>45930</v>
      </c>
      <c r="E1845">
        <v>0</v>
      </c>
      <c r="F1845" s="2">
        <v>0</v>
      </c>
      <c r="G1845" s="2">
        <v>2705.51</v>
      </c>
    </row>
    <row r="1846" spans="1:7" hidden="1" x14ac:dyDescent="0.3">
      <c r="A1846" t="s">
        <v>121</v>
      </c>
      <c r="B1846" t="s">
        <v>122</v>
      </c>
      <c r="C1846" t="s">
        <v>3</v>
      </c>
      <c r="D1846" s="1">
        <v>45961</v>
      </c>
      <c r="E1846">
        <v>0</v>
      </c>
      <c r="F1846" s="2">
        <v>0</v>
      </c>
      <c r="G1846" s="2">
        <v>2705.51</v>
      </c>
    </row>
    <row r="1847" spans="1:7" hidden="1" x14ac:dyDescent="0.3">
      <c r="A1847" t="s">
        <v>121</v>
      </c>
      <c r="B1847" t="s">
        <v>122</v>
      </c>
      <c r="C1847" t="s">
        <v>3</v>
      </c>
      <c r="D1847" s="1">
        <v>45991</v>
      </c>
      <c r="E1847">
        <v>0</v>
      </c>
      <c r="F1847" s="2">
        <v>0</v>
      </c>
      <c r="G1847" s="2">
        <v>2705.51</v>
      </c>
    </row>
    <row r="1848" spans="1:7" hidden="1" x14ac:dyDescent="0.3">
      <c r="A1848" t="s">
        <v>121</v>
      </c>
      <c r="B1848" t="s">
        <v>122</v>
      </c>
      <c r="C1848" t="s">
        <v>3</v>
      </c>
      <c r="D1848" s="1">
        <v>46022</v>
      </c>
      <c r="E1848">
        <v>0</v>
      </c>
      <c r="F1848" s="2">
        <v>0</v>
      </c>
      <c r="G1848" s="2">
        <v>2705.51</v>
      </c>
    </row>
    <row r="1849" spans="1:7" hidden="1" x14ac:dyDescent="0.3">
      <c r="A1849" t="s">
        <v>159</v>
      </c>
      <c r="B1849" t="s">
        <v>160</v>
      </c>
      <c r="C1849" t="s">
        <v>3</v>
      </c>
      <c r="D1849" s="1">
        <v>45869</v>
      </c>
      <c r="E1849">
        <v>0</v>
      </c>
      <c r="F1849" s="2">
        <v>0</v>
      </c>
      <c r="G1849" s="2">
        <v>2283.5200000000004</v>
      </c>
    </row>
    <row r="1850" spans="1:7" hidden="1" x14ac:dyDescent="0.3">
      <c r="A1850" t="s">
        <v>159</v>
      </c>
      <c r="B1850" t="s">
        <v>160</v>
      </c>
      <c r="C1850" t="s">
        <v>3</v>
      </c>
      <c r="D1850" s="1">
        <v>45900</v>
      </c>
      <c r="E1850">
        <v>0</v>
      </c>
      <c r="F1850" s="2">
        <v>0</v>
      </c>
      <c r="G1850" s="2">
        <v>2283.5200000000004</v>
      </c>
    </row>
    <row r="1851" spans="1:7" hidden="1" x14ac:dyDescent="0.3">
      <c r="A1851" t="s">
        <v>159</v>
      </c>
      <c r="B1851" t="s">
        <v>160</v>
      </c>
      <c r="C1851" t="s">
        <v>3</v>
      </c>
      <c r="D1851" s="1">
        <v>45930</v>
      </c>
      <c r="E1851">
        <v>0</v>
      </c>
      <c r="F1851" s="2">
        <v>0</v>
      </c>
      <c r="G1851" s="2">
        <v>2283.5200000000004</v>
      </c>
    </row>
    <row r="1852" spans="1:7" hidden="1" x14ac:dyDescent="0.3">
      <c r="A1852" t="s">
        <v>159</v>
      </c>
      <c r="B1852" t="s">
        <v>160</v>
      </c>
      <c r="C1852" t="s">
        <v>3</v>
      </c>
      <c r="D1852" s="1">
        <v>45961</v>
      </c>
      <c r="E1852">
        <v>0</v>
      </c>
      <c r="F1852" s="2">
        <v>0</v>
      </c>
      <c r="G1852" s="2">
        <v>2283.5200000000004</v>
      </c>
    </row>
    <row r="1853" spans="1:7" hidden="1" x14ac:dyDescent="0.3">
      <c r="A1853" t="s">
        <v>159</v>
      </c>
      <c r="B1853" t="s">
        <v>160</v>
      </c>
      <c r="C1853" t="s">
        <v>3</v>
      </c>
      <c r="D1853" s="1">
        <v>45991</v>
      </c>
      <c r="E1853">
        <v>0</v>
      </c>
      <c r="F1853" s="2">
        <v>0</v>
      </c>
      <c r="G1853" s="2">
        <v>2283.5200000000004</v>
      </c>
    </row>
    <row r="1854" spans="1:7" hidden="1" x14ac:dyDescent="0.3">
      <c r="A1854" t="s">
        <v>159</v>
      </c>
      <c r="B1854" t="s">
        <v>160</v>
      </c>
      <c r="C1854" t="s">
        <v>3</v>
      </c>
      <c r="D1854" s="1">
        <v>46022</v>
      </c>
      <c r="E1854">
        <v>0</v>
      </c>
      <c r="F1854" s="2">
        <v>0</v>
      </c>
      <c r="G1854" s="2">
        <v>2283.5200000000004</v>
      </c>
    </row>
    <row r="1855" spans="1:7" hidden="1" x14ac:dyDescent="0.3">
      <c r="A1855" t="s">
        <v>167</v>
      </c>
      <c r="B1855" t="s">
        <v>168</v>
      </c>
      <c r="C1855" t="s">
        <v>3</v>
      </c>
      <c r="D1855" s="1">
        <v>45869</v>
      </c>
      <c r="E1855">
        <v>0</v>
      </c>
      <c r="F1855" s="2">
        <v>0</v>
      </c>
      <c r="G1855" s="2">
        <v>2012.8899999999994</v>
      </c>
    </row>
    <row r="1856" spans="1:7" hidden="1" x14ac:dyDescent="0.3">
      <c r="A1856" t="s">
        <v>167</v>
      </c>
      <c r="B1856" t="s">
        <v>168</v>
      </c>
      <c r="C1856" t="s">
        <v>3</v>
      </c>
      <c r="D1856" s="1">
        <v>45900</v>
      </c>
      <c r="E1856">
        <v>0</v>
      </c>
      <c r="F1856" s="2">
        <v>0</v>
      </c>
      <c r="G1856" s="2">
        <v>2012.8899999999994</v>
      </c>
    </row>
    <row r="1857" spans="1:7" hidden="1" x14ac:dyDescent="0.3">
      <c r="A1857" t="s">
        <v>167</v>
      </c>
      <c r="B1857" t="s">
        <v>168</v>
      </c>
      <c r="C1857" t="s">
        <v>3</v>
      </c>
      <c r="D1857" s="1">
        <v>45930</v>
      </c>
      <c r="E1857">
        <v>0</v>
      </c>
      <c r="F1857" s="2">
        <v>0</v>
      </c>
      <c r="G1857" s="2">
        <v>2012.8899999999994</v>
      </c>
    </row>
    <row r="1858" spans="1:7" hidden="1" x14ac:dyDescent="0.3">
      <c r="A1858" t="s">
        <v>167</v>
      </c>
      <c r="B1858" t="s">
        <v>168</v>
      </c>
      <c r="C1858" t="s">
        <v>3</v>
      </c>
      <c r="D1858" s="1">
        <v>45961</v>
      </c>
      <c r="E1858">
        <v>0</v>
      </c>
      <c r="F1858" s="2">
        <v>0</v>
      </c>
      <c r="G1858" s="2">
        <v>2012.8899999999994</v>
      </c>
    </row>
    <row r="1859" spans="1:7" hidden="1" x14ac:dyDescent="0.3">
      <c r="A1859" t="s">
        <v>167</v>
      </c>
      <c r="B1859" t="s">
        <v>168</v>
      </c>
      <c r="C1859" t="s">
        <v>3</v>
      </c>
      <c r="D1859" s="1">
        <v>45991</v>
      </c>
      <c r="E1859">
        <v>0</v>
      </c>
      <c r="F1859" s="2">
        <v>0</v>
      </c>
      <c r="G1859" s="2">
        <v>2012.8899999999994</v>
      </c>
    </row>
    <row r="1860" spans="1:7" hidden="1" x14ac:dyDescent="0.3">
      <c r="A1860" t="s">
        <v>167</v>
      </c>
      <c r="B1860" t="s">
        <v>168</v>
      </c>
      <c r="C1860" t="s">
        <v>3</v>
      </c>
      <c r="D1860" s="1">
        <v>46022</v>
      </c>
      <c r="E1860">
        <v>0</v>
      </c>
      <c r="F1860" s="2">
        <v>0</v>
      </c>
      <c r="G1860" s="2">
        <v>2012.8899999999994</v>
      </c>
    </row>
    <row r="1861" spans="1:7" hidden="1" x14ac:dyDescent="0.3">
      <c r="A1861" t="s">
        <v>197</v>
      </c>
      <c r="B1861" t="s">
        <v>198</v>
      </c>
      <c r="C1861" t="s">
        <v>3</v>
      </c>
      <c r="D1861" s="1">
        <v>45869</v>
      </c>
      <c r="E1861">
        <v>0</v>
      </c>
      <c r="F1861" s="2">
        <v>0</v>
      </c>
      <c r="G1861" s="2">
        <v>567.99999999999955</v>
      </c>
    </row>
    <row r="1862" spans="1:7" hidden="1" x14ac:dyDescent="0.3">
      <c r="A1862" t="s">
        <v>197</v>
      </c>
      <c r="B1862" t="s">
        <v>198</v>
      </c>
      <c r="C1862" t="s">
        <v>3</v>
      </c>
      <c r="D1862" s="1">
        <v>45900</v>
      </c>
      <c r="E1862">
        <v>0</v>
      </c>
      <c r="F1862" s="2">
        <v>0</v>
      </c>
      <c r="G1862" s="2">
        <v>567.99999999999955</v>
      </c>
    </row>
    <row r="1863" spans="1:7" hidden="1" x14ac:dyDescent="0.3">
      <c r="A1863" t="s">
        <v>197</v>
      </c>
      <c r="B1863" t="s">
        <v>198</v>
      </c>
      <c r="C1863" t="s">
        <v>3</v>
      </c>
      <c r="D1863" s="1">
        <v>45930</v>
      </c>
      <c r="E1863">
        <v>0</v>
      </c>
      <c r="F1863" s="2">
        <v>0</v>
      </c>
      <c r="G1863" s="2">
        <v>567.99999999999955</v>
      </c>
    </row>
    <row r="1864" spans="1:7" hidden="1" x14ac:dyDescent="0.3">
      <c r="A1864" t="s">
        <v>197</v>
      </c>
      <c r="B1864" t="s">
        <v>198</v>
      </c>
      <c r="C1864" t="s">
        <v>3</v>
      </c>
      <c r="D1864" s="1">
        <v>45961</v>
      </c>
      <c r="E1864">
        <v>0</v>
      </c>
      <c r="F1864" s="2">
        <v>0</v>
      </c>
      <c r="G1864" s="2">
        <v>567.99999999999955</v>
      </c>
    </row>
    <row r="1865" spans="1:7" hidden="1" x14ac:dyDescent="0.3">
      <c r="A1865" t="s">
        <v>197</v>
      </c>
      <c r="B1865" t="s">
        <v>198</v>
      </c>
      <c r="C1865" t="s">
        <v>3</v>
      </c>
      <c r="D1865" s="1">
        <v>45991</v>
      </c>
      <c r="E1865">
        <v>0</v>
      </c>
      <c r="F1865" s="2">
        <v>0</v>
      </c>
      <c r="G1865" s="2">
        <v>567.99999999999955</v>
      </c>
    </row>
    <row r="1866" spans="1:7" hidden="1" x14ac:dyDescent="0.3">
      <c r="A1866" t="s">
        <v>197</v>
      </c>
      <c r="B1866" t="s">
        <v>198</v>
      </c>
      <c r="C1866" t="s">
        <v>3</v>
      </c>
      <c r="D1866" s="1">
        <v>46022</v>
      </c>
      <c r="E1866">
        <v>0</v>
      </c>
      <c r="F1866" s="2">
        <v>0</v>
      </c>
      <c r="G1866" s="2">
        <v>567.99999999999955</v>
      </c>
    </row>
    <row r="1867" spans="1:7" hidden="1" x14ac:dyDescent="0.3">
      <c r="A1867" t="s">
        <v>273</v>
      </c>
      <c r="B1867" t="s">
        <v>274</v>
      </c>
      <c r="C1867" t="s">
        <v>3</v>
      </c>
      <c r="D1867" s="1">
        <v>45869</v>
      </c>
      <c r="E1867">
        <v>0</v>
      </c>
      <c r="F1867" s="2">
        <v>0</v>
      </c>
      <c r="G1867" s="2">
        <v>1488.5900000000001</v>
      </c>
    </row>
    <row r="1868" spans="1:7" hidden="1" x14ac:dyDescent="0.3">
      <c r="A1868" t="s">
        <v>273</v>
      </c>
      <c r="B1868" t="s">
        <v>274</v>
      </c>
      <c r="C1868" t="s">
        <v>3</v>
      </c>
      <c r="D1868" s="1">
        <v>45900</v>
      </c>
      <c r="E1868">
        <v>0</v>
      </c>
      <c r="F1868" s="2">
        <v>0</v>
      </c>
      <c r="G1868" s="2">
        <v>1488.5900000000001</v>
      </c>
    </row>
    <row r="1869" spans="1:7" hidden="1" x14ac:dyDescent="0.3">
      <c r="A1869" t="s">
        <v>273</v>
      </c>
      <c r="B1869" t="s">
        <v>274</v>
      </c>
      <c r="C1869" t="s">
        <v>3</v>
      </c>
      <c r="D1869" s="1">
        <v>45930</v>
      </c>
      <c r="E1869">
        <v>0</v>
      </c>
      <c r="F1869" s="2">
        <v>0</v>
      </c>
      <c r="G1869" s="2">
        <v>1488.5900000000001</v>
      </c>
    </row>
    <row r="1870" spans="1:7" hidden="1" x14ac:dyDescent="0.3">
      <c r="A1870" t="s">
        <v>273</v>
      </c>
      <c r="B1870" t="s">
        <v>274</v>
      </c>
      <c r="C1870" t="s">
        <v>3</v>
      </c>
      <c r="D1870" s="1">
        <v>45961</v>
      </c>
      <c r="E1870">
        <v>0</v>
      </c>
      <c r="F1870" s="2">
        <v>0</v>
      </c>
      <c r="G1870" s="2">
        <v>1488.5900000000001</v>
      </c>
    </row>
    <row r="1871" spans="1:7" hidden="1" x14ac:dyDescent="0.3">
      <c r="A1871" t="s">
        <v>273</v>
      </c>
      <c r="B1871" t="s">
        <v>274</v>
      </c>
      <c r="C1871" t="s">
        <v>3</v>
      </c>
      <c r="D1871" s="1">
        <v>45991</v>
      </c>
      <c r="E1871">
        <v>0</v>
      </c>
      <c r="F1871" s="2">
        <v>0</v>
      </c>
      <c r="G1871" s="2">
        <v>1488.5900000000001</v>
      </c>
    </row>
    <row r="1872" spans="1:7" hidden="1" x14ac:dyDescent="0.3">
      <c r="A1872" t="s">
        <v>273</v>
      </c>
      <c r="B1872" t="s">
        <v>274</v>
      </c>
      <c r="C1872" t="s">
        <v>3</v>
      </c>
      <c r="D1872" s="1">
        <v>46022</v>
      </c>
      <c r="E1872">
        <v>0</v>
      </c>
      <c r="F1872" s="2">
        <v>0</v>
      </c>
      <c r="G1872" s="2">
        <v>1488.5900000000001</v>
      </c>
    </row>
    <row r="1873" spans="1:7" hidden="1" x14ac:dyDescent="0.3">
      <c r="A1873" t="s">
        <v>359</v>
      </c>
      <c r="B1873" t="s">
        <v>360</v>
      </c>
      <c r="C1873" t="s">
        <v>3</v>
      </c>
      <c r="D1873" s="1">
        <v>45777</v>
      </c>
      <c r="E1873">
        <v>0</v>
      </c>
      <c r="F1873" s="2">
        <v>0</v>
      </c>
      <c r="G1873" s="2">
        <v>0</v>
      </c>
    </row>
    <row r="1874" spans="1:7" hidden="1" x14ac:dyDescent="0.3">
      <c r="A1874" t="s">
        <v>359</v>
      </c>
      <c r="B1874" t="s">
        <v>360</v>
      </c>
      <c r="C1874" t="s">
        <v>3</v>
      </c>
      <c r="D1874" s="1">
        <v>45838</v>
      </c>
      <c r="E1874">
        <v>0</v>
      </c>
      <c r="F1874" s="2">
        <v>0</v>
      </c>
      <c r="G1874" s="2">
        <v>0</v>
      </c>
    </row>
    <row r="1875" spans="1:7" hidden="1" x14ac:dyDescent="0.3">
      <c r="A1875" t="s">
        <v>359</v>
      </c>
      <c r="B1875" t="s">
        <v>360</v>
      </c>
      <c r="C1875" t="s">
        <v>3</v>
      </c>
      <c r="D1875" s="1">
        <v>45869</v>
      </c>
      <c r="E1875">
        <v>0</v>
      </c>
      <c r="F1875" s="2">
        <v>0</v>
      </c>
      <c r="G1875" s="2">
        <v>0</v>
      </c>
    </row>
    <row r="1876" spans="1:7" hidden="1" x14ac:dyDescent="0.3">
      <c r="A1876" t="s">
        <v>359</v>
      </c>
      <c r="B1876" t="s">
        <v>360</v>
      </c>
      <c r="C1876" t="s">
        <v>3</v>
      </c>
      <c r="D1876" s="1">
        <v>45900</v>
      </c>
      <c r="E1876">
        <v>0</v>
      </c>
      <c r="F1876" s="2">
        <v>0</v>
      </c>
      <c r="G1876" s="2">
        <v>0</v>
      </c>
    </row>
    <row r="1877" spans="1:7" hidden="1" x14ac:dyDescent="0.3">
      <c r="A1877" t="s">
        <v>359</v>
      </c>
      <c r="B1877" t="s">
        <v>360</v>
      </c>
      <c r="C1877" t="s">
        <v>3</v>
      </c>
      <c r="D1877" s="1">
        <v>45930</v>
      </c>
      <c r="E1877">
        <v>0</v>
      </c>
      <c r="F1877" s="2">
        <v>0</v>
      </c>
      <c r="G1877" s="2">
        <v>0</v>
      </c>
    </row>
    <row r="1878" spans="1:7" hidden="1" x14ac:dyDescent="0.3">
      <c r="A1878" t="s">
        <v>359</v>
      </c>
      <c r="B1878" t="s">
        <v>360</v>
      </c>
      <c r="C1878" t="s">
        <v>3</v>
      </c>
      <c r="D1878" s="1">
        <v>45961</v>
      </c>
      <c r="E1878">
        <v>0</v>
      </c>
      <c r="F1878" s="2">
        <v>0</v>
      </c>
      <c r="G1878" s="2">
        <v>0</v>
      </c>
    </row>
    <row r="1879" spans="1:7" hidden="1" x14ac:dyDescent="0.3">
      <c r="A1879" t="s">
        <v>359</v>
      </c>
      <c r="B1879" t="s">
        <v>360</v>
      </c>
      <c r="C1879" t="s">
        <v>3</v>
      </c>
      <c r="D1879" s="1">
        <v>45991</v>
      </c>
      <c r="E1879">
        <v>0</v>
      </c>
      <c r="F1879" s="2">
        <v>0</v>
      </c>
      <c r="G1879" s="2">
        <v>0</v>
      </c>
    </row>
    <row r="1880" spans="1:7" hidden="1" x14ac:dyDescent="0.3">
      <c r="A1880" t="s">
        <v>359</v>
      </c>
      <c r="B1880" t="s">
        <v>360</v>
      </c>
      <c r="C1880" t="s">
        <v>3</v>
      </c>
      <c r="D1880" s="1">
        <v>46022</v>
      </c>
      <c r="E1880">
        <v>0</v>
      </c>
      <c r="F1880" s="2">
        <v>0</v>
      </c>
      <c r="G1880" s="2">
        <v>0</v>
      </c>
    </row>
    <row r="1881" spans="1:7" hidden="1" x14ac:dyDescent="0.3">
      <c r="A1881" t="s">
        <v>396</v>
      </c>
      <c r="B1881" t="s">
        <v>360</v>
      </c>
      <c r="C1881" t="s">
        <v>3</v>
      </c>
      <c r="D1881" s="1">
        <v>45688</v>
      </c>
      <c r="E1881">
        <v>0</v>
      </c>
      <c r="F1881" s="2">
        <v>0</v>
      </c>
      <c r="G1881" s="2">
        <v>0</v>
      </c>
    </row>
    <row r="1882" spans="1:7" hidden="1" x14ac:dyDescent="0.3">
      <c r="A1882" t="s">
        <v>396</v>
      </c>
      <c r="B1882" t="s">
        <v>360</v>
      </c>
      <c r="C1882" t="s">
        <v>3</v>
      </c>
      <c r="D1882" s="1">
        <v>45716</v>
      </c>
      <c r="E1882">
        <v>0</v>
      </c>
      <c r="F1882" s="2">
        <v>0</v>
      </c>
      <c r="G1882" s="2">
        <v>0</v>
      </c>
    </row>
    <row r="1883" spans="1:7" hidden="1" x14ac:dyDescent="0.3">
      <c r="A1883" t="s">
        <v>396</v>
      </c>
      <c r="B1883" t="s">
        <v>360</v>
      </c>
      <c r="C1883" t="s">
        <v>3</v>
      </c>
      <c r="D1883" s="1">
        <v>45869</v>
      </c>
      <c r="E1883">
        <v>0</v>
      </c>
      <c r="F1883" s="2">
        <v>0</v>
      </c>
      <c r="G1883" s="2">
        <v>1306.8500000000001</v>
      </c>
    </row>
    <row r="1884" spans="1:7" hidden="1" x14ac:dyDescent="0.3">
      <c r="A1884" t="s">
        <v>396</v>
      </c>
      <c r="B1884" t="s">
        <v>360</v>
      </c>
      <c r="C1884" t="s">
        <v>3</v>
      </c>
      <c r="D1884" s="1">
        <v>45900</v>
      </c>
      <c r="E1884">
        <v>0</v>
      </c>
      <c r="F1884" s="2">
        <v>0</v>
      </c>
      <c r="G1884" s="2">
        <v>1306.8500000000001</v>
      </c>
    </row>
    <row r="1885" spans="1:7" hidden="1" x14ac:dyDescent="0.3">
      <c r="A1885" t="s">
        <v>396</v>
      </c>
      <c r="B1885" t="s">
        <v>360</v>
      </c>
      <c r="C1885" t="s">
        <v>3</v>
      </c>
      <c r="D1885" s="1">
        <v>45930</v>
      </c>
      <c r="E1885">
        <v>0</v>
      </c>
      <c r="F1885" s="2">
        <v>0</v>
      </c>
      <c r="G1885" s="2">
        <v>1306.8500000000001</v>
      </c>
    </row>
    <row r="1886" spans="1:7" hidden="1" x14ac:dyDescent="0.3">
      <c r="A1886" t="s">
        <v>396</v>
      </c>
      <c r="B1886" t="s">
        <v>360</v>
      </c>
      <c r="C1886" t="s">
        <v>3</v>
      </c>
      <c r="D1886" s="1">
        <v>45961</v>
      </c>
      <c r="E1886">
        <v>0</v>
      </c>
      <c r="F1886" s="2">
        <v>0</v>
      </c>
      <c r="G1886" s="2">
        <v>1306.8500000000001</v>
      </c>
    </row>
    <row r="1887" spans="1:7" hidden="1" x14ac:dyDescent="0.3">
      <c r="A1887" t="s">
        <v>396</v>
      </c>
      <c r="B1887" t="s">
        <v>360</v>
      </c>
      <c r="C1887" t="s">
        <v>3</v>
      </c>
      <c r="D1887" s="1">
        <v>45991</v>
      </c>
      <c r="E1887">
        <v>0</v>
      </c>
      <c r="F1887" s="2">
        <v>0</v>
      </c>
      <c r="G1887" s="2">
        <v>1306.8500000000001</v>
      </c>
    </row>
    <row r="1888" spans="1:7" hidden="1" x14ac:dyDescent="0.3">
      <c r="A1888" t="s">
        <v>396</v>
      </c>
      <c r="B1888" t="s">
        <v>360</v>
      </c>
      <c r="C1888" t="s">
        <v>3</v>
      </c>
      <c r="D1888" s="1">
        <v>46022</v>
      </c>
      <c r="E1888">
        <v>0</v>
      </c>
      <c r="F1888" s="2">
        <v>0</v>
      </c>
      <c r="G1888" s="2">
        <v>1306.8500000000001</v>
      </c>
    </row>
    <row r="1889" spans="1:7" hidden="1" x14ac:dyDescent="0.3">
      <c r="A1889" t="s">
        <v>233</v>
      </c>
      <c r="B1889" t="s">
        <v>234</v>
      </c>
      <c r="C1889" t="s">
        <v>3</v>
      </c>
      <c r="D1889" s="1">
        <v>45688</v>
      </c>
      <c r="E1889">
        <v>0</v>
      </c>
      <c r="F1889" s="2">
        <v>0</v>
      </c>
      <c r="G1889" s="2">
        <v>1306.75</v>
      </c>
    </row>
    <row r="1890" spans="1:7" hidden="1" x14ac:dyDescent="0.3">
      <c r="A1890" t="s">
        <v>233</v>
      </c>
      <c r="B1890" t="s">
        <v>234</v>
      </c>
      <c r="C1890" t="s">
        <v>3</v>
      </c>
      <c r="D1890" s="1">
        <v>45716</v>
      </c>
      <c r="E1890">
        <v>0</v>
      </c>
      <c r="F1890" s="2">
        <v>0</v>
      </c>
      <c r="G1890" s="2">
        <v>1156.8699999999999</v>
      </c>
    </row>
    <row r="1891" spans="1:7" hidden="1" x14ac:dyDescent="0.3">
      <c r="A1891" t="s">
        <v>233</v>
      </c>
      <c r="B1891" t="s">
        <v>234</v>
      </c>
      <c r="C1891" t="s">
        <v>3</v>
      </c>
      <c r="D1891" s="1">
        <v>45747</v>
      </c>
      <c r="E1891">
        <v>0</v>
      </c>
      <c r="F1891" s="2">
        <v>0</v>
      </c>
      <c r="G1891" s="2">
        <v>1294.7100000000005</v>
      </c>
    </row>
    <row r="1892" spans="1:7" hidden="1" x14ac:dyDescent="0.3">
      <c r="A1892" t="s">
        <v>233</v>
      </c>
      <c r="B1892" t="s">
        <v>234</v>
      </c>
      <c r="C1892" t="s">
        <v>3</v>
      </c>
      <c r="D1892" s="1">
        <v>45777</v>
      </c>
      <c r="E1892">
        <v>0</v>
      </c>
      <c r="F1892" s="2">
        <v>0</v>
      </c>
      <c r="G1892" s="2">
        <v>1531.0099999999998</v>
      </c>
    </row>
    <row r="1893" spans="1:7" hidden="1" x14ac:dyDescent="0.3">
      <c r="A1893" t="s">
        <v>233</v>
      </c>
      <c r="B1893" t="s">
        <v>234</v>
      </c>
      <c r="C1893" t="s">
        <v>3</v>
      </c>
      <c r="D1893" s="1">
        <v>45869</v>
      </c>
      <c r="E1893">
        <v>0</v>
      </c>
      <c r="F1893" s="2">
        <v>0</v>
      </c>
      <c r="G1893" s="2">
        <v>1235.9600000000009</v>
      </c>
    </row>
    <row r="1894" spans="1:7" hidden="1" x14ac:dyDescent="0.3">
      <c r="A1894" t="s">
        <v>233</v>
      </c>
      <c r="B1894" t="s">
        <v>234</v>
      </c>
      <c r="C1894" t="s">
        <v>3</v>
      </c>
      <c r="D1894" s="1">
        <v>45900</v>
      </c>
      <c r="E1894">
        <v>0</v>
      </c>
      <c r="F1894" s="2">
        <v>0</v>
      </c>
      <c r="G1894" s="2">
        <v>1235.9600000000009</v>
      </c>
    </row>
    <row r="1895" spans="1:7" hidden="1" x14ac:dyDescent="0.3">
      <c r="A1895" t="s">
        <v>233</v>
      </c>
      <c r="B1895" t="s">
        <v>234</v>
      </c>
      <c r="C1895" t="s">
        <v>3</v>
      </c>
      <c r="D1895" s="1">
        <v>45930</v>
      </c>
      <c r="E1895">
        <v>0</v>
      </c>
      <c r="F1895" s="2">
        <v>0</v>
      </c>
      <c r="G1895" s="2">
        <v>1235.9600000000009</v>
      </c>
    </row>
    <row r="1896" spans="1:7" hidden="1" x14ac:dyDescent="0.3">
      <c r="A1896" t="s">
        <v>233</v>
      </c>
      <c r="B1896" t="s">
        <v>234</v>
      </c>
      <c r="C1896" t="s">
        <v>3</v>
      </c>
      <c r="D1896" s="1">
        <v>45961</v>
      </c>
      <c r="E1896">
        <v>0</v>
      </c>
      <c r="F1896" s="2">
        <v>0</v>
      </c>
      <c r="G1896" s="2">
        <v>1235.9600000000009</v>
      </c>
    </row>
    <row r="1897" spans="1:7" hidden="1" x14ac:dyDescent="0.3">
      <c r="A1897" t="s">
        <v>233</v>
      </c>
      <c r="B1897" t="s">
        <v>234</v>
      </c>
      <c r="C1897" t="s">
        <v>3</v>
      </c>
      <c r="D1897" s="1">
        <v>45991</v>
      </c>
      <c r="E1897">
        <v>0</v>
      </c>
      <c r="F1897" s="2">
        <v>0</v>
      </c>
      <c r="G1897" s="2">
        <v>1235.9600000000009</v>
      </c>
    </row>
    <row r="1898" spans="1:7" hidden="1" x14ac:dyDescent="0.3">
      <c r="A1898" t="s">
        <v>233</v>
      </c>
      <c r="B1898" t="s">
        <v>234</v>
      </c>
      <c r="C1898" t="s">
        <v>3</v>
      </c>
      <c r="D1898" s="1">
        <v>46022</v>
      </c>
      <c r="E1898">
        <v>0</v>
      </c>
      <c r="F1898" s="2">
        <v>0</v>
      </c>
      <c r="G1898" s="2">
        <v>1235.9600000000009</v>
      </c>
    </row>
    <row r="1899" spans="1:7" hidden="1" x14ac:dyDescent="0.3">
      <c r="A1899" t="s">
        <v>47</v>
      </c>
      <c r="B1899" t="s">
        <v>48</v>
      </c>
      <c r="C1899" t="s">
        <v>4</v>
      </c>
      <c r="D1899" s="1">
        <v>45869</v>
      </c>
      <c r="E1899">
        <v>0</v>
      </c>
      <c r="F1899" s="2">
        <v>0</v>
      </c>
      <c r="G1899" s="2">
        <v>2419.6519999999991</v>
      </c>
    </row>
    <row r="1900" spans="1:7" hidden="1" x14ac:dyDescent="0.3">
      <c r="A1900" t="s">
        <v>47</v>
      </c>
      <c r="B1900" t="s">
        <v>48</v>
      </c>
      <c r="C1900" t="s">
        <v>4</v>
      </c>
      <c r="D1900" s="1">
        <v>45900</v>
      </c>
      <c r="E1900">
        <v>0</v>
      </c>
      <c r="F1900" s="2">
        <v>0</v>
      </c>
      <c r="G1900" s="2">
        <v>2419.6519999999991</v>
      </c>
    </row>
    <row r="1901" spans="1:7" hidden="1" x14ac:dyDescent="0.3">
      <c r="A1901" t="s">
        <v>47</v>
      </c>
      <c r="B1901" t="s">
        <v>48</v>
      </c>
      <c r="C1901" t="s">
        <v>4</v>
      </c>
      <c r="D1901" s="1">
        <v>45930</v>
      </c>
      <c r="E1901">
        <v>0</v>
      </c>
      <c r="F1901" s="2">
        <v>0</v>
      </c>
      <c r="G1901" s="2">
        <v>2419.6519999999991</v>
      </c>
    </row>
    <row r="1902" spans="1:7" hidden="1" x14ac:dyDescent="0.3">
      <c r="A1902" t="s">
        <v>47</v>
      </c>
      <c r="B1902" t="s">
        <v>48</v>
      </c>
      <c r="C1902" t="s">
        <v>4</v>
      </c>
      <c r="D1902" s="1">
        <v>45961</v>
      </c>
      <c r="E1902">
        <v>0</v>
      </c>
      <c r="F1902" s="2">
        <v>0</v>
      </c>
      <c r="G1902" s="2">
        <v>2419.6519999999991</v>
      </c>
    </row>
    <row r="1903" spans="1:7" hidden="1" x14ac:dyDescent="0.3">
      <c r="A1903" t="s">
        <v>47</v>
      </c>
      <c r="B1903" t="s">
        <v>48</v>
      </c>
      <c r="C1903" t="s">
        <v>4</v>
      </c>
      <c r="D1903" s="1">
        <v>45991</v>
      </c>
      <c r="E1903">
        <v>0</v>
      </c>
      <c r="F1903" s="2">
        <v>0</v>
      </c>
      <c r="G1903" s="2">
        <v>2419.6519999999991</v>
      </c>
    </row>
    <row r="1904" spans="1:7" hidden="1" x14ac:dyDescent="0.3">
      <c r="A1904" t="s">
        <v>47</v>
      </c>
      <c r="B1904" t="s">
        <v>48</v>
      </c>
      <c r="C1904" t="s">
        <v>4</v>
      </c>
      <c r="D1904" s="1">
        <v>46022</v>
      </c>
      <c r="E1904">
        <v>0</v>
      </c>
      <c r="F1904" s="2">
        <v>0</v>
      </c>
      <c r="G1904" s="2">
        <v>2419.6519999999991</v>
      </c>
    </row>
    <row r="1905" spans="1:7" hidden="1" x14ac:dyDescent="0.3">
      <c r="A1905" t="s">
        <v>49</v>
      </c>
      <c r="B1905" t="s">
        <v>50</v>
      </c>
      <c r="C1905" t="s">
        <v>4</v>
      </c>
      <c r="D1905" s="1">
        <v>45869</v>
      </c>
      <c r="E1905">
        <v>0</v>
      </c>
      <c r="F1905" s="2">
        <v>0</v>
      </c>
      <c r="G1905" s="2">
        <v>2185.9479999999994</v>
      </c>
    </row>
    <row r="1906" spans="1:7" hidden="1" x14ac:dyDescent="0.3">
      <c r="A1906" t="s">
        <v>49</v>
      </c>
      <c r="B1906" t="s">
        <v>50</v>
      </c>
      <c r="C1906" t="s">
        <v>4</v>
      </c>
      <c r="D1906" s="1">
        <v>45900</v>
      </c>
      <c r="E1906">
        <v>0</v>
      </c>
      <c r="F1906" s="2">
        <v>0</v>
      </c>
      <c r="G1906" s="2">
        <v>2185.9479999999994</v>
      </c>
    </row>
    <row r="1907" spans="1:7" hidden="1" x14ac:dyDescent="0.3">
      <c r="A1907" t="s">
        <v>49</v>
      </c>
      <c r="B1907" t="s">
        <v>50</v>
      </c>
      <c r="C1907" t="s">
        <v>4</v>
      </c>
      <c r="D1907" s="1">
        <v>45930</v>
      </c>
      <c r="E1907">
        <v>0</v>
      </c>
      <c r="F1907" s="2">
        <v>0</v>
      </c>
      <c r="G1907" s="2">
        <v>2185.9479999999994</v>
      </c>
    </row>
    <row r="1908" spans="1:7" hidden="1" x14ac:dyDescent="0.3">
      <c r="A1908" t="s">
        <v>49</v>
      </c>
      <c r="B1908" t="s">
        <v>50</v>
      </c>
      <c r="C1908" t="s">
        <v>4</v>
      </c>
      <c r="D1908" s="1">
        <v>45961</v>
      </c>
      <c r="E1908">
        <v>0</v>
      </c>
      <c r="F1908" s="2">
        <v>0</v>
      </c>
      <c r="G1908" s="2">
        <v>2185.9479999999994</v>
      </c>
    </row>
    <row r="1909" spans="1:7" hidden="1" x14ac:dyDescent="0.3">
      <c r="A1909" t="s">
        <v>49</v>
      </c>
      <c r="B1909" t="s">
        <v>50</v>
      </c>
      <c r="C1909" t="s">
        <v>4</v>
      </c>
      <c r="D1909" s="1">
        <v>45991</v>
      </c>
      <c r="E1909">
        <v>0</v>
      </c>
      <c r="F1909" s="2">
        <v>0</v>
      </c>
      <c r="G1909" s="2">
        <v>2185.9479999999994</v>
      </c>
    </row>
    <row r="1910" spans="1:7" hidden="1" x14ac:dyDescent="0.3">
      <c r="A1910" t="s">
        <v>49</v>
      </c>
      <c r="B1910" t="s">
        <v>50</v>
      </c>
      <c r="C1910" t="s">
        <v>4</v>
      </c>
      <c r="D1910" s="1">
        <v>46022</v>
      </c>
      <c r="E1910">
        <v>0</v>
      </c>
      <c r="F1910" s="2">
        <v>0</v>
      </c>
      <c r="G1910" s="2">
        <v>2185.9479999999994</v>
      </c>
    </row>
    <row r="1911" spans="1:7" hidden="1" x14ac:dyDescent="0.3">
      <c r="A1911" t="s">
        <v>287</v>
      </c>
      <c r="B1911" t="s">
        <v>288</v>
      </c>
      <c r="C1911" t="s">
        <v>5</v>
      </c>
      <c r="D1911" s="1">
        <v>45869</v>
      </c>
      <c r="E1911">
        <v>0</v>
      </c>
      <c r="F1911" s="2">
        <v>0</v>
      </c>
      <c r="G1911" s="2">
        <v>1508.9959999999999</v>
      </c>
    </row>
    <row r="1912" spans="1:7" hidden="1" x14ac:dyDescent="0.3">
      <c r="A1912" t="s">
        <v>287</v>
      </c>
      <c r="B1912" t="s">
        <v>288</v>
      </c>
      <c r="C1912" t="s">
        <v>5</v>
      </c>
      <c r="D1912" s="1">
        <v>45900</v>
      </c>
      <c r="E1912">
        <v>0</v>
      </c>
      <c r="F1912" s="2">
        <v>0</v>
      </c>
      <c r="G1912" s="2">
        <v>1508.9959999999999</v>
      </c>
    </row>
    <row r="1913" spans="1:7" hidden="1" x14ac:dyDescent="0.3">
      <c r="A1913" t="s">
        <v>287</v>
      </c>
      <c r="B1913" t="s">
        <v>288</v>
      </c>
      <c r="C1913" t="s">
        <v>5</v>
      </c>
      <c r="D1913" s="1">
        <v>45930</v>
      </c>
      <c r="E1913">
        <v>0</v>
      </c>
      <c r="F1913" s="2">
        <v>0</v>
      </c>
      <c r="G1913" s="2">
        <v>1508.9959999999999</v>
      </c>
    </row>
    <row r="1914" spans="1:7" hidden="1" x14ac:dyDescent="0.3">
      <c r="A1914" t="s">
        <v>287</v>
      </c>
      <c r="B1914" t="s">
        <v>288</v>
      </c>
      <c r="C1914" t="s">
        <v>5</v>
      </c>
      <c r="D1914" s="1">
        <v>45961</v>
      </c>
      <c r="E1914">
        <v>0</v>
      </c>
      <c r="F1914" s="2">
        <v>0</v>
      </c>
      <c r="G1914" s="2">
        <v>1508.9959999999999</v>
      </c>
    </row>
    <row r="1915" spans="1:7" hidden="1" x14ac:dyDescent="0.3">
      <c r="A1915" t="s">
        <v>287</v>
      </c>
      <c r="B1915" t="s">
        <v>288</v>
      </c>
      <c r="C1915" t="s">
        <v>5</v>
      </c>
      <c r="D1915" s="1">
        <v>45991</v>
      </c>
      <c r="E1915">
        <v>0</v>
      </c>
      <c r="F1915" s="2">
        <v>0</v>
      </c>
      <c r="G1915" s="2">
        <v>1508.9959999999999</v>
      </c>
    </row>
    <row r="1916" spans="1:7" hidden="1" x14ac:dyDescent="0.3">
      <c r="A1916" t="s">
        <v>287</v>
      </c>
      <c r="B1916" t="s">
        <v>288</v>
      </c>
      <c r="C1916" t="s">
        <v>5</v>
      </c>
      <c r="D1916" s="1">
        <v>46022</v>
      </c>
      <c r="E1916">
        <v>0</v>
      </c>
      <c r="F1916" s="2">
        <v>0</v>
      </c>
      <c r="G1916" s="2">
        <v>1508.9959999999999</v>
      </c>
    </row>
    <row r="1917" spans="1:7" hidden="1" x14ac:dyDescent="0.3">
      <c r="A1917" t="s">
        <v>305</v>
      </c>
      <c r="B1917" t="s">
        <v>306</v>
      </c>
      <c r="C1917" t="s">
        <v>5</v>
      </c>
      <c r="D1917" s="1">
        <v>45869</v>
      </c>
      <c r="E1917">
        <v>0</v>
      </c>
      <c r="F1917" s="2">
        <v>0</v>
      </c>
      <c r="G1917" s="2">
        <v>1655.8700000000003</v>
      </c>
    </row>
    <row r="1918" spans="1:7" hidden="1" x14ac:dyDescent="0.3">
      <c r="A1918" t="s">
        <v>305</v>
      </c>
      <c r="B1918" t="s">
        <v>306</v>
      </c>
      <c r="C1918" t="s">
        <v>5</v>
      </c>
      <c r="D1918" s="1">
        <v>45900</v>
      </c>
      <c r="E1918">
        <v>0</v>
      </c>
      <c r="F1918" s="2">
        <v>0</v>
      </c>
      <c r="G1918" s="2">
        <v>1655.8700000000003</v>
      </c>
    </row>
    <row r="1919" spans="1:7" hidden="1" x14ac:dyDescent="0.3">
      <c r="A1919" t="s">
        <v>305</v>
      </c>
      <c r="B1919" t="s">
        <v>306</v>
      </c>
      <c r="C1919" t="s">
        <v>5</v>
      </c>
      <c r="D1919" s="1">
        <v>45930</v>
      </c>
      <c r="E1919">
        <v>0</v>
      </c>
      <c r="F1919" s="2">
        <v>0</v>
      </c>
      <c r="G1919" s="2">
        <v>1655.8700000000003</v>
      </c>
    </row>
    <row r="1920" spans="1:7" hidden="1" x14ac:dyDescent="0.3">
      <c r="A1920" t="s">
        <v>305</v>
      </c>
      <c r="B1920" t="s">
        <v>306</v>
      </c>
      <c r="C1920" t="s">
        <v>5</v>
      </c>
      <c r="D1920" s="1">
        <v>45961</v>
      </c>
      <c r="E1920">
        <v>0</v>
      </c>
      <c r="F1920" s="2">
        <v>0</v>
      </c>
      <c r="G1920" s="2">
        <v>1655.8700000000003</v>
      </c>
    </row>
    <row r="1921" spans="1:7" hidden="1" x14ac:dyDescent="0.3">
      <c r="A1921" t="s">
        <v>305</v>
      </c>
      <c r="B1921" t="s">
        <v>306</v>
      </c>
      <c r="C1921" t="s">
        <v>5</v>
      </c>
      <c r="D1921" s="1">
        <v>45991</v>
      </c>
      <c r="E1921">
        <v>0</v>
      </c>
      <c r="F1921" s="2">
        <v>0</v>
      </c>
      <c r="G1921" s="2">
        <v>1655.8700000000003</v>
      </c>
    </row>
    <row r="1922" spans="1:7" hidden="1" x14ac:dyDescent="0.3">
      <c r="A1922" t="s">
        <v>305</v>
      </c>
      <c r="B1922" t="s">
        <v>306</v>
      </c>
      <c r="C1922" t="s">
        <v>5</v>
      </c>
      <c r="D1922" s="1">
        <v>46022</v>
      </c>
      <c r="E1922">
        <v>0</v>
      </c>
      <c r="F1922" s="2">
        <v>0</v>
      </c>
      <c r="G1922" s="2">
        <v>1655.8700000000003</v>
      </c>
    </row>
    <row r="1923" spans="1:7" hidden="1" x14ac:dyDescent="0.3">
      <c r="A1923" t="s">
        <v>295</v>
      </c>
      <c r="B1923" t="s">
        <v>296</v>
      </c>
      <c r="C1923" t="s">
        <v>5</v>
      </c>
      <c r="D1923" s="1">
        <v>45869</v>
      </c>
      <c r="E1923">
        <v>0</v>
      </c>
      <c r="F1923" s="2">
        <v>0</v>
      </c>
      <c r="G1923" s="2">
        <v>1372.8659999999998</v>
      </c>
    </row>
    <row r="1924" spans="1:7" hidden="1" x14ac:dyDescent="0.3">
      <c r="A1924" t="s">
        <v>295</v>
      </c>
      <c r="B1924" t="s">
        <v>296</v>
      </c>
      <c r="C1924" t="s">
        <v>5</v>
      </c>
      <c r="D1924" s="1">
        <v>45900</v>
      </c>
      <c r="E1924">
        <v>0</v>
      </c>
      <c r="F1924" s="2">
        <v>0</v>
      </c>
      <c r="G1924" s="2">
        <v>1372.8659999999998</v>
      </c>
    </row>
    <row r="1925" spans="1:7" hidden="1" x14ac:dyDescent="0.3">
      <c r="A1925" t="s">
        <v>295</v>
      </c>
      <c r="B1925" t="s">
        <v>296</v>
      </c>
      <c r="C1925" t="s">
        <v>5</v>
      </c>
      <c r="D1925" s="1">
        <v>45930</v>
      </c>
      <c r="E1925">
        <v>0</v>
      </c>
      <c r="F1925" s="2">
        <v>0</v>
      </c>
      <c r="G1925" s="2">
        <v>1372.8659999999998</v>
      </c>
    </row>
    <row r="1926" spans="1:7" hidden="1" x14ac:dyDescent="0.3">
      <c r="A1926" t="s">
        <v>295</v>
      </c>
      <c r="B1926" t="s">
        <v>296</v>
      </c>
      <c r="C1926" t="s">
        <v>5</v>
      </c>
      <c r="D1926" s="1">
        <v>45961</v>
      </c>
      <c r="E1926">
        <v>0</v>
      </c>
      <c r="F1926" s="2">
        <v>0</v>
      </c>
      <c r="G1926" s="2">
        <v>1372.8659999999998</v>
      </c>
    </row>
    <row r="1927" spans="1:7" hidden="1" x14ac:dyDescent="0.3">
      <c r="A1927" t="s">
        <v>295</v>
      </c>
      <c r="B1927" t="s">
        <v>296</v>
      </c>
      <c r="C1927" t="s">
        <v>5</v>
      </c>
      <c r="D1927" s="1">
        <v>45991</v>
      </c>
      <c r="E1927">
        <v>0</v>
      </c>
      <c r="F1927" s="2">
        <v>0</v>
      </c>
      <c r="G1927" s="2">
        <v>1372.8659999999998</v>
      </c>
    </row>
    <row r="1928" spans="1:7" hidden="1" x14ac:dyDescent="0.3">
      <c r="A1928" t="s">
        <v>295</v>
      </c>
      <c r="B1928" t="s">
        <v>296</v>
      </c>
      <c r="C1928" t="s">
        <v>5</v>
      </c>
      <c r="D1928" s="1">
        <v>46022</v>
      </c>
      <c r="E1928">
        <v>0</v>
      </c>
      <c r="F1928" s="2">
        <v>0</v>
      </c>
      <c r="G1928" s="2">
        <v>1372.8659999999998</v>
      </c>
    </row>
    <row r="1929" spans="1:7" hidden="1" x14ac:dyDescent="0.3">
      <c r="A1929" t="s">
        <v>349</v>
      </c>
      <c r="B1929" t="s">
        <v>350</v>
      </c>
      <c r="C1929" t="s">
        <v>5</v>
      </c>
      <c r="D1929" s="1">
        <v>45747</v>
      </c>
      <c r="E1929">
        <v>0</v>
      </c>
      <c r="F1929" s="2">
        <v>0</v>
      </c>
      <c r="G1929" s="2">
        <v>0</v>
      </c>
    </row>
    <row r="1930" spans="1:7" hidden="1" x14ac:dyDescent="0.3">
      <c r="A1930" t="s">
        <v>349</v>
      </c>
      <c r="B1930" t="s">
        <v>350</v>
      </c>
      <c r="C1930" t="s">
        <v>5</v>
      </c>
      <c r="D1930" s="1">
        <v>45777</v>
      </c>
      <c r="E1930">
        <v>0</v>
      </c>
      <c r="F1930" s="2">
        <v>0</v>
      </c>
      <c r="G1930" s="2">
        <v>0</v>
      </c>
    </row>
    <row r="1931" spans="1:7" hidden="1" x14ac:dyDescent="0.3">
      <c r="A1931" t="s">
        <v>349</v>
      </c>
      <c r="B1931" t="s">
        <v>350</v>
      </c>
      <c r="C1931" t="s">
        <v>5</v>
      </c>
      <c r="D1931" s="1">
        <v>45808</v>
      </c>
      <c r="E1931">
        <v>0</v>
      </c>
      <c r="F1931" s="2">
        <v>0</v>
      </c>
      <c r="G1931" s="2">
        <v>0</v>
      </c>
    </row>
    <row r="1932" spans="1:7" hidden="1" x14ac:dyDescent="0.3">
      <c r="A1932" t="s">
        <v>361</v>
      </c>
      <c r="B1932" t="s">
        <v>362</v>
      </c>
      <c r="C1932" t="s">
        <v>5</v>
      </c>
      <c r="D1932" s="1">
        <v>45747</v>
      </c>
      <c r="E1932">
        <v>0</v>
      </c>
      <c r="F1932" s="2">
        <v>0</v>
      </c>
      <c r="G1932" s="2">
        <v>0</v>
      </c>
    </row>
    <row r="1933" spans="1:7" hidden="1" x14ac:dyDescent="0.3">
      <c r="A1933" t="s">
        <v>361</v>
      </c>
      <c r="B1933" t="s">
        <v>362</v>
      </c>
      <c r="C1933" t="s">
        <v>5</v>
      </c>
      <c r="D1933" s="1">
        <v>45777</v>
      </c>
      <c r="E1933">
        <v>0</v>
      </c>
      <c r="F1933" s="2">
        <v>0</v>
      </c>
      <c r="G1933" s="2">
        <v>0</v>
      </c>
    </row>
    <row r="1934" spans="1:7" hidden="1" x14ac:dyDescent="0.3">
      <c r="A1934" t="s">
        <v>361</v>
      </c>
      <c r="B1934" t="s">
        <v>362</v>
      </c>
      <c r="C1934" t="s">
        <v>5</v>
      </c>
      <c r="D1934" s="1">
        <v>45808</v>
      </c>
      <c r="E1934">
        <v>0</v>
      </c>
      <c r="F1934" s="2">
        <v>0</v>
      </c>
      <c r="G1934" s="2">
        <v>0</v>
      </c>
    </row>
    <row r="1935" spans="1:7" hidden="1" x14ac:dyDescent="0.3">
      <c r="A1935" t="s">
        <v>91</v>
      </c>
      <c r="B1935" t="s">
        <v>92</v>
      </c>
      <c r="C1935" t="s">
        <v>5</v>
      </c>
      <c r="D1935" s="1">
        <v>45869</v>
      </c>
      <c r="E1935">
        <v>0</v>
      </c>
      <c r="F1935" s="2">
        <v>0</v>
      </c>
      <c r="G1935" s="2">
        <v>1703.6120000000005</v>
      </c>
    </row>
    <row r="1936" spans="1:7" hidden="1" x14ac:dyDescent="0.3">
      <c r="A1936" t="s">
        <v>91</v>
      </c>
      <c r="B1936" t="s">
        <v>92</v>
      </c>
      <c r="C1936" t="s">
        <v>5</v>
      </c>
      <c r="D1936" s="1">
        <v>45900</v>
      </c>
      <c r="E1936">
        <v>0</v>
      </c>
      <c r="F1936" s="2">
        <v>0</v>
      </c>
      <c r="G1936" s="2">
        <v>1703.6120000000005</v>
      </c>
    </row>
    <row r="1937" spans="1:7" hidden="1" x14ac:dyDescent="0.3">
      <c r="A1937" t="s">
        <v>91</v>
      </c>
      <c r="B1937" t="s">
        <v>92</v>
      </c>
      <c r="C1937" t="s">
        <v>5</v>
      </c>
      <c r="D1937" s="1">
        <v>45930</v>
      </c>
      <c r="E1937">
        <v>0</v>
      </c>
      <c r="F1937" s="2">
        <v>0</v>
      </c>
      <c r="G1937" s="2">
        <v>1703.6120000000005</v>
      </c>
    </row>
    <row r="1938" spans="1:7" hidden="1" x14ac:dyDescent="0.3">
      <c r="A1938" t="s">
        <v>91</v>
      </c>
      <c r="B1938" t="s">
        <v>92</v>
      </c>
      <c r="C1938" t="s">
        <v>5</v>
      </c>
      <c r="D1938" s="1">
        <v>45961</v>
      </c>
      <c r="E1938">
        <v>0</v>
      </c>
      <c r="F1938" s="2">
        <v>0</v>
      </c>
      <c r="G1938" s="2">
        <v>1703.6120000000005</v>
      </c>
    </row>
    <row r="1939" spans="1:7" hidden="1" x14ac:dyDescent="0.3">
      <c r="A1939" t="s">
        <v>91</v>
      </c>
      <c r="B1939" t="s">
        <v>92</v>
      </c>
      <c r="C1939" t="s">
        <v>5</v>
      </c>
      <c r="D1939" s="1">
        <v>45991</v>
      </c>
      <c r="E1939">
        <v>0</v>
      </c>
      <c r="F1939" s="2">
        <v>0</v>
      </c>
      <c r="G1939" s="2">
        <v>1703.6120000000005</v>
      </c>
    </row>
    <row r="1940" spans="1:7" hidden="1" x14ac:dyDescent="0.3">
      <c r="A1940" t="s">
        <v>91</v>
      </c>
      <c r="B1940" t="s">
        <v>92</v>
      </c>
      <c r="C1940" t="s">
        <v>5</v>
      </c>
      <c r="D1940" s="1">
        <v>46022</v>
      </c>
      <c r="E1940">
        <v>0</v>
      </c>
      <c r="F1940" s="2">
        <v>0</v>
      </c>
      <c r="G1940" s="2">
        <v>1703.6120000000005</v>
      </c>
    </row>
    <row r="1941" spans="1:7" hidden="1" x14ac:dyDescent="0.3">
      <c r="A1941" t="s">
        <v>327</v>
      </c>
      <c r="B1941" t="s">
        <v>328</v>
      </c>
      <c r="C1941" t="s">
        <v>5</v>
      </c>
      <c r="D1941" s="1">
        <v>45777</v>
      </c>
      <c r="E1941">
        <v>0</v>
      </c>
      <c r="F1941" s="2">
        <v>0</v>
      </c>
      <c r="G1941" s="2">
        <v>0</v>
      </c>
    </row>
    <row r="1942" spans="1:7" hidden="1" x14ac:dyDescent="0.3">
      <c r="A1942" t="s">
        <v>301</v>
      </c>
      <c r="B1942" t="s">
        <v>302</v>
      </c>
      <c r="C1942" t="s">
        <v>5</v>
      </c>
      <c r="D1942" s="1">
        <v>45869</v>
      </c>
      <c r="E1942">
        <v>0</v>
      </c>
      <c r="F1942" s="2">
        <v>0</v>
      </c>
      <c r="G1942" s="2">
        <v>0</v>
      </c>
    </row>
    <row r="1943" spans="1:7" hidden="1" x14ac:dyDescent="0.3">
      <c r="A1943" t="s">
        <v>301</v>
      </c>
      <c r="B1943" t="s">
        <v>302</v>
      </c>
      <c r="C1943" t="s">
        <v>5</v>
      </c>
      <c r="D1943" s="1">
        <v>45900</v>
      </c>
      <c r="E1943">
        <v>0</v>
      </c>
      <c r="F1943" s="2">
        <v>0</v>
      </c>
      <c r="G1943" s="2">
        <v>0</v>
      </c>
    </row>
    <row r="1944" spans="1:7" hidden="1" x14ac:dyDescent="0.3">
      <c r="A1944" t="s">
        <v>301</v>
      </c>
      <c r="B1944" t="s">
        <v>302</v>
      </c>
      <c r="C1944" t="s">
        <v>5</v>
      </c>
      <c r="D1944" s="1">
        <v>45930</v>
      </c>
      <c r="E1944">
        <v>0</v>
      </c>
      <c r="F1944" s="2">
        <v>0</v>
      </c>
      <c r="G1944" s="2">
        <v>0</v>
      </c>
    </row>
    <row r="1945" spans="1:7" hidden="1" x14ac:dyDescent="0.3">
      <c r="A1945" t="s">
        <v>301</v>
      </c>
      <c r="B1945" t="s">
        <v>302</v>
      </c>
      <c r="C1945" t="s">
        <v>5</v>
      </c>
      <c r="D1945" s="1">
        <v>45961</v>
      </c>
      <c r="E1945">
        <v>0</v>
      </c>
      <c r="F1945" s="2">
        <v>0</v>
      </c>
      <c r="G1945" s="2">
        <v>0</v>
      </c>
    </row>
    <row r="1946" spans="1:7" hidden="1" x14ac:dyDescent="0.3">
      <c r="A1946" t="s">
        <v>301</v>
      </c>
      <c r="B1946" t="s">
        <v>302</v>
      </c>
      <c r="C1946" t="s">
        <v>5</v>
      </c>
      <c r="D1946" s="1">
        <v>45991</v>
      </c>
      <c r="E1946">
        <v>0</v>
      </c>
      <c r="F1946" s="2">
        <v>0</v>
      </c>
      <c r="G1946" s="2">
        <v>0</v>
      </c>
    </row>
    <row r="1947" spans="1:7" hidden="1" x14ac:dyDescent="0.3">
      <c r="A1947" t="s">
        <v>301</v>
      </c>
      <c r="B1947" t="s">
        <v>302</v>
      </c>
      <c r="C1947" t="s">
        <v>5</v>
      </c>
      <c r="D1947" s="1">
        <v>46022</v>
      </c>
      <c r="E1947">
        <v>0</v>
      </c>
      <c r="F1947" s="2">
        <v>0</v>
      </c>
      <c r="G1947" s="2">
        <v>0</v>
      </c>
    </row>
    <row r="1948" spans="1:7" hidden="1" x14ac:dyDescent="0.3">
      <c r="A1948" t="s">
        <v>255</v>
      </c>
      <c r="B1948" t="s">
        <v>256</v>
      </c>
      <c r="C1948" t="s">
        <v>5</v>
      </c>
      <c r="D1948" s="1">
        <v>45747</v>
      </c>
      <c r="E1948">
        <v>0</v>
      </c>
      <c r="F1948" s="2">
        <v>0</v>
      </c>
      <c r="G1948" s="2">
        <v>0</v>
      </c>
    </row>
    <row r="1949" spans="1:7" hidden="1" x14ac:dyDescent="0.3">
      <c r="A1949" t="s">
        <v>255</v>
      </c>
      <c r="B1949" t="s">
        <v>256</v>
      </c>
      <c r="C1949" t="s">
        <v>5</v>
      </c>
      <c r="D1949" s="1">
        <v>45777</v>
      </c>
      <c r="E1949">
        <v>0</v>
      </c>
      <c r="F1949" s="2">
        <v>0</v>
      </c>
      <c r="G1949" s="2">
        <v>0</v>
      </c>
    </row>
    <row r="1950" spans="1:7" hidden="1" x14ac:dyDescent="0.3">
      <c r="A1950" t="s">
        <v>255</v>
      </c>
      <c r="B1950" t="s">
        <v>256</v>
      </c>
      <c r="C1950" t="s">
        <v>5</v>
      </c>
      <c r="D1950" s="1">
        <v>45808</v>
      </c>
      <c r="E1950">
        <v>0</v>
      </c>
      <c r="F1950" s="2">
        <v>0</v>
      </c>
      <c r="G1950" s="2">
        <v>0</v>
      </c>
    </row>
    <row r="1951" spans="1:7" hidden="1" x14ac:dyDescent="0.3">
      <c r="A1951" t="s">
        <v>370</v>
      </c>
      <c r="B1951" t="s">
        <v>338</v>
      </c>
      <c r="C1951" t="s">
        <v>5</v>
      </c>
      <c r="D1951" s="1">
        <v>45688</v>
      </c>
      <c r="E1951">
        <v>0</v>
      </c>
      <c r="F1951" s="2">
        <v>0</v>
      </c>
      <c r="G1951" s="2">
        <v>566.08000000000004</v>
      </c>
    </row>
    <row r="1952" spans="1:7" hidden="1" x14ac:dyDescent="0.3">
      <c r="A1952" t="s">
        <v>370</v>
      </c>
      <c r="B1952" t="s">
        <v>338</v>
      </c>
      <c r="C1952" t="s">
        <v>5</v>
      </c>
      <c r="D1952" s="1">
        <v>45869</v>
      </c>
      <c r="E1952">
        <v>0</v>
      </c>
      <c r="F1952" s="2">
        <v>0</v>
      </c>
      <c r="G1952" s="2">
        <v>1338.6000000000001</v>
      </c>
    </row>
    <row r="1953" spans="1:7" hidden="1" x14ac:dyDescent="0.3">
      <c r="A1953" t="s">
        <v>370</v>
      </c>
      <c r="B1953" t="s">
        <v>338</v>
      </c>
      <c r="C1953" t="s">
        <v>5</v>
      </c>
      <c r="D1953" s="1">
        <v>45900</v>
      </c>
      <c r="E1953">
        <v>0</v>
      </c>
      <c r="F1953" s="2">
        <v>0</v>
      </c>
      <c r="G1953" s="2">
        <v>1338.6000000000001</v>
      </c>
    </row>
    <row r="1954" spans="1:7" hidden="1" x14ac:dyDescent="0.3">
      <c r="A1954" t="s">
        <v>370</v>
      </c>
      <c r="B1954" t="s">
        <v>338</v>
      </c>
      <c r="C1954" t="s">
        <v>5</v>
      </c>
      <c r="D1954" s="1">
        <v>45930</v>
      </c>
      <c r="E1954">
        <v>0</v>
      </c>
      <c r="F1954" s="2">
        <v>0</v>
      </c>
      <c r="G1954" s="2">
        <v>1338.6000000000001</v>
      </c>
    </row>
    <row r="1955" spans="1:7" hidden="1" x14ac:dyDescent="0.3">
      <c r="A1955" t="s">
        <v>370</v>
      </c>
      <c r="B1955" t="s">
        <v>338</v>
      </c>
      <c r="C1955" t="s">
        <v>5</v>
      </c>
      <c r="D1955" s="1">
        <v>45961</v>
      </c>
      <c r="E1955">
        <v>0</v>
      </c>
      <c r="F1955" s="2">
        <v>0</v>
      </c>
      <c r="G1955" s="2">
        <v>1338.6000000000001</v>
      </c>
    </row>
    <row r="1956" spans="1:7" hidden="1" x14ac:dyDescent="0.3">
      <c r="A1956" t="s">
        <v>370</v>
      </c>
      <c r="B1956" t="s">
        <v>338</v>
      </c>
      <c r="C1956" t="s">
        <v>5</v>
      </c>
      <c r="D1956" s="1">
        <v>45991</v>
      </c>
      <c r="E1956">
        <v>0</v>
      </c>
      <c r="F1956" s="2">
        <v>0</v>
      </c>
      <c r="G1956" s="2">
        <v>1338.6000000000001</v>
      </c>
    </row>
    <row r="1957" spans="1:7" hidden="1" x14ac:dyDescent="0.3">
      <c r="A1957" t="s">
        <v>370</v>
      </c>
      <c r="B1957" t="s">
        <v>338</v>
      </c>
      <c r="C1957" t="s">
        <v>5</v>
      </c>
      <c r="D1957" s="1">
        <v>46022</v>
      </c>
      <c r="E1957">
        <v>0</v>
      </c>
      <c r="F1957" s="2">
        <v>0</v>
      </c>
      <c r="G1957" s="2">
        <v>1338.6000000000001</v>
      </c>
    </row>
    <row r="1958" spans="1:7" hidden="1" x14ac:dyDescent="0.3">
      <c r="A1958" t="s">
        <v>415</v>
      </c>
      <c r="B1958" t="s">
        <v>416</v>
      </c>
      <c r="C1958" t="s">
        <v>5</v>
      </c>
      <c r="D1958" s="1">
        <v>45688</v>
      </c>
      <c r="E1958">
        <v>0</v>
      </c>
      <c r="F1958" s="2">
        <v>0</v>
      </c>
      <c r="G1958" s="2">
        <v>0</v>
      </c>
    </row>
    <row r="1959" spans="1:7" hidden="1" x14ac:dyDescent="0.3">
      <c r="A1959" t="s">
        <v>415</v>
      </c>
      <c r="B1959" t="s">
        <v>416</v>
      </c>
      <c r="C1959" t="s">
        <v>5</v>
      </c>
      <c r="D1959" s="1">
        <v>45716</v>
      </c>
      <c r="E1959">
        <v>0</v>
      </c>
      <c r="F1959" s="2">
        <v>0</v>
      </c>
      <c r="G1959" s="2">
        <v>0</v>
      </c>
    </row>
    <row r="1960" spans="1:7" hidden="1" x14ac:dyDescent="0.3">
      <c r="A1960" t="s">
        <v>415</v>
      </c>
      <c r="B1960" t="s">
        <v>416</v>
      </c>
      <c r="C1960" t="s">
        <v>5</v>
      </c>
      <c r="D1960" s="1">
        <v>45747</v>
      </c>
      <c r="E1960">
        <v>0</v>
      </c>
      <c r="F1960" s="2">
        <v>0</v>
      </c>
      <c r="G1960" s="2">
        <v>0</v>
      </c>
    </row>
    <row r="1961" spans="1:7" hidden="1" x14ac:dyDescent="0.3">
      <c r="A1961" t="s">
        <v>415</v>
      </c>
      <c r="B1961" t="s">
        <v>416</v>
      </c>
      <c r="C1961" t="s">
        <v>5</v>
      </c>
      <c r="D1961" s="1">
        <v>45869</v>
      </c>
      <c r="E1961">
        <v>0</v>
      </c>
      <c r="F1961" s="2">
        <v>0</v>
      </c>
      <c r="G1961" s="2">
        <v>500</v>
      </c>
    </row>
    <row r="1962" spans="1:7" hidden="1" x14ac:dyDescent="0.3">
      <c r="A1962" t="s">
        <v>415</v>
      </c>
      <c r="B1962" t="s">
        <v>416</v>
      </c>
      <c r="C1962" t="s">
        <v>5</v>
      </c>
      <c r="D1962" s="1">
        <v>45900</v>
      </c>
      <c r="E1962">
        <v>0</v>
      </c>
      <c r="F1962" s="2">
        <v>0</v>
      </c>
      <c r="G1962" s="2">
        <v>500</v>
      </c>
    </row>
    <row r="1963" spans="1:7" hidden="1" x14ac:dyDescent="0.3">
      <c r="A1963" t="s">
        <v>415</v>
      </c>
      <c r="B1963" t="s">
        <v>416</v>
      </c>
      <c r="C1963" t="s">
        <v>5</v>
      </c>
      <c r="D1963" s="1">
        <v>45930</v>
      </c>
      <c r="E1963">
        <v>0</v>
      </c>
      <c r="F1963" s="2">
        <v>0</v>
      </c>
      <c r="G1963" s="2">
        <v>500</v>
      </c>
    </row>
    <row r="1964" spans="1:7" hidden="1" x14ac:dyDescent="0.3">
      <c r="A1964" t="s">
        <v>415</v>
      </c>
      <c r="B1964" t="s">
        <v>416</v>
      </c>
      <c r="C1964" t="s">
        <v>5</v>
      </c>
      <c r="D1964" s="1">
        <v>45961</v>
      </c>
      <c r="E1964">
        <v>0</v>
      </c>
      <c r="F1964" s="2">
        <v>0</v>
      </c>
      <c r="G1964" s="2">
        <v>500</v>
      </c>
    </row>
    <row r="1965" spans="1:7" hidden="1" x14ac:dyDescent="0.3">
      <c r="A1965" t="s">
        <v>415</v>
      </c>
      <c r="B1965" t="s">
        <v>416</v>
      </c>
      <c r="C1965" t="s">
        <v>5</v>
      </c>
      <c r="D1965" s="1">
        <v>45991</v>
      </c>
      <c r="E1965">
        <v>0</v>
      </c>
      <c r="F1965" s="2">
        <v>0</v>
      </c>
      <c r="G1965" s="2">
        <v>500</v>
      </c>
    </row>
    <row r="1966" spans="1:7" hidden="1" x14ac:dyDescent="0.3">
      <c r="A1966" t="s">
        <v>415</v>
      </c>
      <c r="B1966" t="s">
        <v>416</v>
      </c>
      <c r="C1966" t="s">
        <v>5</v>
      </c>
      <c r="D1966" s="1">
        <v>46022</v>
      </c>
      <c r="E1966">
        <v>0</v>
      </c>
      <c r="F1966" s="2">
        <v>0</v>
      </c>
      <c r="G1966" s="2">
        <v>500</v>
      </c>
    </row>
    <row r="1967" spans="1:7" hidden="1" x14ac:dyDescent="0.3">
      <c r="A1967" t="s">
        <v>418</v>
      </c>
      <c r="B1967" t="s">
        <v>238</v>
      </c>
      <c r="C1967" t="s">
        <v>5</v>
      </c>
      <c r="D1967" s="1">
        <v>45688</v>
      </c>
      <c r="E1967">
        <v>0</v>
      </c>
      <c r="F1967" s="2">
        <v>0</v>
      </c>
      <c r="G1967" s="2">
        <v>1023.02</v>
      </c>
    </row>
    <row r="1968" spans="1:7" hidden="1" x14ac:dyDescent="0.3">
      <c r="A1968" t="s">
        <v>418</v>
      </c>
      <c r="B1968" t="s">
        <v>238</v>
      </c>
      <c r="C1968" t="s">
        <v>5</v>
      </c>
      <c r="D1968" s="1">
        <v>45716</v>
      </c>
      <c r="E1968">
        <v>0</v>
      </c>
      <c r="F1968" s="2">
        <v>0</v>
      </c>
      <c r="G1968" s="2">
        <v>1529.0099999999998</v>
      </c>
    </row>
    <row r="1969" spans="1:7" hidden="1" x14ac:dyDescent="0.3">
      <c r="A1969" t="s">
        <v>418</v>
      </c>
      <c r="B1969" t="s">
        <v>238</v>
      </c>
      <c r="C1969" t="s">
        <v>5</v>
      </c>
      <c r="D1969" s="1">
        <v>45747</v>
      </c>
      <c r="E1969">
        <v>0</v>
      </c>
      <c r="F1969" s="2">
        <v>0</v>
      </c>
      <c r="G1969" s="2">
        <v>0</v>
      </c>
    </row>
    <row r="1970" spans="1:7" hidden="1" x14ac:dyDescent="0.3">
      <c r="A1970" t="s">
        <v>418</v>
      </c>
      <c r="B1970" t="s">
        <v>238</v>
      </c>
      <c r="C1970" t="s">
        <v>5</v>
      </c>
      <c r="D1970" s="1">
        <v>45777</v>
      </c>
      <c r="E1970">
        <v>0</v>
      </c>
      <c r="F1970" s="2">
        <v>0</v>
      </c>
      <c r="G1970" s="2">
        <v>0</v>
      </c>
    </row>
    <row r="1971" spans="1:7" hidden="1" x14ac:dyDescent="0.3">
      <c r="A1971" t="s">
        <v>418</v>
      </c>
      <c r="B1971" t="s">
        <v>238</v>
      </c>
      <c r="C1971" t="s">
        <v>5</v>
      </c>
      <c r="D1971" s="1">
        <v>45869</v>
      </c>
      <c r="E1971">
        <v>0</v>
      </c>
      <c r="F1971" s="2">
        <v>0</v>
      </c>
      <c r="G1971" s="2">
        <v>1115.03</v>
      </c>
    </row>
    <row r="1972" spans="1:7" hidden="1" x14ac:dyDescent="0.3">
      <c r="A1972" t="s">
        <v>418</v>
      </c>
      <c r="B1972" t="s">
        <v>238</v>
      </c>
      <c r="C1972" t="s">
        <v>5</v>
      </c>
      <c r="D1972" s="1">
        <v>45900</v>
      </c>
      <c r="E1972">
        <v>0</v>
      </c>
      <c r="F1972" s="2">
        <v>0</v>
      </c>
      <c r="G1972" s="2">
        <v>1115.03</v>
      </c>
    </row>
    <row r="1973" spans="1:7" hidden="1" x14ac:dyDescent="0.3">
      <c r="A1973" t="s">
        <v>418</v>
      </c>
      <c r="B1973" t="s">
        <v>238</v>
      </c>
      <c r="C1973" t="s">
        <v>5</v>
      </c>
      <c r="D1973" s="1">
        <v>45930</v>
      </c>
      <c r="E1973">
        <v>0</v>
      </c>
      <c r="F1973" s="2">
        <v>0</v>
      </c>
      <c r="G1973" s="2">
        <v>1115.03</v>
      </c>
    </row>
    <row r="1974" spans="1:7" hidden="1" x14ac:dyDescent="0.3">
      <c r="A1974" t="s">
        <v>418</v>
      </c>
      <c r="B1974" t="s">
        <v>238</v>
      </c>
      <c r="C1974" t="s">
        <v>5</v>
      </c>
      <c r="D1974" s="1">
        <v>45961</v>
      </c>
      <c r="E1974">
        <v>0</v>
      </c>
      <c r="F1974" s="2">
        <v>0</v>
      </c>
      <c r="G1974" s="2">
        <v>1115.03</v>
      </c>
    </row>
    <row r="1975" spans="1:7" hidden="1" x14ac:dyDescent="0.3">
      <c r="A1975" t="s">
        <v>418</v>
      </c>
      <c r="B1975" t="s">
        <v>238</v>
      </c>
      <c r="C1975" t="s">
        <v>5</v>
      </c>
      <c r="D1975" s="1">
        <v>45991</v>
      </c>
      <c r="E1975">
        <v>0</v>
      </c>
      <c r="F1975" s="2">
        <v>0</v>
      </c>
      <c r="G1975" s="2">
        <v>1115.03</v>
      </c>
    </row>
    <row r="1976" spans="1:7" hidden="1" x14ac:dyDescent="0.3">
      <c r="A1976" t="s">
        <v>418</v>
      </c>
      <c r="B1976" t="s">
        <v>238</v>
      </c>
      <c r="C1976" t="s">
        <v>5</v>
      </c>
      <c r="D1976" s="1">
        <v>46022</v>
      </c>
      <c r="E1976">
        <v>0</v>
      </c>
      <c r="F1976" s="2">
        <v>0</v>
      </c>
      <c r="G1976" s="2">
        <v>1115.03</v>
      </c>
    </row>
    <row r="1977" spans="1:7" hidden="1" x14ac:dyDescent="0.3">
      <c r="A1977" t="s">
        <v>401</v>
      </c>
      <c r="B1977" t="s">
        <v>345</v>
      </c>
      <c r="C1977" t="s">
        <v>5</v>
      </c>
      <c r="D1977" s="1">
        <v>45688</v>
      </c>
      <c r="E1977">
        <v>0</v>
      </c>
      <c r="F1977" s="2">
        <v>0</v>
      </c>
      <c r="G1977" s="2">
        <v>516.08000000000004</v>
      </c>
    </row>
    <row r="1978" spans="1:7" hidden="1" x14ac:dyDescent="0.3">
      <c r="A1978" t="s">
        <v>401</v>
      </c>
      <c r="B1978" t="s">
        <v>345</v>
      </c>
      <c r="C1978" t="s">
        <v>5</v>
      </c>
      <c r="D1978" s="1">
        <v>45716</v>
      </c>
      <c r="E1978">
        <v>0</v>
      </c>
      <c r="F1978" s="2">
        <v>0</v>
      </c>
      <c r="G1978" s="2">
        <v>516.08000000000004</v>
      </c>
    </row>
    <row r="1979" spans="1:7" hidden="1" x14ac:dyDescent="0.3">
      <c r="A1979" t="s">
        <v>401</v>
      </c>
      <c r="B1979" t="s">
        <v>345</v>
      </c>
      <c r="C1979" t="s">
        <v>5</v>
      </c>
      <c r="D1979" s="1">
        <v>45747</v>
      </c>
      <c r="E1979">
        <v>0</v>
      </c>
      <c r="F1979" s="2">
        <v>0</v>
      </c>
      <c r="G1979" s="2">
        <v>516.07999999999993</v>
      </c>
    </row>
    <row r="1980" spans="1:7" hidden="1" x14ac:dyDescent="0.3">
      <c r="A1980" t="s">
        <v>401</v>
      </c>
      <c r="B1980" t="s">
        <v>345</v>
      </c>
      <c r="C1980" t="s">
        <v>5</v>
      </c>
      <c r="D1980" s="1">
        <v>45808</v>
      </c>
      <c r="E1980">
        <v>0</v>
      </c>
      <c r="F1980" s="2">
        <v>0</v>
      </c>
      <c r="G1980" s="2">
        <v>0</v>
      </c>
    </row>
    <row r="1981" spans="1:7" hidden="1" x14ac:dyDescent="0.3">
      <c r="A1981" t="s">
        <v>405</v>
      </c>
      <c r="B1981" t="s">
        <v>406</v>
      </c>
      <c r="C1981" t="s">
        <v>5</v>
      </c>
      <c r="D1981" s="1">
        <v>45688</v>
      </c>
      <c r="E1981">
        <v>0</v>
      </c>
      <c r="F1981" s="2">
        <v>0</v>
      </c>
      <c r="G1981" s="2">
        <v>0</v>
      </c>
    </row>
    <row r="1982" spans="1:7" hidden="1" x14ac:dyDescent="0.3">
      <c r="A1982" t="s">
        <v>405</v>
      </c>
      <c r="B1982" t="s">
        <v>406</v>
      </c>
      <c r="C1982" t="s">
        <v>5</v>
      </c>
      <c r="D1982" s="1">
        <v>45716</v>
      </c>
      <c r="E1982">
        <v>0</v>
      </c>
      <c r="F1982" s="2">
        <v>0</v>
      </c>
      <c r="G1982" s="2">
        <v>0</v>
      </c>
    </row>
    <row r="1983" spans="1:7" hidden="1" x14ac:dyDescent="0.3">
      <c r="A1983" t="s">
        <v>405</v>
      </c>
      <c r="B1983" t="s">
        <v>406</v>
      </c>
      <c r="C1983" t="s">
        <v>5</v>
      </c>
      <c r="D1983" s="1">
        <v>45747</v>
      </c>
      <c r="E1983">
        <v>0</v>
      </c>
      <c r="F1983" s="2">
        <v>0</v>
      </c>
      <c r="G1983" s="2">
        <v>0</v>
      </c>
    </row>
    <row r="1984" spans="1:7" hidden="1" x14ac:dyDescent="0.3">
      <c r="A1984" t="s">
        <v>405</v>
      </c>
      <c r="B1984" t="s">
        <v>406</v>
      </c>
      <c r="C1984" t="s">
        <v>5</v>
      </c>
      <c r="D1984" s="1">
        <v>45869</v>
      </c>
      <c r="E1984">
        <v>0</v>
      </c>
      <c r="F1984" s="2">
        <v>0</v>
      </c>
      <c r="G1984" s="2">
        <v>500</v>
      </c>
    </row>
    <row r="1985" spans="1:7" hidden="1" x14ac:dyDescent="0.3">
      <c r="A1985" t="s">
        <v>405</v>
      </c>
      <c r="B1985" t="s">
        <v>406</v>
      </c>
      <c r="C1985" t="s">
        <v>5</v>
      </c>
      <c r="D1985" s="1">
        <v>45900</v>
      </c>
      <c r="E1985">
        <v>0</v>
      </c>
      <c r="F1985" s="2">
        <v>0</v>
      </c>
      <c r="G1985" s="2">
        <v>500</v>
      </c>
    </row>
    <row r="1986" spans="1:7" hidden="1" x14ac:dyDescent="0.3">
      <c r="A1986" t="s">
        <v>405</v>
      </c>
      <c r="B1986" t="s">
        <v>406</v>
      </c>
      <c r="C1986" t="s">
        <v>5</v>
      </c>
      <c r="D1986" s="1">
        <v>45930</v>
      </c>
      <c r="E1986">
        <v>0</v>
      </c>
      <c r="F1986" s="2">
        <v>0</v>
      </c>
      <c r="G1986" s="2">
        <v>500</v>
      </c>
    </row>
    <row r="1987" spans="1:7" hidden="1" x14ac:dyDescent="0.3">
      <c r="A1987" t="s">
        <v>405</v>
      </c>
      <c r="B1987" t="s">
        <v>406</v>
      </c>
      <c r="C1987" t="s">
        <v>5</v>
      </c>
      <c r="D1987" s="1">
        <v>45961</v>
      </c>
      <c r="E1987">
        <v>0</v>
      </c>
      <c r="F1987" s="2">
        <v>0</v>
      </c>
      <c r="G1987" s="2">
        <v>500</v>
      </c>
    </row>
    <row r="1988" spans="1:7" hidden="1" x14ac:dyDescent="0.3">
      <c r="A1988" t="s">
        <v>405</v>
      </c>
      <c r="B1988" t="s">
        <v>406</v>
      </c>
      <c r="C1988" t="s">
        <v>5</v>
      </c>
      <c r="D1988" s="1">
        <v>45991</v>
      </c>
      <c r="E1988">
        <v>0</v>
      </c>
      <c r="F1988" s="2">
        <v>0</v>
      </c>
      <c r="G1988" s="2">
        <v>500</v>
      </c>
    </row>
    <row r="1989" spans="1:7" hidden="1" x14ac:dyDescent="0.3">
      <c r="A1989" t="s">
        <v>405</v>
      </c>
      <c r="B1989" t="s">
        <v>406</v>
      </c>
      <c r="C1989" t="s">
        <v>5</v>
      </c>
      <c r="D1989" s="1">
        <v>46022</v>
      </c>
      <c r="E1989">
        <v>0</v>
      </c>
      <c r="F1989" s="2">
        <v>0</v>
      </c>
      <c r="G1989" s="2">
        <v>500</v>
      </c>
    </row>
    <row r="1990" spans="1:7" hidden="1" x14ac:dyDescent="0.3">
      <c r="A1990" t="s">
        <v>257</v>
      </c>
      <c r="B1990" t="s">
        <v>258</v>
      </c>
      <c r="C1990" t="s">
        <v>5</v>
      </c>
      <c r="D1990" s="1">
        <v>45688</v>
      </c>
      <c r="E1990">
        <v>0</v>
      </c>
      <c r="F1990" s="2">
        <v>0</v>
      </c>
      <c r="G1990" s="2">
        <v>0</v>
      </c>
    </row>
    <row r="1991" spans="1:7" hidden="1" x14ac:dyDescent="0.3">
      <c r="A1991" t="s">
        <v>257</v>
      </c>
      <c r="B1991" t="s">
        <v>258</v>
      </c>
      <c r="C1991" t="s">
        <v>5</v>
      </c>
      <c r="D1991" s="1">
        <v>45777</v>
      </c>
      <c r="E1991">
        <v>0</v>
      </c>
      <c r="F1991" s="2">
        <v>0</v>
      </c>
      <c r="G1991" s="2">
        <v>0</v>
      </c>
    </row>
    <row r="1992" spans="1:7" hidden="1" x14ac:dyDescent="0.3">
      <c r="A1992" t="s">
        <v>257</v>
      </c>
      <c r="B1992" t="s">
        <v>258</v>
      </c>
      <c r="C1992" t="s">
        <v>5</v>
      </c>
      <c r="D1992" s="1">
        <v>45808</v>
      </c>
      <c r="E1992">
        <v>0</v>
      </c>
      <c r="F1992" s="2">
        <v>0</v>
      </c>
      <c r="G1992" s="2">
        <v>0</v>
      </c>
    </row>
    <row r="1993" spans="1:7" hidden="1" x14ac:dyDescent="0.3">
      <c r="A1993" t="s">
        <v>243</v>
      </c>
      <c r="B1993" t="s">
        <v>244</v>
      </c>
      <c r="C1993" t="s">
        <v>5</v>
      </c>
      <c r="D1993" s="1">
        <v>45869</v>
      </c>
      <c r="E1993">
        <v>0</v>
      </c>
      <c r="F1993" s="2">
        <v>0</v>
      </c>
      <c r="G1993" s="2">
        <v>1623.77</v>
      </c>
    </row>
    <row r="1994" spans="1:7" hidden="1" x14ac:dyDescent="0.3">
      <c r="A1994" t="s">
        <v>243</v>
      </c>
      <c r="B1994" t="s">
        <v>244</v>
      </c>
      <c r="C1994" t="s">
        <v>5</v>
      </c>
      <c r="D1994" s="1">
        <v>45900</v>
      </c>
      <c r="E1994">
        <v>0</v>
      </c>
      <c r="F1994" s="2">
        <v>0</v>
      </c>
      <c r="G1994" s="2">
        <v>1623.77</v>
      </c>
    </row>
    <row r="1995" spans="1:7" hidden="1" x14ac:dyDescent="0.3">
      <c r="A1995" t="s">
        <v>243</v>
      </c>
      <c r="B1995" t="s">
        <v>244</v>
      </c>
      <c r="C1995" t="s">
        <v>5</v>
      </c>
      <c r="D1995" s="1">
        <v>45930</v>
      </c>
      <c r="E1995">
        <v>0</v>
      </c>
      <c r="F1995" s="2">
        <v>0</v>
      </c>
      <c r="G1995" s="2">
        <v>1623.77</v>
      </c>
    </row>
    <row r="1996" spans="1:7" hidden="1" x14ac:dyDescent="0.3">
      <c r="A1996" t="s">
        <v>243</v>
      </c>
      <c r="B1996" t="s">
        <v>244</v>
      </c>
      <c r="C1996" t="s">
        <v>5</v>
      </c>
      <c r="D1996" s="1">
        <v>45961</v>
      </c>
      <c r="E1996">
        <v>0</v>
      </c>
      <c r="F1996" s="2">
        <v>0</v>
      </c>
      <c r="G1996" s="2">
        <v>1623.77</v>
      </c>
    </row>
    <row r="1997" spans="1:7" hidden="1" x14ac:dyDescent="0.3">
      <c r="A1997" t="s">
        <v>243</v>
      </c>
      <c r="B1997" t="s">
        <v>244</v>
      </c>
      <c r="C1997" t="s">
        <v>5</v>
      </c>
      <c r="D1997" s="1">
        <v>45991</v>
      </c>
      <c r="E1997">
        <v>0</v>
      </c>
      <c r="F1997" s="2">
        <v>0</v>
      </c>
      <c r="G1997" s="2">
        <v>1623.77</v>
      </c>
    </row>
    <row r="1998" spans="1:7" hidden="1" x14ac:dyDescent="0.3">
      <c r="A1998" t="s">
        <v>243</v>
      </c>
      <c r="B1998" t="s">
        <v>244</v>
      </c>
      <c r="C1998" t="s">
        <v>5</v>
      </c>
      <c r="D1998" s="1">
        <v>46022</v>
      </c>
      <c r="E1998">
        <v>0</v>
      </c>
      <c r="F1998" s="2">
        <v>0</v>
      </c>
      <c r="G1998" s="2">
        <v>1623.77</v>
      </c>
    </row>
    <row r="1999" spans="1:7" hidden="1" x14ac:dyDescent="0.3">
      <c r="A1999" t="s">
        <v>426</v>
      </c>
      <c r="B1999" t="s">
        <v>427</v>
      </c>
      <c r="C1999" t="s">
        <v>5</v>
      </c>
      <c r="D1999" s="1">
        <v>45688</v>
      </c>
      <c r="E1999">
        <v>0</v>
      </c>
      <c r="F1999" s="2">
        <v>0</v>
      </c>
      <c r="G1999" s="2">
        <v>0</v>
      </c>
    </row>
    <row r="2000" spans="1:7" hidden="1" x14ac:dyDescent="0.3">
      <c r="A2000" t="s">
        <v>426</v>
      </c>
      <c r="B2000" t="s">
        <v>427</v>
      </c>
      <c r="C2000" t="s">
        <v>5</v>
      </c>
      <c r="D2000" s="1">
        <v>45716</v>
      </c>
      <c r="E2000">
        <v>0</v>
      </c>
      <c r="F2000" s="2">
        <v>0</v>
      </c>
      <c r="G2000" s="2">
        <v>0</v>
      </c>
    </row>
    <row r="2001" spans="1:7" hidden="1" x14ac:dyDescent="0.3">
      <c r="A2001" t="s">
        <v>426</v>
      </c>
      <c r="B2001" t="s">
        <v>427</v>
      </c>
      <c r="C2001" t="s">
        <v>5</v>
      </c>
      <c r="D2001" s="1">
        <v>45747</v>
      </c>
      <c r="E2001">
        <v>0</v>
      </c>
      <c r="F2001" s="2">
        <v>0</v>
      </c>
      <c r="G2001" s="2">
        <v>0</v>
      </c>
    </row>
    <row r="2002" spans="1:7" hidden="1" x14ac:dyDescent="0.3">
      <c r="A2002" t="s">
        <v>426</v>
      </c>
      <c r="B2002" t="s">
        <v>427</v>
      </c>
      <c r="C2002" t="s">
        <v>5</v>
      </c>
      <c r="D2002" s="1">
        <v>45777</v>
      </c>
      <c r="E2002">
        <v>0</v>
      </c>
      <c r="F2002" s="2">
        <v>0</v>
      </c>
      <c r="G2002" s="2">
        <v>0</v>
      </c>
    </row>
    <row r="2003" spans="1:7" hidden="1" x14ac:dyDescent="0.3">
      <c r="A2003" t="s">
        <v>426</v>
      </c>
      <c r="B2003" t="s">
        <v>427</v>
      </c>
      <c r="C2003" t="s">
        <v>5</v>
      </c>
      <c r="D2003" s="1">
        <v>45808</v>
      </c>
      <c r="E2003">
        <v>0</v>
      </c>
      <c r="F2003" s="2">
        <v>0</v>
      </c>
      <c r="G2003" s="2">
        <v>0</v>
      </c>
    </row>
    <row r="2004" spans="1:7" hidden="1" x14ac:dyDescent="0.3">
      <c r="A2004" t="s">
        <v>411</v>
      </c>
      <c r="B2004" t="s">
        <v>412</v>
      </c>
      <c r="C2004" t="s">
        <v>5</v>
      </c>
      <c r="D2004" s="1">
        <v>45688</v>
      </c>
      <c r="E2004">
        <v>0</v>
      </c>
      <c r="F2004" s="2">
        <v>0</v>
      </c>
      <c r="G2004" s="2">
        <v>0</v>
      </c>
    </row>
    <row r="2005" spans="1:7" hidden="1" x14ac:dyDescent="0.3">
      <c r="A2005" t="s">
        <v>411</v>
      </c>
      <c r="B2005" t="s">
        <v>412</v>
      </c>
      <c r="C2005" t="s">
        <v>5</v>
      </c>
      <c r="D2005" s="1">
        <v>45716</v>
      </c>
      <c r="E2005">
        <v>0</v>
      </c>
      <c r="F2005" s="2">
        <v>0</v>
      </c>
      <c r="G2005" s="2">
        <v>0</v>
      </c>
    </row>
    <row r="2006" spans="1:7" hidden="1" x14ac:dyDescent="0.3">
      <c r="A2006" t="s">
        <v>411</v>
      </c>
      <c r="B2006" t="s">
        <v>412</v>
      </c>
      <c r="C2006" t="s">
        <v>5</v>
      </c>
      <c r="D2006" s="1">
        <v>45747</v>
      </c>
      <c r="E2006">
        <v>0</v>
      </c>
      <c r="F2006" s="2">
        <v>0</v>
      </c>
      <c r="G2006" s="2">
        <v>0</v>
      </c>
    </row>
    <row r="2007" spans="1:7" hidden="1" x14ac:dyDescent="0.3">
      <c r="A2007" t="s">
        <v>411</v>
      </c>
      <c r="B2007" t="s">
        <v>412</v>
      </c>
      <c r="C2007" t="s">
        <v>5</v>
      </c>
      <c r="D2007" s="1">
        <v>45869</v>
      </c>
      <c r="E2007">
        <v>0</v>
      </c>
      <c r="F2007" s="2">
        <v>0</v>
      </c>
      <c r="G2007" s="2">
        <v>500</v>
      </c>
    </row>
    <row r="2008" spans="1:7" hidden="1" x14ac:dyDescent="0.3">
      <c r="A2008" t="s">
        <v>411</v>
      </c>
      <c r="B2008" t="s">
        <v>412</v>
      </c>
      <c r="C2008" t="s">
        <v>5</v>
      </c>
      <c r="D2008" s="1">
        <v>45900</v>
      </c>
      <c r="E2008">
        <v>0</v>
      </c>
      <c r="F2008" s="2">
        <v>0</v>
      </c>
      <c r="G2008" s="2">
        <v>500</v>
      </c>
    </row>
    <row r="2009" spans="1:7" hidden="1" x14ac:dyDescent="0.3">
      <c r="A2009" t="s">
        <v>411</v>
      </c>
      <c r="B2009" t="s">
        <v>412</v>
      </c>
      <c r="C2009" t="s">
        <v>5</v>
      </c>
      <c r="D2009" s="1">
        <v>45930</v>
      </c>
      <c r="E2009">
        <v>0</v>
      </c>
      <c r="F2009" s="2">
        <v>0</v>
      </c>
      <c r="G2009" s="2">
        <v>500</v>
      </c>
    </row>
    <row r="2010" spans="1:7" hidden="1" x14ac:dyDescent="0.3">
      <c r="A2010" t="s">
        <v>411</v>
      </c>
      <c r="B2010" t="s">
        <v>412</v>
      </c>
      <c r="C2010" t="s">
        <v>5</v>
      </c>
      <c r="D2010" s="1">
        <v>45961</v>
      </c>
      <c r="E2010">
        <v>0</v>
      </c>
      <c r="F2010" s="2">
        <v>0</v>
      </c>
      <c r="G2010" s="2">
        <v>500</v>
      </c>
    </row>
    <row r="2011" spans="1:7" hidden="1" x14ac:dyDescent="0.3">
      <c r="A2011" t="s">
        <v>411</v>
      </c>
      <c r="B2011" t="s">
        <v>412</v>
      </c>
      <c r="C2011" t="s">
        <v>5</v>
      </c>
      <c r="D2011" s="1">
        <v>45991</v>
      </c>
      <c r="E2011">
        <v>0</v>
      </c>
      <c r="F2011" s="2">
        <v>0</v>
      </c>
      <c r="G2011" s="2">
        <v>500</v>
      </c>
    </row>
    <row r="2012" spans="1:7" hidden="1" x14ac:dyDescent="0.3">
      <c r="A2012" t="s">
        <v>411</v>
      </c>
      <c r="B2012" t="s">
        <v>412</v>
      </c>
      <c r="C2012" t="s">
        <v>5</v>
      </c>
      <c r="D2012" s="1">
        <v>46022</v>
      </c>
      <c r="E2012">
        <v>0</v>
      </c>
      <c r="F2012" s="2">
        <v>0</v>
      </c>
      <c r="G2012" s="2">
        <v>500</v>
      </c>
    </row>
    <row r="2013" spans="1:7" hidden="1" x14ac:dyDescent="0.3">
      <c r="A2013" t="s">
        <v>419</v>
      </c>
      <c r="B2013" t="s">
        <v>420</v>
      </c>
      <c r="C2013" t="s">
        <v>5</v>
      </c>
      <c r="D2013" s="1">
        <v>45688</v>
      </c>
      <c r="E2013">
        <v>0</v>
      </c>
      <c r="F2013" s="2">
        <v>0</v>
      </c>
      <c r="G2013" s="2">
        <v>0</v>
      </c>
    </row>
    <row r="2014" spans="1:7" hidden="1" x14ac:dyDescent="0.3">
      <c r="A2014" t="s">
        <v>419</v>
      </c>
      <c r="B2014" t="s">
        <v>420</v>
      </c>
      <c r="C2014" t="s">
        <v>5</v>
      </c>
      <c r="D2014" s="1">
        <v>45716</v>
      </c>
      <c r="E2014">
        <v>0</v>
      </c>
      <c r="F2014" s="2">
        <v>0</v>
      </c>
      <c r="G2014" s="2">
        <v>0</v>
      </c>
    </row>
    <row r="2015" spans="1:7" hidden="1" x14ac:dyDescent="0.3">
      <c r="A2015" t="s">
        <v>419</v>
      </c>
      <c r="B2015" t="s">
        <v>420</v>
      </c>
      <c r="C2015" t="s">
        <v>5</v>
      </c>
      <c r="D2015" s="1">
        <v>45747</v>
      </c>
      <c r="E2015">
        <v>0</v>
      </c>
      <c r="F2015" s="2">
        <v>0</v>
      </c>
      <c r="G2015" s="2">
        <v>0</v>
      </c>
    </row>
    <row r="2016" spans="1:7" hidden="1" x14ac:dyDescent="0.3">
      <c r="A2016" t="s">
        <v>419</v>
      </c>
      <c r="B2016" t="s">
        <v>420</v>
      </c>
      <c r="C2016" t="s">
        <v>5</v>
      </c>
      <c r="D2016" s="1">
        <v>45777</v>
      </c>
      <c r="E2016">
        <v>0</v>
      </c>
      <c r="F2016" s="2">
        <v>0</v>
      </c>
      <c r="G2016" s="2">
        <v>0</v>
      </c>
    </row>
    <row r="2017" spans="1:7" hidden="1" x14ac:dyDescent="0.3">
      <c r="A2017" t="s">
        <v>419</v>
      </c>
      <c r="B2017" t="s">
        <v>420</v>
      </c>
      <c r="C2017" t="s">
        <v>5</v>
      </c>
      <c r="D2017" s="1">
        <v>45869</v>
      </c>
      <c r="E2017">
        <v>0</v>
      </c>
      <c r="F2017" s="2">
        <v>0</v>
      </c>
      <c r="G2017" s="2">
        <v>500</v>
      </c>
    </row>
    <row r="2018" spans="1:7" hidden="1" x14ac:dyDescent="0.3">
      <c r="A2018" t="s">
        <v>419</v>
      </c>
      <c r="B2018" t="s">
        <v>420</v>
      </c>
      <c r="C2018" t="s">
        <v>5</v>
      </c>
      <c r="D2018" s="1">
        <v>45900</v>
      </c>
      <c r="E2018">
        <v>0</v>
      </c>
      <c r="F2018" s="2">
        <v>0</v>
      </c>
      <c r="G2018" s="2">
        <v>500</v>
      </c>
    </row>
    <row r="2019" spans="1:7" hidden="1" x14ac:dyDescent="0.3">
      <c r="A2019" t="s">
        <v>419</v>
      </c>
      <c r="B2019" t="s">
        <v>420</v>
      </c>
      <c r="C2019" t="s">
        <v>5</v>
      </c>
      <c r="D2019" s="1">
        <v>45930</v>
      </c>
      <c r="E2019">
        <v>0</v>
      </c>
      <c r="F2019" s="2">
        <v>0</v>
      </c>
      <c r="G2019" s="2">
        <v>500</v>
      </c>
    </row>
    <row r="2020" spans="1:7" hidden="1" x14ac:dyDescent="0.3">
      <c r="A2020" t="s">
        <v>419</v>
      </c>
      <c r="B2020" t="s">
        <v>420</v>
      </c>
      <c r="C2020" t="s">
        <v>5</v>
      </c>
      <c r="D2020" s="1">
        <v>45961</v>
      </c>
      <c r="E2020">
        <v>0</v>
      </c>
      <c r="F2020" s="2">
        <v>0</v>
      </c>
      <c r="G2020" s="2">
        <v>500</v>
      </c>
    </row>
    <row r="2021" spans="1:7" hidden="1" x14ac:dyDescent="0.3">
      <c r="A2021" t="s">
        <v>419</v>
      </c>
      <c r="B2021" t="s">
        <v>420</v>
      </c>
      <c r="C2021" t="s">
        <v>5</v>
      </c>
      <c r="D2021" s="1">
        <v>45991</v>
      </c>
      <c r="E2021">
        <v>0</v>
      </c>
      <c r="F2021" s="2">
        <v>0</v>
      </c>
      <c r="G2021" s="2">
        <v>500</v>
      </c>
    </row>
    <row r="2022" spans="1:7" hidden="1" x14ac:dyDescent="0.3">
      <c r="A2022" t="s">
        <v>419</v>
      </c>
      <c r="B2022" t="s">
        <v>420</v>
      </c>
      <c r="C2022" t="s">
        <v>5</v>
      </c>
      <c r="D2022" s="1">
        <v>46022</v>
      </c>
      <c r="E2022">
        <v>0</v>
      </c>
      <c r="F2022" s="2">
        <v>0</v>
      </c>
      <c r="G2022" s="2">
        <v>500</v>
      </c>
    </row>
    <row r="2023" spans="1:7" hidden="1" x14ac:dyDescent="0.3">
      <c r="A2023" t="s">
        <v>407</v>
      </c>
      <c r="B2023" t="s">
        <v>408</v>
      </c>
      <c r="C2023" t="s">
        <v>5</v>
      </c>
      <c r="D2023" s="1">
        <v>45688</v>
      </c>
      <c r="E2023">
        <v>0</v>
      </c>
      <c r="F2023" s="2">
        <v>0</v>
      </c>
      <c r="G2023" s="2">
        <v>0</v>
      </c>
    </row>
    <row r="2024" spans="1:7" hidden="1" x14ac:dyDescent="0.3">
      <c r="A2024" t="s">
        <v>407</v>
      </c>
      <c r="B2024" t="s">
        <v>408</v>
      </c>
      <c r="C2024" t="s">
        <v>5</v>
      </c>
      <c r="D2024" s="1">
        <v>45716</v>
      </c>
      <c r="E2024">
        <v>0</v>
      </c>
      <c r="F2024" s="2">
        <v>0</v>
      </c>
      <c r="G2024" s="2">
        <v>0</v>
      </c>
    </row>
    <row r="2025" spans="1:7" hidden="1" x14ac:dyDescent="0.3">
      <c r="A2025" t="s">
        <v>407</v>
      </c>
      <c r="B2025" t="s">
        <v>408</v>
      </c>
      <c r="C2025" t="s">
        <v>5</v>
      </c>
      <c r="D2025" s="1">
        <v>45747</v>
      </c>
      <c r="E2025">
        <v>0</v>
      </c>
      <c r="F2025" s="2">
        <v>0</v>
      </c>
      <c r="G2025" s="2">
        <v>0</v>
      </c>
    </row>
    <row r="2026" spans="1:7" hidden="1" x14ac:dyDescent="0.3">
      <c r="A2026" t="s">
        <v>407</v>
      </c>
      <c r="B2026" t="s">
        <v>408</v>
      </c>
      <c r="C2026" t="s">
        <v>5</v>
      </c>
      <c r="D2026" s="1">
        <v>45869</v>
      </c>
      <c r="E2026">
        <v>0</v>
      </c>
      <c r="F2026" s="2">
        <v>0</v>
      </c>
      <c r="G2026" s="2">
        <v>500</v>
      </c>
    </row>
    <row r="2027" spans="1:7" hidden="1" x14ac:dyDescent="0.3">
      <c r="A2027" t="s">
        <v>407</v>
      </c>
      <c r="B2027" t="s">
        <v>408</v>
      </c>
      <c r="C2027" t="s">
        <v>5</v>
      </c>
      <c r="D2027" s="1">
        <v>45900</v>
      </c>
      <c r="E2027">
        <v>0</v>
      </c>
      <c r="F2027" s="2">
        <v>0</v>
      </c>
      <c r="G2027" s="2">
        <v>500</v>
      </c>
    </row>
    <row r="2028" spans="1:7" hidden="1" x14ac:dyDescent="0.3">
      <c r="A2028" t="s">
        <v>407</v>
      </c>
      <c r="B2028" t="s">
        <v>408</v>
      </c>
      <c r="C2028" t="s">
        <v>5</v>
      </c>
      <c r="D2028" s="1">
        <v>45930</v>
      </c>
      <c r="E2028">
        <v>0</v>
      </c>
      <c r="F2028" s="2">
        <v>0</v>
      </c>
      <c r="G2028" s="2">
        <v>500</v>
      </c>
    </row>
    <row r="2029" spans="1:7" hidden="1" x14ac:dyDescent="0.3">
      <c r="A2029" t="s">
        <v>407</v>
      </c>
      <c r="B2029" t="s">
        <v>408</v>
      </c>
      <c r="C2029" t="s">
        <v>5</v>
      </c>
      <c r="D2029" s="1">
        <v>45961</v>
      </c>
      <c r="E2029">
        <v>0</v>
      </c>
      <c r="F2029" s="2">
        <v>0</v>
      </c>
      <c r="G2029" s="2">
        <v>500</v>
      </c>
    </row>
    <row r="2030" spans="1:7" hidden="1" x14ac:dyDescent="0.3">
      <c r="A2030" t="s">
        <v>407</v>
      </c>
      <c r="B2030" t="s">
        <v>408</v>
      </c>
      <c r="C2030" t="s">
        <v>5</v>
      </c>
      <c r="D2030" s="1">
        <v>45991</v>
      </c>
      <c r="E2030">
        <v>0</v>
      </c>
      <c r="F2030" s="2">
        <v>0</v>
      </c>
      <c r="G2030" s="2">
        <v>500</v>
      </c>
    </row>
    <row r="2031" spans="1:7" hidden="1" x14ac:dyDescent="0.3">
      <c r="A2031" t="s">
        <v>407</v>
      </c>
      <c r="B2031" t="s">
        <v>408</v>
      </c>
      <c r="C2031" t="s">
        <v>5</v>
      </c>
      <c r="D2031" s="1">
        <v>46022</v>
      </c>
      <c r="E2031">
        <v>0</v>
      </c>
      <c r="F2031" s="2">
        <v>0</v>
      </c>
      <c r="G2031" s="2">
        <v>500</v>
      </c>
    </row>
    <row r="2032" spans="1:7" hidden="1" x14ac:dyDescent="0.3">
      <c r="A2032" t="s">
        <v>409</v>
      </c>
      <c r="B2032" t="s">
        <v>410</v>
      </c>
      <c r="C2032" t="s">
        <v>5</v>
      </c>
      <c r="D2032" s="1">
        <v>45688</v>
      </c>
      <c r="E2032">
        <v>0</v>
      </c>
      <c r="F2032" s="2">
        <v>0</v>
      </c>
      <c r="G2032" s="2">
        <v>0</v>
      </c>
    </row>
    <row r="2033" spans="1:7" hidden="1" x14ac:dyDescent="0.3">
      <c r="A2033" t="s">
        <v>409</v>
      </c>
      <c r="B2033" t="s">
        <v>410</v>
      </c>
      <c r="C2033" t="s">
        <v>5</v>
      </c>
      <c r="D2033" s="1">
        <v>45716</v>
      </c>
      <c r="E2033">
        <v>0</v>
      </c>
      <c r="F2033" s="2">
        <v>0</v>
      </c>
      <c r="G2033" s="2">
        <v>0</v>
      </c>
    </row>
    <row r="2034" spans="1:7" hidden="1" x14ac:dyDescent="0.3">
      <c r="A2034" t="s">
        <v>409</v>
      </c>
      <c r="B2034" t="s">
        <v>410</v>
      </c>
      <c r="C2034" t="s">
        <v>5</v>
      </c>
      <c r="D2034" s="1">
        <v>45747</v>
      </c>
      <c r="E2034">
        <v>0</v>
      </c>
      <c r="F2034" s="2">
        <v>0</v>
      </c>
      <c r="G2034" s="2">
        <v>0</v>
      </c>
    </row>
    <row r="2035" spans="1:7" hidden="1" x14ac:dyDescent="0.3">
      <c r="A2035" t="s">
        <v>409</v>
      </c>
      <c r="B2035" t="s">
        <v>410</v>
      </c>
      <c r="C2035" t="s">
        <v>5</v>
      </c>
      <c r="D2035" s="1">
        <v>45869</v>
      </c>
      <c r="E2035">
        <v>0</v>
      </c>
      <c r="F2035" s="2">
        <v>0</v>
      </c>
      <c r="G2035" s="2">
        <v>500</v>
      </c>
    </row>
    <row r="2036" spans="1:7" hidden="1" x14ac:dyDescent="0.3">
      <c r="A2036" t="s">
        <v>409</v>
      </c>
      <c r="B2036" t="s">
        <v>410</v>
      </c>
      <c r="C2036" t="s">
        <v>5</v>
      </c>
      <c r="D2036" s="1">
        <v>45900</v>
      </c>
      <c r="E2036">
        <v>0</v>
      </c>
      <c r="F2036" s="2">
        <v>0</v>
      </c>
      <c r="G2036" s="2">
        <v>500</v>
      </c>
    </row>
    <row r="2037" spans="1:7" hidden="1" x14ac:dyDescent="0.3">
      <c r="A2037" t="s">
        <v>409</v>
      </c>
      <c r="B2037" t="s">
        <v>410</v>
      </c>
      <c r="C2037" t="s">
        <v>5</v>
      </c>
      <c r="D2037" s="1">
        <v>45930</v>
      </c>
      <c r="E2037">
        <v>0</v>
      </c>
      <c r="F2037" s="2">
        <v>0</v>
      </c>
      <c r="G2037" s="2">
        <v>500</v>
      </c>
    </row>
    <row r="2038" spans="1:7" hidden="1" x14ac:dyDescent="0.3">
      <c r="A2038" t="s">
        <v>409</v>
      </c>
      <c r="B2038" t="s">
        <v>410</v>
      </c>
      <c r="C2038" t="s">
        <v>5</v>
      </c>
      <c r="D2038" s="1">
        <v>45961</v>
      </c>
      <c r="E2038">
        <v>0</v>
      </c>
      <c r="F2038" s="2">
        <v>0</v>
      </c>
      <c r="G2038" s="2">
        <v>500</v>
      </c>
    </row>
    <row r="2039" spans="1:7" hidden="1" x14ac:dyDescent="0.3">
      <c r="A2039" t="s">
        <v>409</v>
      </c>
      <c r="B2039" t="s">
        <v>410</v>
      </c>
      <c r="C2039" t="s">
        <v>5</v>
      </c>
      <c r="D2039" s="1">
        <v>45991</v>
      </c>
      <c r="E2039">
        <v>0</v>
      </c>
      <c r="F2039" s="2">
        <v>0</v>
      </c>
      <c r="G2039" s="2">
        <v>500</v>
      </c>
    </row>
    <row r="2040" spans="1:7" hidden="1" x14ac:dyDescent="0.3">
      <c r="A2040" t="s">
        <v>409</v>
      </c>
      <c r="B2040" t="s">
        <v>410</v>
      </c>
      <c r="C2040" t="s">
        <v>5</v>
      </c>
      <c r="D2040" s="1">
        <v>46022</v>
      </c>
      <c r="E2040">
        <v>0</v>
      </c>
      <c r="F2040" s="2">
        <v>0</v>
      </c>
      <c r="G2040" s="2">
        <v>500</v>
      </c>
    </row>
    <row r="2041" spans="1:7" hidden="1" x14ac:dyDescent="0.3">
      <c r="A2041" t="s">
        <v>253</v>
      </c>
      <c r="B2041" t="s">
        <v>254</v>
      </c>
      <c r="C2041" t="s">
        <v>5</v>
      </c>
      <c r="D2041" s="1">
        <v>45869</v>
      </c>
      <c r="E2041">
        <v>0</v>
      </c>
      <c r="F2041" s="2">
        <v>0</v>
      </c>
      <c r="G2041" s="2">
        <v>1483.6980000000001</v>
      </c>
    </row>
    <row r="2042" spans="1:7" hidden="1" x14ac:dyDescent="0.3">
      <c r="A2042" t="s">
        <v>253</v>
      </c>
      <c r="B2042" t="s">
        <v>254</v>
      </c>
      <c r="C2042" t="s">
        <v>5</v>
      </c>
      <c r="D2042" s="1">
        <v>45900</v>
      </c>
      <c r="E2042">
        <v>0</v>
      </c>
      <c r="F2042" s="2">
        <v>0</v>
      </c>
      <c r="G2042" s="2">
        <v>1483.6980000000001</v>
      </c>
    </row>
    <row r="2043" spans="1:7" hidden="1" x14ac:dyDescent="0.3">
      <c r="A2043" t="s">
        <v>253</v>
      </c>
      <c r="B2043" t="s">
        <v>254</v>
      </c>
      <c r="C2043" t="s">
        <v>5</v>
      </c>
      <c r="D2043" s="1">
        <v>45930</v>
      </c>
      <c r="E2043">
        <v>0</v>
      </c>
      <c r="F2043" s="2">
        <v>0</v>
      </c>
      <c r="G2043" s="2">
        <v>1483.6980000000001</v>
      </c>
    </row>
    <row r="2044" spans="1:7" hidden="1" x14ac:dyDescent="0.3">
      <c r="A2044" t="s">
        <v>253</v>
      </c>
      <c r="B2044" t="s">
        <v>254</v>
      </c>
      <c r="C2044" t="s">
        <v>5</v>
      </c>
      <c r="D2044" s="1">
        <v>45961</v>
      </c>
      <c r="E2044">
        <v>0</v>
      </c>
      <c r="F2044" s="2">
        <v>0</v>
      </c>
      <c r="G2044" s="2">
        <v>1483.6980000000001</v>
      </c>
    </row>
    <row r="2045" spans="1:7" hidden="1" x14ac:dyDescent="0.3">
      <c r="A2045" t="s">
        <v>253</v>
      </c>
      <c r="B2045" t="s">
        <v>254</v>
      </c>
      <c r="C2045" t="s">
        <v>5</v>
      </c>
      <c r="D2045" s="1">
        <v>45991</v>
      </c>
      <c r="E2045">
        <v>0</v>
      </c>
      <c r="F2045" s="2">
        <v>0</v>
      </c>
      <c r="G2045" s="2">
        <v>1483.6980000000001</v>
      </c>
    </row>
    <row r="2046" spans="1:7" hidden="1" x14ac:dyDescent="0.3">
      <c r="A2046" t="s">
        <v>253</v>
      </c>
      <c r="B2046" t="s">
        <v>254</v>
      </c>
      <c r="C2046" t="s">
        <v>5</v>
      </c>
      <c r="D2046" s="1">
        <v>46022</v>
      </c>
      <c r="E2046">
        <v>0</v>
      </c>
      <c r="F2046" s="2">
        <v>0</v>
      </c>
      <c r="G2046" s="2">
        <v>1483.6980000000001</v>
      </c>
    </row>
    <row r="2047" spans="1:7" hidden="1" x14ac:dyDescent="0.3">
      <c r="A2047" t="s">
        <v>355</v>
      </c>
      <c r="B2047" t="s">
        <v>356</v>
      </c>
      <c r="C2047" t="s">
        <v>5</v>
      </c>
      <c r="D2047" s="1">
        <v>45869</v>
      </c>
      <c r="E2047">
        <v>0</v>
      </c>
      <c r="F2047" s="2">
        <v>0</v>
      </c>
      <c r="G2047" s="2">
        <v>500</v>
      </c>
    </row>
    <row r="2048" spans="1:7" hidden="1" x14ac:dyDescent="0.3">
      <c r="A2048" t="s">
        <v>355</v>
      </c>
      <c r="B2048" t="s">
        <v>356</v>
      </c>
      <c r="C2048" t="s">
        <v>5</v>
      </c>
      <c r="D2048" s="1">
        <v>45900</v>
      </c>
      <c r="E2048">
        <v>0</v>
      </c>
      <c r="F2048" s="2">
        <v>0</v>
      </c>
      <c r="G2048" s="2">
        <v>500</v>
      </c>
    </row>
    <row r="2049" spans="1:7" hidden="1" x14ac:dyDescent="0.3">
      <c r="A2049" t="s">
        <v>355</v>
      </c>
      <c r="B2049" t="s">
        <v>356</v>
      </c>
      <c r="C2049" t="s">
        <v>5</v>
      </c>
      <c r="D2049" s="1">
        <v>45930</v>
      </c>
      <c r="E2049">
        <v>0</v>
      </c>
      <c r="F2049" s="2">
        <v>0</v>
      </c>
      <c r="G2049" s="2">
        <v>500</v>
      </c>
    </row>
    <row r="2050" spans="1:7" hidden="1" x14ac:dyDescent="0.3">
      <c r="A2050" t="s">
        <v>355</v>
      </c>
      <c r="B2050" t="s">
        <v>356</v>
      </c>
      <c r="C2050" t="s">
        <v>5</v>
      </c>
      <c r="D2050" s="1">
        <v>45961</v>
      </c>
      <c r="E2050">
        <v>0</v>
      </c>
      <c r="F2050" s="2">
        <v>0</v>
      </c>
      <c r="G2050" s="2">
        <v>500</v>
      </c>
    </row>
    <row r="2051" spans="1:7" hidden="1" x14ac:dyDescent="0.3">
      <c r="A2051" t="s">
        <v>355</v>
      </c>
      <c r="B2051" t="s">
        <v>356</v>
      </c>
      <c r="C2051" t="s">
        <v>5</v>
      </c>
      <c r="D2051" s="1">
        <v>45991</v>
      </c>
      <c r="E2051">
        <v>0</v>
      </c>
      <c r="F2051" s="2">
        <v>0</v>
      </c>
      <c r="G2051" s="2">
        <v>500</v>
      </c>
    </row>
    <row r="2052" spans="1:7" hidden="1" x14ac:dyDescent="0.3">
      <c r="A2052" t="s">
        <v>355</v>
      </c>
      <c r="B2052" t="s">
        <v>356</v>
      </c>
      <c r="C2052" t="s">
        <v>5</v>
      </c>
      <c r="D2052" s="1">
        <v>46022</v>
      </c>
      <c r="E2052">
        <v>0</v>
      </c>
      <c r="F2052" s="2">
        <v>0</v>
      </c>
      <c r="G2052" s="2">
        <v>500</v>
      </c>
    </row>
    <row r="2053" spans="1:7" hidden="1" x14ac:dyDescent="0.3">
      <c r="A2053" t="s">
        <v>346</v>
      </c>
      <c r="B2053" t="s">
        <v>347</v>
      </c>
      <c r="C2053" t="s">
        <v>5</v>
      </c>
      <c r="D2053" s="1">
        <v>45777</v>
      </c>
      <c r="E2053">
        <v>0</v>
      </c>
      <c r="F2053" s="2">
        <v>0</v>
      </c>
      <c r="G2053" s="2">
        <v>0</v>
      </c>
    </row>
    <row r="2054" spans="1:7" hidden="1" x14ac:dyDescent="0.3">
      <c r="A2054" t="s">
        <v>346</v>
      </c>
      <c r="B2054" t="s">
        <v>347</v>
      </c>
      <c r="C2054" t="s">
        <v>5</v>
      </c>
      <c r="D2054" s="1">
        <v>45808</v>
      </c>
      <c r="E2054">
        <v>0</v>
      </c>
      <c r="F2054" s="2">
        <v>0</v>
      </c>
      <c r="G2054" s="2">
        <v>0</v>
      </c>
    </row>
    <row r="2055" spans="1:7" hidden="1" x14ac:dyDescent="0.3">
      <c r="A2055" t="s">
        <v>402</v>
      </c>
      <c r="B2055" t="s">
        <v>347</v>
      </c>
      <c r="C2055" t="s">
        <v>5</v>
      </c>
      <c r="D2055" s="1">
        <v>45688</v>
      </c>
      <c r="E2055">
        <v>0</v>
      </c>
      <c r="F2055" s="2">
        <v>0</v>
      </c>
      <c r="G2055" s="2">
        <v>0</v>
      </c>
    </row>
    <row r="2056" spans="1:7" hidden="1" x14ac:dyDescent="0.3">
      <c r="A2056" t="s">
        <v>402</v>
      </c>
      <c r="B2056" t="s">
        <v>347</v>
      </c>
      <c r="C2056" t="s">
        <v>5</v>
      </c>
      <c r="D2056" s="1">
        <v>45716</v>
      </c>
      <c r="E2056">
        <v>0</v>
      </c>
      <c r="F2056" s="2">
        <v>0</v>
      </c>
      <c r="G2056" s="2">
        <v>0</v>
      </c>
    </row>
    <row r="2057" spans="1:7" hidden="1" x14ac:dyDescent="0.3">
      <c r="A2057" t="s">
        <v>402</v>
      </c>
      <c r="B2057" t="s">
        <v>347</v>
      </c>
      <c r="C2057" t="s">
        <v>5</v>
      </c>
      <c r="D2057" s="1">
        <v>45747</v>
      </c>
      <c r="E2057">
        <v>0</v>
      </c>
      <c r="F2057" s="2">
        <v>0</v>
      </c>
      <c r="G2057" s="2">
        <v>0</v>
      </c>
    </row>
    <row r="2058" spans="1:7" hidden="1" x14ac:dyDescent="0.3">
      <c r="A2058" t="s">
        <v>402</v>
      </c>
      <c r="B2058" t="s">
        <v>347</v>
      </c>
      <c r="C2058" t="s">
        <v>5</v>
      </c>
      <c r="D2058" s="1">
        <v>45869</v>
      </c>
      <c r="E2058">
        <v>0</v>
      </c>
      <c r="F2058" s="2">
        <v>0</v>
      </c>
      <c r="G2058" s="2">
        <v>1567.7900000000002</v>
      </c>
    </row>
    <row r="2059" spans="1:7" hidden="1" x14ac:dyDescent="0.3">
      <c r="A2059" t="s">
        <v>402</v>
      </c>
      <c r="B2059" t="s">
        <v>347</v>
      </c>
      <c r="C2059" t="s">
        <v>5</v>
      </c>
      <c r="D2059" s="1">
        <v>45900</v>
      </c>
      <c r="E2059">
        <v>0</v>
      </c>
      <c r="F2059" s="2">
        <v>0</v>
      </c>
      <c r="G2059" s="2">
        <v>1567.7900000000002</v>
      </c>
    </row>
    <row r="2060" spans="1:7" hidden="1" x14ac:dyDescent="0.3">
      <c r="A2060" t="s">
        <v>402</v>
      </c>
      <c r="B2060" t="s">
        <v>347</v>
      </c>
      <c r="C2060" t="s">
        <v>5</v>
      </c>
      <c r="D2060" s="1">
        <v>45930</v>
      </c>
      <c r="E2060">
        <v>0</v>
      </c>
      <c r="F2060" s="2">
        <v>0</v>
      </c>
      <c r="G2060" s="2">
        <v>1567.7900000000002</v>
      </c>
    </row>
    <row r="2061" spans="1:7" hidden="1" x14ac:dyDescent="0.3">
      <c r="A2061" t="s">
        <v>402</v>
      </c>
      <c r="B2061" t="s">
        <v>347</v>
      </c>
      <c r="C2061" t="s">
        <v>5</v>
      </c>
      <c r="D2061" s="1">
        <v>45961</v>
      </c>
      <c r="E2061">
        <v>0</v>
      </c>
      <c r="F2061" s="2">
        <v>0</v>
      </c>
      <c r="G2061" s="2">
        <v>1567.7900000000002</v>
      </c>
    </row>
    <row r="2062" spans="1:7" hidden="1" x14ac:dyDescent="0.3">
      <c r="A2062" t="s">
        <v>402</v>
      </c>
      <c r="B2062" t="s">
        <v>347</v>
      </c>
      <c r="C2062" t="s">
        <v>5</v>
      </c>
      <c r="D2062" s="1">
        <v>45991</v>
      </c>
      <c r="E2062">
        <v>0</v>
      </c>
      <c r="F2062" s="2">
        <v>0</v>
      </c>
      <c r="G2062" s="2">
        <v>1567.7900000000002</v>
      </c>
    </row>
    <row r="2063" spans="1:7" hidden="1" x14ac:dyDescent="0.3">
      <c r="A2063" t="s">
        <v>402</v>
      </c>
      <c r="B2063" t="s">
        <v>347</v>
      </c>
      <c r="C2063" t="s">
        <v>5</v>
      </c>
      <c r="D2063" s="1">
        <v>46022</v>
      </c>
      <c r="E2063">
        <v>0</v>
      </c>
      <c r="F2063" s="2">
        <v>0</v>
      </c>
      <c r="G2063" s="2">
        <v>1567.7900000000002</v>
      </c>
    </row>
    <row r="2064" spans="1:7" hidden="1" x14ac:dyDescent="0.3">
      <c r="A2064" t="s">
        <v>413</v>
      </c>
      <c r="B2064" t="s">
        <v>414</v>
      </c>
      <c r="C2064" t="s">
        <v>5</v>
      </c>
      <c r="D2064" s="1">
        <v>45688</v>
      </c>
      <c r="E2064">
        <v>0</v>
      </c>
      <c r="F2064" s="2">
        <v>0</v>
      </c>
      <c r="G2064" s="2">
        <v>0</v>
      </c>
    </row>
    <row r="2065" spans="1:7" hidden="1" x14ac:dyDescent="0.3">
      <c r="A2065" t="s">
        <v>413</v>
      </c>
      <c r="B2065" t="s">
        <v>414</v>
      </c>
      <c r="C2065" t="s">
        <v>5</v>
      </c>
      <c r="D2065" s="1">
        <v>45716</v>
      </c>
      <c r="E2065">
        <v>0</v>
      </c>
      <c r="F2065" s="2">
        <v>0</v>
      </c>
      <c r="G2065" s="2">
        <v>0</v>
      </c>
    </row>
    <row r="2066" spans="1:7" hidden="1" x14ac:dyDescent="0.3">
      <c r="A2066" t="s">
        <v>413</v>
      </c>
      <c r="B2066" t="s">
        <v>414</v>
      </c>
      <c r="C2066" t="s">
        <v>5</v>
      </c>
      <c r="D2066" s="1">
        <v>45747</v>
      </c>
      <c r="E2066">
        <v>0</v>
      </c>
      <c r="F2066" s="2">
        <v>0</v>
      </c>
      <c r="G2066" s="2">
        <v>0</v>
      </c>
    </row>
    <row r="2067" spans="1:7" hidden="1" x14ac:dyDescent="0.3">
      <c r="A2067" t="s">
        <v>413</v>
      </c>
      <c r="B2067" t="s">
        <v>414</v>
      </c>
      <c r="C2067" t="s">
        <v>5</v>
      </c>
      <c r="D2067" s="1">
        <v>45869</v>
      </c>
      <c r="E2067">
        <v>0</v>
      </c>
      <c r="F2067" s="2">
        <v>0</v>
      </c>
      <c r="G2067" s="2">
        <v>500</v>
      </c>
    </row>
    <row r="2068" spans="1:7" hidden="1" x14ac:dyDescent="0.3">
      <c r="A2068" t="s">
        <v>413</v>
      </c>
      <c r="B2068" t="s">
        <v>414</v>
      </c>
      <c r="C2068" t="s">
        <v>5</v>
      </c>
      <c r="D2068" s="1">
        <v>45900</v>
      </c>
      <c r="E2068">
        <v>0</v>
      </c>
      <c r="F2068" s="2">
        <v>0</v>
      </c>
      <c r="G2068" s="2">
        <v>500</v>
      </c>
    </row>
    <row r="2069" spans="1:7" hidden="1" x14ac:dyDescent="0.3">
      <c r="A2069" t="s">
        <v>413</v>
      </c>
      <c r="B2069" t="s">
        <v>414</v>
      </c>
      <c r="C2069" t="s">
        <v>5</v>
      </c>
      <c r="D2069" s="1">
        <v>45930</v>
      </c>
      <c r="E2069">
        <v>0</v>
      </c>
      <c r="F2069" s="2">
        <v>0</v>
      </c>
      <c r="G2069" s="2">
        <v>500</v>
      </c>
    </row>
    <row r="2070" spans="1:7" hidden="1" x14ac:dyDescent="0.3">
      <c r="A2070" t="s">
        <v>413</v>
      </c>
      <c r="B2070" t="s">
        <v>414</v>
      </c>
      <c r="C2070" t="s">
        <v>5</v>
      </c>
      <c r="D2070" s="1">
        <v>45961</v>
      </c>
      <c r="E2070">
        <v>0</v>
      </c>
      <c r="F2070" s="2">
        <v>0</v>
      </c>
      <c r="G2070" s="2">
        <v>500</v>
      </c>
    </row>
    <row r="2071" spans="1:7" hidden="1" x14ac:dyDescent="0.3">
      <c r="A2071" t="s">
        <v>413</v>
      </c>
      <c r="B2071" t="s">
        <v>414</v>
      </c>
      <c r="C2071" t="s">
        <v>5</v>
      </c>
      <c r="D2071" s="1">
        <v>45991</v>
      </c>
      <c r="E2071">
        <v>0</v>
      </c>
      <c r="F2071" s="2">
        <v>0</v>
      </c>
      <c r="G2071" s="2">
        <v>500</v>
      </c>
    </row>
    <row r="2072" spans="1:7" hidden="1" x14ac:dyDescent="0.3">
      <c r="A2072" t="s">
        <v>413</v>
      </c>
      <c r="B2072" t="s">
        <v>414</v>
      </c>
      <c r="C2072" t="s">
        <v>5</v>
      </c>
      <c r="D2072" s="1">
        <v>46022</v>
      </c>
      <c r="E2072">
        <v>0</v>
      </c>
      <c r="F2072" s="2">
        <v>0</v>
      </c>
      <c r="G2072" s="2">
        <v>500</v>
      </c>
    </row>
    <row r="2073" spans="1:7" hidden="1" x14ac:dyDescent="0.3">
      <c r="A2073" t="s">
        <v>289</v>
      </c>
      <c r="B2073" t="s">
        <v>290</v>
      </c>
      <c r="C2073" t="s">
        <v>5</v>
      </c>
      <c r="D2073" s="1">
        <v>45869</v>
      </c>
      <c r="E2073">
        <v>0</v>
      </c>
      <c r="F2073" s="2">
        <v>0</v>
      </c>
      <c r="G2073" s="2">
        <v>1591.0320000000002</v>
      </c>
    </row>
    <row r="2074" spans="1:7" hidden="1" x14ac:dyDescent="0.3">
      <c r="A2074" t="s">
        <v>289</v>
      </c>
      <c r="B2074" t="s">
        <v>290</v>
      </c>
      <c r="C2074" t="s">
        <v>5</v>
      </c>
      <c r="D2074" s="1">
        <v>45900</v>
      </c>
      <c r="E2074">
        <v>0</v>
      </c>
      <c r="F2074" s="2">
        <v>0</v>
      </c>
      <c r="G2074" s="2">
        <v>1591.0320000000002</v>
      </c>
    </row>
    <row r="2075" spans="1:7" hidden="1" x14ac:dyDescent="0.3">
      <c r="A2075" t="s">
        <v>289</v>
      </c>
      <c r="B2075" t="s">
        <v>290</v>
      </c>
      <c r="C2075" t="s">
        <v>5</v>
      </c>
      <c r="D2075" s="1">
        <v>45930</v>
      </c>
      <c r="E2075">
        <v>0</v>
      </c>
      <c r="F2075" s="2">
        <v>0</v>
      </c>
      <c r="G2075" s="2">
        <v>1591.0320000000002</v>
      </c>
    </row>
    <row r="2076" spans="1:7" hidden="1" x14ac:dyDescent="0.3">
      <c r="A2076" t="s">
        <v>289</v>
      </c>
      <c r="B2076" t="s">
        <v>290</v>
      </c>
      <c r="C2076" t="s">
        <v>5</v>
      </c>
      <c r="D2076" s="1">
        <v>45961</v>
      </c>
      <c r="E2076">
        <v>0</v>
      </c>
      <c r="F2076" s="2">
        <v>0</v>
      </c>
      <c r="G2076" s="2">
        <v>1591.0320000000002</v>
      </c>
    </row>
    <row r="2077" spans="1:7" hidden="1" x14ac:dyDescent="0.3">
      <c r="A2077" t="s">
        <v>289</v>
      </c>
      <c r="B2077" t="s">
        <v>290</v>
      </c>
      <c r="C2077" t="s">
        <v>5</v>
      </c>
      <c r="D2077" s="1">
        <v>45991</v>
      </c>
      <c r="E2077">
        <v>0</v>
      </c>
      <c r="F2077" s="2">
        <v>0</v>
      </c>
      <c r="G2077" s="2">
        <v>1591.0320000000002</v>
      </c>
    </row>
    <row r="2078" spans="1:7" hidden="1" x14ac:dyDescent="0.3">
      <c r="A2078" t="s">
        <v>289</v>
      </c>
      <c r="B2078" t="s">
        <v>290</v>
      </c>
      <c r="C2078" t="s">
        <v>5</v>
      </c>
      <c r="D2078" s="1">
        <v>46022</v>
      </c>
      <c r="E2078">
        <v>0</v>
      </c>
      <c r="F2078" s="2">
        <v>0</v>
      </c>
      <c r="G2078" s="2">
        <v>1591.0320000000002</v>
      </c>
    </row>
    <row r="2079" spans="1:7" hidden="1" x14ac:dyDescent="0.3">
      <c r="A2079" t="s">
        <v>311</v>
      </c>
      <c r="B2079" t="s">
        <v>312</v>
      </c>
      <c r="C2079" t="s">
        <v>5</v>
      </c>
      <c r="D2079" s="1">
        <v>45869</v>
      </c>
      <c r="E2079">
        <v>0</v>
      </c>
      <c r="F2079" s="2">
        <v>0</v>
      </c>
      <c r="G2079" s="2">
        <v>1568.76</v>
      </c>
    </row>
    <row r="2080" spans="1:7" hidden="1" x14ac:dyDescent="0.3">
      <c r="A2080" t="s">
        <v>311</v>
      </c>
      <c r="B2080" t="s">
        <v>312</v>
      </c>
      <c r="C2080" t="s">
        <v>5</v>
      </c>
      <c r="D2080" s="1">
        <v>45900</v>
      </c>
      <c r="E2080">
        <v>0</v>
      </c>
      <c r="F2080" s="2">
        <v>0</v>
      </c>
      <c r="G2080" s="2">
        <v>1568.76</v>
      </c>
    </row>
    <row r="2081" spans="1:7" hidden="1" x14ac:dyDescent="0.3">
      <c r="A2081" t="s">
        <v>311</v>
      </c>
      <c r="B2081" t="s">
        <v>312</v>
      </c>
      <c r="C2081" t="s">
        <v>5</v>
      </c>
      <c r="D2081" s="1">
        <v>45930</v>
      </c>
      <c r="E2081">
        <v>0</v>
      </c>
      <c r="F2081" s="2">
        <v>0</v>
      </c>
      <c r="G2081" s="2">
        <v>1568.76</v>
      </c>
    </row>
    <row r="2082" spans="1:7" hidden="1" x14ac:dyDescent="0.3">
      <c r="A2082" t="s">
        <v>311</v>
      </c>
      <c r="B2082" t="s">
        <v>312</v>
      </c>
      <c r="C2082" t="s">
        <v>5</v>
      </c>
      <c r="D2082" s="1">
        <v>45961</v>
      </c>
      <c r="E2082">
        <v>0</v>
      </c>
      <c r="F2082" s="2">
        <v>0</v>
      </c>
      <c r="G2082" s="2">
        <v>1568.76</v>
      </c>
    </row>
    <row r="2083" spans="1:7" hidden="1" x14ac:dyDescent="0.3">
      <c r="A2083" t="s">
        <v>311</v>
      </c>
      <c r="B2083" t="s">
        <v>312</v>
      </c>
      <c r="C2083" t="s">
        <v>5</v>
      </c>
      <c r="D2083" s="1">
        <v>45991</v>
      </c>
      <c r="E2083">
        <v>0</v>
      </c>
      <c r="F2083" s="2">
        <v>0</v>
      </c>
      <c r="G2083" s="2">
        <v>1568.76</v>
      </c>
    </row>
    <row r="2084" spans="1:7" hidden="1" x14ac:dyDescent="0.3">
      <c r="A2084" t="s">
        <v>311</v>
      </c>
      <c r="B2084" t="s">
        <v>312</v>
      </c>
      <c r="C2084" t="s">
        <v>5</v>
      </c>
      <c r="D2084" s="1">
        <v>46022</v>
      </c>
      <c r="E2084">
        <v>0</v>
      </c>
      <c r="F2084" s="2">
        <v>0</v>
      </c>
      <c r="G2084" s="2">
        <v>1568.76</v>
      </c>
    </row>
    <row r="2085" spans="1:7" hidden="1" x14ac:dyDescent="0.3">
      <c r="A2085" t="s">
        <v>285</v>
      </c>
      <c r="B2085" t="s">
        <v>286</v>
      </c>
      <c r="C2085" t="s">
        <v>5</v>
      </c>
      <c r="D2085" s="1">
        <v>45869</v>
      </c>
      <c r="E2085">
        <v>0</v>
      </c>
      <c r="F2085" s="2">
        <v>0</v>
      </c>
      <c r="G2085" s="2">
        <v>1647.386</v>
      </c>
    </row>
    <row r="2086" spans="1:7" hidden="1" x14ac:dyDescent="0.3">
      <c r="A2086" t="s">
        <v>285</v>
      </c>
      <c r="B2086" t="s">
        <v>286</v>
      </c>
      <c r="C2086" t="s">
        <v>5</v>
      </c>
      <c r="D2086" s="1">
        <v>45900</v>
      </c>
      <c r="E2086">
        <v>0</v>
      </c>
      <c r="F2086" s="2">
        <v>0</v>
      </c>
      <c r="G2086" s="2">
        <v>1647.386</v>
      </c>
    </row>
    <row r="2087" spans="1:7" hidden="1" x14ac:dyDescent="0.3">
      <c r="A2087" t="s">
        <v>285</v>
      </c>
      <c r="B2087" t="s">
        <v>286</v>
      </c>
      <c r="C2087" t="s">
        <v>5</v>
      </c>
      <c r="D2087" s="1">
        <v>45930</v>
      </c>
      <c r="E2087">
        <v>0</v>
      </c>
      <c r="F2087" s="2">
        <v>0</v>
      </c>
      <c r="G2087" s="2">
        <v>1647.386</v>
      </c>
    </row>
    <row r="2088" spans="1:7" hidden="1" x14ac:dyDescent="0.3">
      <c r="A2088" t="s">
        <v>285</v>
      </c>
      <c r="B2088" t="s">
        <v>286</v>
      </c>
      <c r="C2088" t="s">
        <v>5</v>
      </c>
      <c r="D2088" s="1">
        <v>45961</v>
      </c>
      <c r="E2088">
        <v>0</v>
      </c>
      <c r="F2088" s="2">
        <v>0</v>
      </c>
      <c r="G2088" s="2">
        <v>1647.386</v>
      </c>
    </row>
    <row r="2089" spans="1:7" hidden="1" x14ac:dyDescent="0.3">
      <c r="A2089" t="s">
        <v>285</v>
      </c>
      <c r="B2089" t="s">
        <v>286</v>
      </c>
      <c r="C2089" t="s">
        <v>5</v>
      </c>
      <c r="D2089" s="1">
        <v>45991</v>
      </c>
      <c r="E2089">
        <v>0</v>
      </c>
      <c r="F2089" s="2">
        <v>0</v>
      </c>
      <c r="G2089" s="2">
        <v>1647.386</v>
      </c>
    </row>
    <row r="2090" spans="1:7" hidden="1" x14ac:dyDescent="0.3">
      <c r="A2090" t="s">
        <v>285</v>
      </c>
      <c r="B2090" t="s">
        <v>286</v>
      </c>
      <c r="C2090" t="s">
        <v>5</v>
      </c>
      <c r="D2090" s="1">
        <v>46022</v>
      </c>
      <c r="E2090">
        <v>0</v>
      </c>
      <c r="F2090" s="2">
        <v>0</v>
      </c>
      <c r="G2090" s="2">
        <v>1647.386</v>
      </c>
    </row>
    <row r="2091" spans="1:7" hidden="1" x14ac:dyDescent="0.3">
      <c r="A2091" t="s">
        <v>353</v>
      </c>
      <c r="B2091" t="s">
        <v>354</v>
      </c>
      <c r="C2091" t="s">
        <v>5</v>
      </c>
      <c r="D2091" s="1">
        <v>45869</v>
      </c>
      <c r="E2091">
        <v>0</v>
      </c>
      <c r="F2091" s="2">
        <v>0</v>
      </c>
      <c r="G2091" s="2">
        <v>500</v>
      </c>
    </row>
    <row r="2092" spans="1:7" hidden="1" x14ac:dyDescent="0.3">
      <c r="A2092" t="s">
        <v>353</v>
      </c>
      <c r="B2092" t="s">
        <v>354</v>
      </c>
      <c r="C2092" t="s">
        <v>5</v>
      </c>
      <c r="D2092" s="1">
        <v>45900</v>
      </c>
      <c r="E2092">
        <v>0</v>
      </c>
      <c r="F2092" s="2">
        <v>0</v>
      </c>
      <c r="G2092" s="2">
        <v>500</v>
      </c>
    </row>
    <row r="2093" spans="1:7" hidden="1" x14ac:dyDescent="0.3">
      <c r="A2093" t="s">
        <v>353</v>
      </c>
      <c r="B2093" t="s">
        <v>354</v>
      </c>
      <c r="C2093" t="s">
        <v>5</v>
      </c>
      <c r="D2093" s="1">
        <v>45930</v>
      </c>
      <c r="E2093">
        <v>0</v>
      </c>
      <c r="F2093" s="2">
        <v>0</v>
      </c>
      <c r="G2093" s="2">
        <v>500</v>
      </c>
    </row>
    <row r="2094" spans="1:7" hidden="1" x14ac:dyDescent="0.3">
      <c r="A2094" t="s">
        <v>353</v>
      </c>
      <c r="B2094" t="s">
        <v>354</v>
      </c>
      <c r="C2094" t="s">
        <v>5</v>
      </c>
      <c r="D2094" s="1">
        <v>45961</v>
      </c>
      <c r="E2094">
        <v>0</v>
      </c>
      <c r="F2094" s="2">
        <v>0</v>
      </c>
      <c r="G2094" s="2">
        <v>500</v>
      </c>
    </row>
    <row r="2095" spans="1:7" hidden="1" x14ac:dyDescent="0.3">
      <c r="A2095" t="s">
        <v>353</v>
      </c>
      <c r="B2095" t="s">
        <v>354</v>
      </c>
      <c r="C2095" t="s">
        <v>5</v>
      </c>
      <c r="D2095" s="1">
        <v>45991</v>
      </c>
      <c r="E2095">
        <v>0</v>
      </c>
      <c r="F2095" s="2">
        <v>0</v>
      </c>
      <c r="G2095" s="2">
        <v>500</v>
      </c>
    </row>
    <row r="2096" spans="1:7" hidden="1" x14ac:dyDescent="0.3">
      <c r="A2096" t="s">
        <v>353</v>
      </c>
      <c r="B2096" t="s">
        <v>354</v>
      </c>
      <c r="C2096" t="s">
        <v>5</v>
      </c>
      <c r="D2096" s="1">
        <v>46022</v>
      </c>
      <c r="E2096">
        <v>0</v>
      </c>
      <c r="F2096" s="2">
        <v>0</v>
      </c>
      <c r="G2096" s="2">
        <v>500</v>
      </c>
    </row>
    <row r="2097" spans="1:7" hidden="1" x14ac:dyDescent="0.3">
      <c r="A2097" t="s">
        <v>366</v>
      </c>
      <c r="B2097" t="s">
        <v>367</v>
      </c>
      <c r="C2097" t="s">
        <v>5</v>
      </c>
      <c r="D2097" s="1">
        <v>45688</v>
      </c>
      <c r="E2097">
        <v>0</v>
      </c>
      <c r="F2097" s="2">
        <v>0</v>
      </c>
      <c r="G2097" s="2">
        <v>0</v>
      </c>
    </row>
    <row r="2098" spans="1:7" hidden="1" x14ac:dyDescent="0.3">
      <c r="A2098" t="s">
        <v>366</v>
      </c>
      <c r="B2098" t="s">
        <v>367</v>
      </c>
      <c r="C2098" t="s">
        <v>5</v>
      </c>
      <c r="D2098" s="1">
        <v>45777</v>
      </c>
      <c r="E2098">
        <v>0</v>
      </c>
      <c r="F2098" s="2">
        <v>0</v>
      </c>
      <c r="G2098" s="2">
        <v>0</v>
      </c>
    </row>
    <row r="2099" spans="1:7" hidden="1" x14ac:dyDescent="0.3">
      <c r="B2099" t="s">
        <v>428</v>
      </c>
      <c r="C2099" t="s">
        <v>5</v>
      </c>
      <c r="D2099" s="1">
        <v>45838</v>
      </c>
      <c r="E2099">
        <v>0</v>
      </c>
      <c r="F2099" s="2">
        <v>0</v>
      </c>
      <c r="G2099" s="2">
        <v>1647.386</v>
      </c>
    </row>
    <row r="2100" spans="1:7" hidden="1" x14ac:dyDescent="0.3">
      <c r="B2100" t="s">
        <v>428</v>
      </c>
      <c r="C2100" t="s">
        <v>5</v>
      </c>
      <c r="D2100" s="1">
        <v>45869</v>
      </c>
      <c r="E2100">
        <v>0</v>
      </c>
      <c r="F2100" s="2">
        <v>0</v>
      </c>
      <c r="G2100" s="2">
        <v>1647.386</v>
      </c>
    </row>
    <row r="2101" spans="1:7" hidden="1" x14ac:dyDescent="0.3">
      <c r="B2101" t="s">
        <v>428</v>
      </c>
      <c r="C2101" t="s">
        <v>5</v>
      </c>
      <c r="D2101" s="1">
        <v>45900</v>
      </c>
      <c r="E2101">
        <v>0</v>
      </c>
      <c r="F2101" s="2">
        <v>0</v>
      </c>
      <c r="G2101" s="2">
        <v>1647.386</v>
      </c>
    </row>
    <row r="2102" spans="1:7" hidden="1" x14ac:dyDescent="0.3">
      <c r="B2102" t="s">
        <v>428</v>
      </c>
      <c r="C2102" t="s">
        <v>5</v>
      </c>
      <c r="D2102" s="1">
        <v>45930</v>
      </c>
      <c r="E2102">
        <v>0</v>
      </c>
      <c r="F2102" s="2">
        <v>0</v>
      </c>
      <c r="G2102" s="2">
        <v>1647.386</v>
      </c>
    </row>
    <row r="2103" spans="1:7" hidden="1" x14ac:dyDescent="0.3">
      <c r="B2103" t="s">
        <v>428</v>
      </c>
      <c r="C2103" t="s">
        <v>5</v>
      </c>
      <c r="D2103" s="1">
        <v>45961</v>
      </c>
      <c r="E2103">
        <v>0</v>
      </c>
      <c r="F2103" s="2">
        <v>0</v>
      </c>
      <c r="G2103" s="2">
        <v>1647.386</v>
      </c>
    </row>
    <row r="2104" spans="1:7" hidden="1" x14ac:dyDescent="0.3">
      <c r="B2104" t="s">
        <v>428</v>
      </c>
      <c r="C2104" t="s">
        <v>5</v>
      </c>
      <c r="D2104" s="1">
        <v>45991</v>
      </c>
      <c r="E2104">
        <v>0</v>
      </c>
      <c r="F2104" s="2">
        <v>0</v>
      </c>
      <c r="G2104" s="2">
        <v>1647.386</v>
      </c>
    </row>
    <row r="2105" spans="1:7" hidden="1" x14ac:dyDescent="0.3">
      <c r="B2105" t="s">
        <v>428</v>
      </c>
      <c r="C2105" t="s">
        <v>5</v>
      </c>
      <c r="D2105" s="1">
        <v>46022</v>
      </c>
      <c r="E2105">
        <v>0</v>
      </c>
      <c r="F2105" s="2">
        <v>0</v>
      </c>
      <c r="G2105" s="2">
        <v>1647.386</v>
      </c>
    </row>
    <row r="2106" spans="1:7" hidden="1" x14ac:dyDescent="0.3">
      <c r="B2106" t="s">
        <v>429</v>
      </c>
      <c r="C2106" t="s">
        <v>5</v>
      </c>
      <c r="D2106" s="1">
        <v>45838</v>
      </c>
      <c r="E2106">
        <v>0</v>
      </c>
      <c r="F2106" s="2">
        <v>0</v>
      </c>
      <c r="G2106" s="2">
        <v>500</v>
      </c>
    </row>
    <row r="2107" spans="1:7" hidden="1" x14ac:dyDescent="0.3">
      <c r="B2107" t="s">
        <v>429</v>
      </c>
      <c r="C2107" t="s">
        <v>5</v>
      </c>
      <c r="D2107" s="1">
        <v>45869</v>
      </c>
      <c r="E2107">
        <v>0</v>
      </c>
      <c r="F2107" s="2">
        <v>0</v>
      </c>
      <c r="G2107" s="2">
        <v>500</v>
      </c>
    </row>
    <row r="2108" spans="1:7" hidden="1" x14ac:dyDescent="0.3">
      <c r="B2108" t="s">
        <v>429</v>
      </c>
      <c r="C2108" t="s">
        <v>5</v>
      </c>
      <c r="D2108" s="1">
        <v>45900</v>
      </c>
      <c r="E2108">
        <v>0</v>
      </c>
      <c r="F2108" s="2">
        <v>0</v>
      </c>
      <c r="G2108" s="2">
        <v>500</v>
      </c>
    </row>
    <row r="2109" spans="1:7" hidden="1" x14ac:dyDescent="0.3">
      <c r="B2109" t="s">
        <v>429</v>
      </c>
      <c r="C2109" t="s">
        <v>5</v>
      </c>
      <c r="D2109" s="1">
        <v>45930</v>
      </c>
      <c r="E2109">
        <v>0</v>
      </c>
      <c r="F2109" s="2">
        <v>0</v>
      </c>
      <c r="G2109" s="2">
        <v>500</v>
      </c>
    </row>
    <row r="2110" spans="1:7" hidden="1" x14ac:dyDescent="0.3">
      <c r="B2110" t="s">
        <v>429</v>
      </c>
      <c r="C2110" t="s">
        <v>5</v>
      </c>
      <c r="D2110" s="1">
        <v>45961</v>
      </c>
      <c r="E2110">
        <v>0</v>
      </c>
      <c r="F2110" s="2">
        <v>0</v>
      </c>
      <c r="G2110" s="2">
        <v>500</v>
      </c>
    </row>
    <row r="2111" spans="1:7" hidden="1" x14ac:dyDescent="0.3">
      <c r="B2111" t="s">
        <v>429</v>
      </c>
      <c r="C2111" t="s">
        <v>5</v>
      </c>
      <c r="D2111" s="1">
        <v>45991</v>
      </c>
      <c r="E2111">
        <v>0</v>
      </c>
      <c r="F2111" s="2">
        <v>0</v>
      </c>
      <c r="G2111" s="2">
        <v>500</v>
      </c>
    </row>
    <row r="2112" spans="1:7" hidden="1" x14ac:dyDescent="0.3">
      <c r="B2112" t="s">
        <v>429</v>
      </c>
      <c r="C2112" t="s">
        <v>5</v>
      </c>
      <c r="D2112" s="1">
        <v>46022</v>
      </c>
      <c r="E2112">
        <v>0</v>
      </c>
      <c r="F2112" s="2">
        <v>0</v>
      </c>
      <c r="G2112" s="2">
        <v>500</v>
      </c>
    </row>
    <row r="2113" spans="1:7" hidden="1" x14ac:dyDescent="0.3">
      <c r="A2113" t="s">
        <v>41</v>
      </c>
      <c r="B2113" t="s">
        <v>42</v>
      </c>
      <c r="C2113" t="s">
        <v>15</v>
      </c>
      <c r="D2113" s="1">
        <v>45869</v>
      </c>
      <c r="E2113">
        <v>0</v>
      </c>
      <c r="F2113" s="2">
        <v>0</v>
      </c>
      <c r="G2113" s="2">
        <v>3196.0360000000001</v>
      </c>
    </row>
    <row r="2114" spans="1:7" hidden="1" x14ac:dyDescent="0.3">
      <c r="A2114" t="s">
        <v>41</v>
      </c>
      <c r="B2114" t="s">
        <v>42</v>
      </c>
      <c r="C2114" t="s">
        <v>15</v>
      </c>
      <c r="D2114" s="1">
        <v>45900</v>
      </c>
      <c r="E2114">
        <v>0</v>
      </c>
      <c r="F2114" s="2">
        <v>0</v>
      </c>
      <c r="G2114" s="2">
        <v>3196.0360000000001</v>
      </c>
    </row>
    <row r="2115" spans="1:7" hidden="1" x14ac:dyDescent="0.3">
      <c r="A2115" t="s">
        <v>41</v>
      </c>
      <c r="B2115" t="s">
        <v>42</v>
      </c>
      <c r="C2115" t="s">
        <v>15</v>
      </c>
      <c r="D2115" s="1">
        <v>45930</v>
      </c>
      <c r="E2115">
        <v>0</v>
      </c>
      <c r="F2115" s="2">
        <v>0</v>
      </c>
      <c r="G2115" s="2">
        <v>3196.0360000000001</v>
      </c>
    </row>
    <row r="2116" spans="1:7" hidden="1" x14ac:dyDescent="0.3">
      <c r="A2116" t="s">
        <v>41</v>
      </c>
      <c r="B2116" t="s">
        <v>42</v>
      </c>
      <c r="C2116" t="s">
        <v>15</v>
      </c>
      <c r="D2116" s="1">
        <v>45961</v>
      </c>
      <c r="E2116">
        <v>0</v>
      </c>
      <c r="F2116" s="2">
        <v>0</v>
      </c>
      <c r="G2116" s="2">
        <v>3196.0360000000001</v>
      </c>
    </row>
    <row r="2117" spans="1:7" hidden="1" x14ac:dyDescent="0.3">
      <c r="A2117" t="s">
        <v>41</v>
      </c>
      <c r="B2117" t="s">
        <v>42</v>
      </c>
      <c r="C2117" t="s">
        <v>15</v>
      </c>
      <c r="D2117" s="1">
        <v>45991</v>
      </c>
      <c r="E2117">
        <v>0</v>
      </c>
      <c r="F2117" s="2">
        <v>0</v>
      </c>
      <c r="G2117" s="2">
        <v>3196.0360000000001</v>
      </c>
    </row>
    <row r="2118" spans="1:7" hidden="1" x14ac:dyDescent="0.3">
      <c r="A2118" t="s">
        <v>41</v>
      </c>
      <c r="B2118" t="s">
        <v>42</v>
      </c>
      <c r="C2118" t="s">
        <v>15</v>
      </c>
      <c r="D2118" s="1">
        <v>46022</v>
      </c>
      <c r="E2118">
        <v>0</v>
      </c>
      <c r="F2118" s="2">
        <v>0</v>
      </c>
      <c r="G2118" s="2">
        <v>3196.0360000000001</v>
      </c>
    </row>
    <row r="2119" spans="1:7" hidden="1" x14ac:dyDescent="0.3">
      <c r="A2119" t="s">
        <v>219</v>
      </c>
      <c r="B2119" t="s">
        <v>220</v>
      </c>
      <c r="C2119" t="s">
        <v>15</v>
      </c>
      <c r="D2119" s="1">
        <v>45869</v>
      </c>
      <c r="E2119">
        <v>0</v>
      </c>
      <c r="F2119" s="2">
        <v>0</v>
      </c>
      <c r="G2119" s="2">
        <v>2069.3239999999996</v>
      </c>
    </row>
    <row r="2120" spans="1:7" hidden="1" x14ac:dyDescent="0.3">
      <c r="A2120" t="s">
        <v>219</v>
      </c>
      <c r="B2120" t="s">
        <v>220</v>
      </c>
      <c r="C2120" t="s">
        <v>15</v>
      </c>
      <c r="D2120" s="1">
        <v>45900</v>
      </c>
      <c r="E2120">
        <v>0</v>
      </c>
      <c r="F2120" s="2">
        <v>0</v>
      </c>
      <c r="G2120" s="2">
        <v>2069.3239999999996</v>
      </c>
    </row>
    <row r="2121" spans="1:7" hidden="1" x14ac:dyDescent="0.3">
      <c r="A2121" t="s">
        <v>219</v>
      </c>
      <c r="B2121" t="s">
        <v>220</v>
      </c>
      <c r="C2121" t="s">
        <v>15</v>
      </c>
      <c r="D2121" s="1">
        <v>45930</v>
      </c>
      <c r="E2121">
        <v>0</v>
      </c>
      <c r="F2121" s="2">
        <v>0</v>
      </c>
      <c r="G2121" s="2">
        <v>2069.3239999999996</v>
      </c>
    </row>
    <row r="2122" spans="1:7" hidden="1" x14ac:dyDescent="0.3">
      <c r="A2122" t="s">
        <v>219</v>
      </c>
      <c r="B2122" t="s">
        <v>220</v>
      </c>
      <c r="C2122" t="s">
        <v>15</v>
      </c>
      <c r="D2122" s="1">
        <v>45961</v>
      </c>
      <c r="E2122">
        <v>0</v>
      </c>
      <c r="F2122" s="2">
        <v>0</v>
      </c>
      <c r="G2122" s="2">
        <v>2069.3239999999996</v>
      </c>
    </row>
    <row r="2123" spans="1:7" hidden="1" x14ac:dyDescent="0.3">
      <c r="A2123" t="s">
        <v>219</v>
      </c>
      <c r="B2123" t="s">
        <v>220</v>
      </c>
      <c r="C2123" t="s">
        <v>15</v>
      </c>
      <c r="D2123" s="1">
        <v>45991</v>
      </c>
      <c r="E2123">
        <v>0</v>
      </c>
      <c r="F2123" s="2">
        <v>0</v>
      </c>
      <c r="G2123" s="2">
        <v>2069.3239999999996</v>
      </c>
    </row>
    <row r="2124" spans="1:7" hidden="1" x14ac:dyDescent="0.3">
      <c r="A2124" t="s">
        <v>219</v>
      </c>
      <c r="B2124" t="s">
        <v>220</v>
      </c>
      <c r="C2124" t="s">
        <v>15</v>
      </c>
      <c r="D2124" s="1">
        <v>46022</v>
      </c>
      <c r="E2124">
        <v>0</v>
      </c>
      <c r="F2124" s="2">
        <v>0</v>
      </c>
      <c r="G2124" s="2">
        <v>2069.3239999999996</v>
      </c>
    </row>
    <row r="2125" spans="1:7" hidden="1" x14ac:dyDescent="0.3">
      <c r="A2125" t="s">
        <v>77</v>
      </c>
      <c r="B2125" t="s">
        <v>78</v>
      </c>
      <c r="C2125" t="s">
        <v>15</v>
      </c>
      <c r="D2125" s="1">
        <v>45869</v>
      </c>
      <c r="E2125">
        <v>0</v>
      </c>
      <c r="F2125" s="2">
        <v>0</v>
      </c>
      <c r="G2125" s="2">
        <v>1761.1</v>
      </c>
    </row>
    <row r="2126" spans="1:7" hidden="1" x14ac:dyDescent="0.3">
      <c r="A2126" t="s">
        <v>77</v>
      </c>
      <c r="B2126" t="s">
        <v>78</v>
      </c>
      <c r="C2126" t="s">
        <v>15</v>
      </c>
      <c r="D2126" s="1">
        <v>45900</v>
      </c>
      <c r="E2126">
        <v>0</v>
      </c>
      <c r="F2126" s="2">
        <v>0</v>
      </c>
      <c r="G2126" s="2">
        <v>1761.1</v>
      </c>
    </row>
    <row r="2127" spans="1:7" hidden="1" x14ac:dyDescent="0.3">
      <c r="A2127" t="s">
        <v>77</v>
      </c>
      <c r="B2127" t="s">
        <v>78</v>
      </c>
      <c r="C2127" t="s">
        <v>15</v>
      </c>
      <c r="D2127" s="1">
        <v>45930</v>
      </c>
      <c r="E2127">
        <v>0</v>
      </c>
      <c r="F2127" s="2">
        <v>0</v>
      </c>
      <c r="G2127" s="2">
        <v>1761.1</v>
      </c>
    </row>
    <row r="2128" spans="1:7" hidden="1" x14ac:dyDescent="0.3">
      <c r="A2128" t="s">
        <v>77</v>
      </c>
      <c r="B2128" t="s">
        <v>78</v>
      </c>
      <c r="C2128" t="s">
        <v>15</v>
      </c>
      <c r="D2128" s="1">
        <v>45961</v>
      </c>
      <c r="E2128">
        <v>0</v>
      </c>
      <c r="F2128" s="2">
        <v>0</v>
      </c>
      <c r="G2128" s="2">
        <v>1761.1</v>
      </c>
    </row>
    <row r="2129" spans="1:7" hidden="1" x14ac:dyDescent="0.3">
      <c r="A2129" t="s">
        <v>77</v>
      </c>
      <c r="B2129" t="s">
        <v>78</v>
      </c>
      <c r="C2129" t="s">
        <v>15</v>
      </c>
      <c r="D2129" s="1">
        <v>45991</v>
      </c>
      <c r="E2129">
        <v>0</v>
      </c>
      <c r="F2129" s="2">
        <v>0</v>
      </c>
      <c r="G2129" s="2">
        <v>1761.1</v>
      </c>
    </row>
    <row r="2130" spans="1:7" hidden="1" x14ac:dyDescent="0.3">
      <c r="A2130" t="s">
        <v>77</v>
      </c>
      <c r="B2130" t="s">
        <v>78</v>
      </c>
      <c r="C2130" t="s">
        <v>15</v>
      </c>
      <c r="D2130" s="1">
        <v>46022</v>
      </c>
      <c r="E2130">
        <v>0</v>
      </c>
      <c r="F2130" s="2">
        <v>0</v>
      </c>
      <c r="G2130" s="2">
        <v>1761.1</v>
      </c>
    </row>
    <row r="2131" spans="1:7" x14ac:dyDescent="0.3">
      <c r="A2131" t="s">
        <v>129</v>
      </c>
      <c r="B2131" t="s">
        <v>130</v>
      </c>
      <c r="C2131" t="s">
        <v>11</v>
      </c>
      <c r="D2131" s="1">
        <v>45869</v>
      </c>
      <c r="E2131">
        <v>0</v>
      </c>
      <c r="F2131" s="2">
        <v>0</v>
      </c>
      <c r="G2131" s="2">
        <v>5761.554000000001</v>
      </c>
    </row>
    <row r="2132" spans="1:7" x14ac:dyDescent="0.3">
      <c r="A2132" t="s">
        <v>129</v>
      </c>
      <c r="B2132" t="s">
        <v>130</v>
      </c>
      <c r="C2132" t="s">
        <v>11</v>
      </c>
      <c r="D2132" s="1">
        <v>45900</v>
      </c>
      <c r="E2132">
        <v>0</v>
      </c>
      <c r="F2132" s="2">
        <v>0</v>
      </c>
      <c r="G2132" s="2">
        <v>5761.554000000001</v>
      </c>
    </row>
    <row r="2133" spans="1:7" x14ac:dyDescent="0.3">
      <c r="A2133" t="s">
        <v>129</v>
      </c>
      <c r="B2133" t="s">
        <v>130</v>
      </c>
      <c r="C2133" t="s">
        <v>11</v>
      </c>
      <c r="D2133" s="1">
        <v>45930</v>
      </c>
      <c r="E2133">
        <v>0</v>
      </c>
      <c r="F2133" s="2">
        <v>0</v>
      </c>
      <c r="G2133" s="2">
        <v>5761.554000000001</v>
      </c>
    </row>
    <row r="2134" spans="1:7" x14ac:dyDescent="0.3">
      <c r="A2134" t="s">
        <v>129</v>
      </c>
      <c r="B2134" t="s">
        <v>130</v>
      </c>
      <c r="C2134" t="s">
        <v>11</v>
      </c>
      <c r="D2134" s="1">
        <v>45961</v>
      </c>
      <c r="E2134">
        <v>0</v>
      </c>
      <c r="F2134" s="2">
        <v>0</v>
      </c>
      <c r="G2134" s="2">
        <v>5761.554000000001</v>
      </c>
    </row>
    <row r="2135" spans="1:7" x14ac:dyDescent="0.3">
      <c r="A2135" t="s">
        <v>129</v>
      </c>
      <c r="B2135" t="s">
        <v>130</v>
      </c>
      <c r="C2135" t="s">
        <v>11</v>
      </c>
      <c r="D2135" s="1">
        <v>45991</v>
      </c>
      <c r="E2135">
        <v>0</v>
      </c>
      <c r="F2135" s="2">
        <v>0</v>
      </c>
      <c r="G2135" s="2">
        <v>5761.554000000001</v>
      </c>
    </row>
    <row r="2136" spans="1:7" x14ac:dyDescent="0.3">
      <c r="A2136" t="s">
        <v>129</v>
      </c>
      <c r="B2136" t="s">
        <v>130</v>
      </c>
      <c r="C2136" t="s">
        <v>11</v>
      </c>
      <c r="D2136" s="1">
        <v>46022</v>
      </c>
      <c r="E2136">
        <v>0</v>
      </c>
      <c r="F2136" s="2">
        <v>0</v>
      </c>
      <c r="G2136" s="2">
        <v>5761.554000000001</v>
      </c>
    </row>
    <row r="2137" spans="1:7" x14ac:dyDescent="0.3">
      <c r="A2137" t="s">
        <v>141</v>
      </c>
      <c r="B2137" t="s">
        <v>142</v>
      </c>
      <c r="C2137" t="s">
        <v>11</v>
      </c>
      <c r="D2137" s="1">
        <v>45869</v>
      </c>
      <c r="E2137">
        <v>0</v>
      </c>
      <c r="F2137" s="2">
        <v>0</v>
      </c>
      <c r="G2137" s="2">
        <v>968.25800000000015</v>
      </c>
    </row>
    <row r="2138" spans="1:7" x14ac:dyDescent="0.3">
      <c r="A2138" t="s">
        <v>141</v>
      </c>
      <c r="B2138" t="s">
        <v>142</v>
      </c>
      <c r="C2138" t="s">
        <v>11</v>
      </c>
      <c r="D2138" s="1">
        <v>45900</v>
      </c>
      <c r="E2138">
        <v>0</v>
      </c>
      <c r="F2138" s="2">
        <v>0</v>
      </c>
      <c r="G2138" s="2">
        <v>968.25800000000015</v>
      </c>
    </row>
    <row r="2139" spans="1:7" x14ac:dyDescent="0.3">
      <c r="A2139" t="s">
        <v>141</v>
      </c>
      <c r="B2139" t="s">
        <v>142</v>
      </c>
      <c r="C2139" t="s">
        <v>11</v>
      </c>
      <c r="D2139" s="1">
        <v>45930</v>
      </c>
      <c r="E2139">
        <v>0</v>
      </c>
      <c r="F2139" s="2">
        <v>0</v>
      </c>
      <c r="G2139" s="2">
        <v>968.25800000000015</v>
      </c>
    </row>
    <row r="2140" spans="1:7" x14ac:dyDescent="0.3">
      <c r="A2140" t="s">
        <v>141</v>
      </c>
      <c r="B2140" t="s">
        <v>142</v>
      </c>
      <c r="C2140" t="s">
        <v>11</v>
      </c>
      <c r="D2140" s="1">
        <v>45961</v>
      </c>
      <c r="E2140">
        <v>0</v>
      </c>
      <c r="F2140" s="2">
        <v>0</v>
      </c>
      <c r="G2140" s="2">
        <v>968.25800000000015</v>
      </c>
    </row>
    <row r="2141" spans="1:7" x14ac:dyDescent="0.3">
      <c r="A2141" t="s">
        <v>141</v>
      </c>
      <c r="B2141" t="s">
        <v>142</v>
      </c>
      <c r="C2141" t="s">
        <v>11</v>
      </c>
      <c r="D2141" s="1">
        <v>45991</v>
      </c>
      <c r="E2141">
        <v>0</v>
      </c>
      <c r="F2141" s="2">
        <v>0</v>
      </c>
      <c r="G2141" s="2">
        <v>968.25800000000015</v>
      </c>
    </row>
    <row r="2142" spans="1:7" x14ac:dyDescent="0.3">
      <c r="A2142" t="s">
        <v>141</v>
      </c>
      <c r="B2142" t="s">
        <v>142</v>
      </c>
      <c r="C2142" t="s">
        <v>11</v>
      </c>
      <c r="D2142" s="1">
        <v>46022</v>
      </c>
      <c r="E2142">
        <v>0</v>
      </c>
      <c r="F2142" s="2">
        <v>0</v>
      </c>
      <c r="G2142" s="2">
        <v>968.25800000000015</v>
      </c>
    </row>
    <row r="2143" spans="1:7" x14ac:dyDescent="0.3">
      <c r="A2143" t="s">
        <v>365</v>
      </c>
      <c r="B2143" t="s">
        <v>52</v>
      </c>
      <c r="C2143" t="s">
        <v>11</v>
      </c>
      <c r="D2143" s="1">
        <v>45869</v>
      </c>
      <c r="E2143">
        <v>0</v>
      </c>
      <c r="F2143" s="2">
        <v>0</v>
      </c>
      <c r="G2143" s="2">
        <v>1666</v>
      </c>
    </row>
    <row r="2144" spans="1:7" x14ac:dyDescent="0.3">
      <c r="A2144" t="s">
        <v>365</v>
      </c>
      <c r="B2144" t="s">
        <v>52</v>
      </c>
      <c r="C2144" t="s">
        <v>11</v>
      </c>
      <c r="D2144" s="1">
        <v>45900</v>
      </c>
      <c r="E2144">
        <v>0</v>
      </c>
      <c r="F2144" s="2">
        <v>0</v>
      </c>
      <c r="G2144" s="2">
        <v>1666</v>
      </c>
    </row>
    <row r="2145" spans="1:7" x14ac:dyDescent="0.3">
      <c r="A2145" t="s">
        <v>365</v>
      </c>
      <c r="B2145" t="s">
        <v>52</v>
      </c>
      <c r="C2145" t="s">
        <v>11</v>
      </c>
      <c r="D2145" s="1">
        <v>45930</v>
      </c>
      <c r="E2145">
        <v>0</v>
      </c>
      <c r="F2145" s="2">
        <v>0</v>
      </c>
      <c r="G2145" s="2">
        <v>1666</v>
      </c>
    </row>
    <row r="2146" spans="1:7" x14ac:dyDescent="0.3">
      <c r="A2146" t="s">
        <v>365</v>
      </c>
      <c r="B2146" t="s">
        <v>52</v>
      </c>
      <c r="C2146" t="s">
        <v>11</v>
      </c>
      <c r="D2146" s="1">
        <v>45961</v>
      </c>
      <c r="E2146">
        <v>0</v>
      </c>
      <c r="F2146" s="2">
        <v>0</v>
      </c>
      <c r="G2146" s="2">
        <v>1666</v>
      </c>
    </row>
    <row r="2147" spans="1:7" x14ac:dyDescent="0.3">
      <c r="A2147" t="s">
        <v>365</v>
      </c>
      <c r="B2147" t="s">
        <v>52</v>
      </c>
      <c r="C2147" t="s">
        <v>11</v>
      </c>
      <c r="D2147" s="1">
        <v>45991</v>
      </c>
      <c r="E2147">
        <v>0</v>
      </c>
      <c r="F2147" s="2">
        <v>0</v>
      </c>
      <c r="G2147" s="2">
        <v>1666</v>
      </c>
    </row>
    <row r="2148" spans="1:7" x14ac:dyDescent="0.3">
      <c r="A2148" t="s">
        <v>365</v>
      </c>
      <c r="B2148" t="s">
        <v>52</v>
      </c>
      <c r="C2148" t="s">
        <v>11</v>
      </c>
      <c r="D2148" s="1">
        <v>46022</v>
      </c>
      <c r="E2148">
        <v>0</v>
      </c>
      <c r="F2148" s="2">
        <v>0</v>
      </c>
      <c r="G2148" s="2">
        <v>1666</v>
      </c>
    </row>
    <row r="2149" spans="1:7" x14ac:dyDescent="0.3">
      <c r="A2149" t="s">
        <v>371</v>
      </c>
      <c r="B2149" t="s">
        <v>372</v>
      </c>
      <c r="C2149" t="s">
        <v>11</v>
      </c>
      <c r="D2149" s="1">
        <v>45688</v>
      </c>
      <c r="E2149">
        <v>0</v>
      </c>
      <c r="F2149" s="2">
        <v>0</v>
      </c>
      <c r="G2149" s="2">
        <v>0</v>
      </c>
    </row>
    <row r="2150" spans="1:7" x14ac:dyDescent="0.3">
      <c r="A2150" t="s">
        <v>371</v>
      </c>
      <c r="B2150" t="s">
        <v>372</v>
      </c>
      <c r="C2150" t="s">
        <v>11</v>
      </c>
      <c r="D2150" s="1">
        <v>45869</v>
      </c>
      <c r="E2150">
        <v>0</v>
      </c>
      <c r="F2150" s="2">
        <v>0</v>
      </c>
      <c r="G2150" s="2">
        <v>2919.3300000000008</v>
      </c>
    </row>
    <row r="2151" spans="1:7" x14ac:dyDescent="0.3">
      <c r="A2151" t="s">
        <v>371</v>
      </c>
      <c r="B2151" t="s">
        <v>372</v>
      </c>
      <c r="C2151" t="s">
        <v>11</v>
      </c>
      <c r="D2151" s="1">
        <v>45900</v>
      </c>
      <c r="E2151">
        <v>0</v>
      </c>
      <c r="F2151" s="2">
        <v>0</v>
      </c>
      <c r="G2151" s="2">
        <v>2919.3300000000008</v>
      </c>
    </row>
    <row r="2152" spans="1:7" x14ac:dyDescent="0.3">
      <c r="A2152" t="s">
        <v>371</v>
      </c>
      <c r="B2152" t="s">
        <v>372</v>
      </c>
      <c r="C2152" t="s">
        <v>11</v>
      </c>
      <c r="D2152" s="1">
        <v>45930</v>
      </c>
      <c r="E2152">
        <v>0</v>
      </c>
      <c r="F2152" s="2">
        <v>0</v>
      </c>
      <c r="G2152" s="2">
        <v>2919.3300000000008</v>
      </c>
    </row>
    <row r="2153" spans="1:7" x14ac:dyDescent="0.3">
      <c r="A2153" t="s">
        <v>371</v>
      </c>
      <c r="B2153" t="s">
        <v>372</v>
      </c>
      <c r="C2153" t="s">
        <v>11</v>
      </c>
      <c r="D2153" s="1">
        <v>45961</v>
      </c>
      <c r="E2153">
        <v>0</v>
      </c>
      <c r="F2153" s="2">
        <v>0</v>
      </c>
      <c r="G2153" s="2">
        <v>2919.3300000000008</v>
      </c>
    </row>
    <row r="2154" spans="1:7" x14ac:dyDescent="0.3">
      <c r="A2154" t="s">
        <v>371</v>
      </c>
      <c r="B2154" t="s">
        <v>372</v>
      </c>
      <c r="C2154" t="s">
        <v>11</v>
      </c>
      <c r="D2154" s="1">
        <v>45991</v>
      </c>
      <c r="E2154">
        <v>0</v>
      </c>
      <c r="F2154" s="2">
        <v>0</v>
      </c>
      <c r="G2154" s="2">
        <v>2919.3300000000008</v>
      </c>
    </row>
    <row r="2155" spans="1:7" x14ac:dyDescent="0.3">
      <c r="A2155" t="s">
        <v>371</v>
      </c>
      <c r="B2155" t="s">
        <v>372</v>
      </c>
      <c r="C2155" t="s">
        <v>11</v>
      </c>
      <c r="D2155" s="1">
        <v>46022</v>
      </c>
      <c r="E2155">
        <v>0</v>
      </c>
      <c r="F2155" s="2">
        <v>0</v>
      </c>
      <c r="G2155" s="2">
        <v>2919.3300000000008</v>
      </c>
    </row>
    <row r="2156" spans="1:7" x14ac:dyDescent="0.3">
      <c r="A2156" t="s">
        <v>363</v>
      </c>
      <c r="B2156" t="s">
        <v>364</v>
      </c>
      <c r="C2156" t="s">
        <v>11</v>
      </c>
      <c r="D2156" s="1">
        <v>45808</v>
      </c>
      <c r="E2156">
        <v>0</v>
      </c>
      <c r="F2156" s="2">
        <v>0</v>
      </c>
      <c r="G2156" s="2">
        <v>0</v>
      </c>
    </row>
    <row r="2157" spans="1:7" x14ac:dyDescent="0.3">
      <c r="A2157" t="s">
        <v>363</v>
      </c>
      <c r="B2157" t="s">
        <v>364</v>
      </c>
      <c r="C2157" t="s">
        <v>11</v>
      </c>
      <c r="D2157" s="1">
        <v>45838</v>
      </c>
      <c r="E2157">
        <v>0</v>
      </c>
      <c r="F2157" s="2">
        <v>0</v>
      </c>
      <c r="G2157" s="2">
        <v>0</v>
      </c>
    </row>
    <row r="2158" spans="1:7" x14ac:dyDescent="0.3">
      <c r="A2158" t="s">
        <v>363</v>
      </c>
      <c r="B2158" t="s">
        <v>364</v>
      </c>
      <c r="C2158" t="s">
        <v>11</v>
      </c>
      <c r="D2158" s="1">
        <v>45869</v>
      </c>
      <c r="E2158">
        <v>0</v>
      </c>
      <c r="F2158" s="2">
        <v>0</v>
      </c>
      <c r="G2158" s="2">
        <v>0</v>
      </c>
    </row>
    <row r="2159" spans="1:7" x14ac:dyDescent="0.3">
      <c r="A2159" t="s">
        <v>363</v>
      </c>
      <c r="B2159" t="s">
        <v>364</v>
      </c>
      <c r="C2159" t="s">
        <v>11</v>
      </c>
      <c r="D2159" s="1">
        <v>45900</v>
      </c>
      <c r="E2159">
        <v>0</v>
      </c>
      <c r="F2159" s="2">
        <v>0</v>
      </c>
      <c r="G2159" s="2">
        <v>0</v>
      </c>
    </row>
    <row r="2160" spans="1:7" x14ac:dyDescent="0.3">
      <c r="A2160" t="s">
        <v>363</v>
      </c>
      <c r="B2160" t="s">
        <v>364</v>
      </c>
      <c r="C2160" t="s">
        <v>11</v>
      </c>
      <c r="D2160" s="1">
        <v>45930</v>
      </c>
      <c r="E2160">
        <v>0</v>
      </c>
      <c r="F2160" s="2">
        <v>0</v>
      </c>
      <c r="G2160" s="2">
        <v>0</v>
      </c>
    </row>
    <row r="2161" spans="1:7" x14ac:dyDescent="0.3">
      <c r="A2161" t="s">
        <v>363</v>
      </c>
      <c r="B2161" t="s">
        <v>364</v>
      </c>
      <c r="C2161" t="s">
        <v>11</v>
      </c>
      <c r="D2161" s="1">
        <v>45961</v>
      </c>
      <c r="E2161">
        <v>0</v>
      </c>
      <c r="F2161" s="2">
        <v>0</v>
      </c>
      <c r="G2161" s="2">
        <v>0</v>
      </c>
    </row>
    <row r="2162" spans="1:7" x14ac:dyDescent="0.3">
      <c r="A2162" t="s">
        <v>363</v>
      </c>
      <c r="B2162" t="s">
        <v>364</v>
      </c>
      <c r="C2162" t="s">
        <v>11</v>
      </c>
      <c r="D2162" s="1">
        <v>45991</v>
      </c>
      <c r="E2162">
        <v>0</v>
      </c>
      <c r="F2162" s="2">
        <v>0</v>
      </c>
      <c r="G2162" s="2">
        <v>0</v>
      </c>
    </row>
    <row r="2163" spans="1:7" x14ac:dyDescent="0.3">
      <c r="A2163" t="s">
        <v>363</v>
      </c>
      <c r="B2163" t="s">
        <v>364</v>
      </c>
      <c r="C2163" t="s">
        <v>11</v>
      </c>
      <c r="D2163" s="1">
        <v>46022</v>
      </c>
      <c r="E2163">
        <v>0</v>
      </c>
      <c r="F2163" s="2">
        <v>0</v>
      </c>
      <c r="G2163" s="2">
        <v>0</v>
      </c>
    </row>
    <row r="2164" spans="1:7" x14ac:dyDescent="0.3">
      <c r="B2164" t="s">
        <v>430</v>
      </c>
      <c r="C2164" t="s">
        <v>11</v>
      </c>
      <c r="D2164" s="1">
        <v>45869</v>
      </c>
      <c r="E2164">
        <v>0</v>
      </c>
      <c r="F2164" s="2">
        <v>0</v>
      </c>
      <c r="G2164" s="2">
        <v>1300</v>
      </c>
    </row>
    <row r="2165" spans="1:7" x14ac:dyDescent="0.3">
      <c r="B2165" t="s">
        <v>430</v>
      </c>
      <c r="C2165" t="s">
        <v>11</v>
      </c>
      <c r="D2165" s="1">
        <v>45900</v>
      </c>
      <c r="E2165">
        <v>0</v>
      </c>
      <c r="F2165" s="2">
        <v>0</v>
      </c>
      <c r="G2165" s="2">
        <v>1300</v>
      </c>
    </row>
    <row r="2166" spans="1:7" x14ac:dyDescent="0.3">
      <c r="B2166" t="s">
        <v>430</v>
      </c>
      <c r="C2166" t="s">
        <v>11</v>
      </c>
      <c r="D2166" s="1">
        <v>45930</v>
      </c>
      <c r="E2166">
        <v>0</v>
      </c>
      <c r="F2166" s="2">
        <v>0</v>
      </c>
      <c r="G2166" s="2">
        <v>1300</v>
      </c>
    </row>
    <row r="2167" spans="1:7" x14ac:dyDescent="0.3">
      <c r="B2167" t="s">
        <v>430</v>
      </c>
      <c r="C2167" t="s">
        <v>11</v>
      </c>
      <c r="D2167" s="1">
        <v>45961</v>
      </c>
      <c r="E2167">
        <v>0</v>
      </c>
      <c r="F2167" s="2">
        <v>0</v>
      </c>
      <c r="G2167" s="2">
        <v>1300</v>
      </c>
    </row>
    <row r="2168" spans="1:7" x14ac:dyDescent="0.3">
      <c r="B2168" t="s">
        <v>430</v>
      </c>
      <c r="C2168" t="s">
        <v>11</v>
      </c>
      <c r="D2168" s="1">
        <v>45991</v>
      </c>
      <c r="E2168">
        <v>0</v>
      </c>
      <c r="F2168" s="2">
        <v>0</v>
      </c>
      <c r="G2168" s="2">
        <v>1300</v>
      </c>
    </row>
    <row r="2169" spans="1:7" x14ac:dyDescent="0.3">
      <c r="B2169" t="s">
        <v>430</v>
      </c>
      <c r="C2169" t="s">
        <v>11</v>
      </c>
      <c r="D2169" s="1">
        <v>46022</v>
      </c>
      <c r="E2169">
        <v>0</v>
      </c>
      <c r="F2169" s="2">
        <v>0</v>
      </c>
      <c r="G2169" s="2">
        <v>1300</v>
      </c>
    </row>
    <row r="2170" spans="1:7" x14ac:dyDescent="0.3">
      <c r="A2170" t="s">
        <v>227</v>
      </c>
      <c r="B2170" t="s">
        <v>228</v>
      </c>
      <c r="C2170" t="s">
        <v>12</v>
      </c>
      <c r="D2170" s="1">
        <v>45688</v>
      </c>
      <c r="E2170">
        <v>0</v>
      </c>
      <c r="F2170" s="2">
        <v>0</v>
      </c>
      <c r="G2170" s="2">
        <v>2847.57</v>
      </c>
    </row>
    <row r="2171" spans="1:7" x14ac:dyDescent="0.3">
      <c r="A2171" t="s">
        <v>227</v>
      </c>
      <c r="B2171" t="s">
        <v>228</v>
      </c>
      <c r="C2171" t="s">
        <v>12</v>
      </c>
      <c r="D2171" s="1">
        <v>45716</v>
      </c>
      <c r="E2171">
        <v>0</v>
      </c>
      <c r="F2171" s="2">
        <v>0</v>
      </c>
      <c r="G2171" s="2">
        <v>3274.3300000000013</v>
      </c>
    </row>
    <row r="2172" spans="1:7" x14ac:dyDescent="0.3">
      <c r="A2172" t="s">
        <v>227</v>
      </c>
      <c r="B2172" t="s">
        <v>228</v>
      </c>
      <c r="C2172" t="s">
        <v>12</v>
      </c>
      <c r="D2172" s="1">
        <v>45747</v>
      </c>
      <c r="E2172">
        <v>0</v>
      </c>
      <c r="F2172" s="2">
        <v>0</v>
      </c>
      <c r="G2172" s="2">
        <v>4040.1899999999987</v>
      </c>
    </row>
    <row r="2173" spans="1:7" x14ac:dyDescent="0.3">
      <c r="A2173" t="s">
        <v>227</v>
      </c>
      <c r="B2173" t="s">
        <v>228</v>
      </c>
      <c r="C2173" t="s">
        <v>12</v>
      </c>
      <c r="D2173" s="1">
        <v>45777</v>
      </c>
      <c r="E2173">
        <v>0</v>
      </c>
      <c r="F2173" s="2">
        <v>0</v>
      </c>
      <c r="G2173" s="2">
        <v>3847.08</v>
      </c>
    </row>
    <row r="2174" spans="1:7" x14ac:dyDescent="0.3">
      <c r="A2174" t="s">
        <v>227</v>
      </c>
      <c r="B2174" t="s">
        <v>228</v>
      </c>
      <c r="C2174" t="s">
        <v>12</v>
      </c>
      <c r="D2174" s="1">
        <v>45869</v>
      </c>
      <c r="E2174">
        <v>0</v>
      </c>
      <c r="F2174" s="2">
        <v>0</v>
      </c>
      <c r="G2174" s="2">
        <v>3578.942</v>
      </c>
    </row>
    <row r="2175" spans="1:7" x14ac:dyDescent="0.3">
      <c r="A2175" t="s">
        <v>227</v>
      </c>
      <c r="B2175" t="s">
        <v>228</v>
      </c>
      <c r="C2175" t="s">
        <v>12</v>
      </c>
      <c r="D2175" s="1">
        <v>45900</v>
      </c>
      <c r="E2175">
        <v>0</v>
      </c>
      <c r="F2175" s="2">
        <v>0</v>
      </c>
      <c r="G2175" s="2">
        <v>3578.942</v>
      </c>
    </row>
    <row r="2176" spans="1:7" x14ac:dyDescent="0.3">
      <c r="A2176" t="s">
        <v>227</v>
      </c>
      <c r="B2176" t="s">
        <v>228</v>
      </c>
      <c r="C2176" t="s">
        <v>12</v>
      </c>
      <c r="D2176" s="1">
        <v>45930</v>
      </c>
      <c r="E2176">
        <v>0</v>
      </c>
      <c r="F2176" s="2">
        <v>0</v>
      </c>
      <c r="G2176" s="2">
        <v>3578.942</v>
      </c>
    </row>
    <row r="2177" spans="1:7" x14ac:dyDescent="0.3">
      <c r="A2177" t="s">
        <v>227</v>
      </c>
      <c r="B2177" t="s">
        <v>228</v>
      </c>
      <c r="C2177" t="s">
        <v>12</v>
      </c>
      <c r="D2177" s="1">
        <v>45961</v>
      </c>
      <c r="E2177">
        <v>0</v>
      </c>
      <c r="F2177" s="2">
        <v>0</v>
      </c>
      <c r="G2177" s="2">
        <v>3578.942</v>
      </c>
    </row>
    <row r="2178" spans="1:7" x14ac:dyDescent="0.3">
      <c r="A2178" t="s">
        <v>227</v>
      </c>
      <c r="B2178" t="s">
        <v>228</v>
      </c>
      <c r="C2178" t="s">
        <v>12</v>
      </c>
      <c r="D2178" s="1">
        <v>45991</v>
      </c>
      <c r="E2178">
        <v>0</v>
      </c>
      <c r="F2178" s="2">
        <v>0</v>
      </c>
      <c r="G2178" s="2">
        <v>3578.942</v>
      </c>
    </row>
    <row r="2179" spans="1:7" x14ac:dyDescent="0.3">
      <c r="A2179" t="s">
        <v>227</v>
      </c>
      <c r="B2179" t="s">
        <v>228</v>
      </c>
      <c r="C2179" t="s">
        <v>12</v>
      </c>
      <c r="D2179" s="1">
        <v>46022</v>
      </c>
      <c r="E2179">
        <v>0</v>
      </c>
      <c r="F2179" s="2">
        <v>0</v>
      </c>
      <c r="G2179" s="2">
        <v>3578.942</v>
      </c>
    </row>
    <row r="2180" spans="1:7" x14ac:dyDescent="0.3">
      <c r="A2180" t="s">
        <v>207</v>
      </c>
      <c r="B2180" t="s">
        <v>208</v>
      </c>
      <c r="C2180" t="s">
        <v>12</v>
      </c>
      <c r="D2180" s="1">
        <v>45869</v>
      </c>
      <c r="E2180">
        <v>0</v>
      </c>
      <c r="F2180" s="2">
        <v>0</v>
      </c>
      <c r="G2180" s="2">
        <v>1239.6666666666667</v>
      </c>
    </row>
    <row r="2181" spans="1:7" x14ac:dyDescent="0.3">
      <c r="A2181" t="s">
        <v>207</v>
      </c>
      <c r="B2181" t="s">
        <v>208</v>
      </c>
      <c r="C2181" t="s">
        <v>12</v>
      </c>
      <c r="D2181" s="1">
        <v>45900</v>
      </c>
      <c r="E2181">
        <v>0</v>
      </c>
      <c r="F2181" s="2">
        <v>0</v>
      </c>
      <c r="G2181" s="2">
        <v>1239.6666666666667</v>
      </c>
    </row>
    <row r="2182" spans="1:7" x14ac:dyDescent="0.3">
      <c r="A2182" t="s">
        <v>207</v>
      </c>
      <c r="B2182" t="s">
        <v>208</v>
      </c>
      <c r="C2182" t="s">
        <v>12</v>
      </c>
      <c r="D2182" s="1">
        <v>45930</v>
      </c>
      <c r="E2182">
        <v>0</v>
      </c>
      <c r="F2182" s="2">
        <v>0</v>
      </c>
      <c r="G2182" s="2">
        <v>1239.6666666666667</v>
      </c>
    </row>
    <row r="2183" spans="1:7" x14ac:dyDescent="0.3">
      <c r="A2183" t="s">
        <v>207</v>
      </c>
      <c r="B2183" t="s">
        <v>208</v>
      </c>
      <c r="C2183" t="s">
        <v>12</v>
      </c>
      <c r="D2183" s="1">
        <v>45961</v>
      </c>
      <c r="E2183">
        <v>0</v>
      </c>
      <c r="F2183" s="2">
        <v>0</v>
      </c>
      <c r="G2183" s="2">
        <v>1239.6666666666667</v>
      </c>
    </row>
    <row r="2184" spans="1:7" x14ac:dyDescent="0.3">
      <c r="A2184" t="s">
        <v>207</v>
      </c>
      <c r="B2184" t="s">
        <v>208</v>
      </c>
      <c r="C2184" t="s">
        <v>12</v>
      </c>
      <c r="D2184" s="1">
        <v>45991</v>
      </c>
      <c r="E2184">
        <v>0</v>
      </c>
      <c r="F2184" s="2">
        <v>0</v>
      </c>
      <c r="G2184" s="2">
        <v>1239.6666666666667</v>
      </c>
    </row>
    <row r="2185" spans="1:7" x14ac:dyDescent="0.3">
      <c r="A2185" t="s">
        <v>207</v>
      </c>
      <c r="B2185" t="s">
        <v>208</v>
      </c>
      <c r="C2185" t="s">
        <v>12</v>
      </c>
      <c r="D2185" s="1">
        <v>46022</v>
      </c>
      <c r="E2185">
        <v>0</v>
      </c>
      <c r="F2185" s="2">
        <v>0</v>
      </c>
      <c r="G2185" s="2">
        <v>1239.6666666666667</v>
      </c>
    </row>
    <row r="2186" spans="1:7" x14ac:dyDescent="0.3">
      <c r="A2186" t="s">
        <v>55</v>
      </c>
      <c r="B2186" t="s">
        <v>56</v>
      </c>
      <c r="C2186" t="s">
        <v>12</v>
      </c>
      <c r="D2186" s="1">
        <v>45688</v>
      </c>
      <c r="E2186">
        <v>0</v>
      </c>
      <c r="F2186" s="2">
        <v>0</v>
      </c>
      <c r="G2186" s="2">
        <v>3310.2400000000007</v>
      </c>
    </row>
    <row r="2187" spans="1:7" x14ac:dyDescent="0.3">
      <c r="A2187" t="s">
        <v>55</v>
      </c>
      <c r="B2187" t="s">
        <v>56</v>
      </c>
      <c r="C2187" t="s">
        <v>12</v>
      </c>
      <c r="D2187" s="1">
        <v>45716</v>
      </c>
      <c r="E2187">
        <v>0</v>
      </c>
      <c r="F2187" s="2">
        <v>0</v>
      </c>
      <c r="G2187" s="2">
        <v>3271.9300000000003</v>
      </c>
    </row>
    <row r="2188" spans="1:7" x14ac:dyDescent="0.3">
      <c r="A2188" t="s">
        <v>55</v>
      </c>
      <c r="B2188" t="s">
        <v>56</v>
      </c>
      <c r="C2188" t="s">
        <v>12</v>
      </c>
      <c r="D2188" s="1">
        <v>45747</v>
      </c>
      <c r="E2188">
        <v>0</v>
      </c>
      <c r="F2188" s="2">
        <v>0</v>
      </c>
      <c r="G2188" s="2">
        <v>3377.1499999999987</v>
      </c>
    </row>
    <row r="2189" spans="1:7" x14ac:dyDescent="0.3">
      <c r="A2189" t="s">
        <v>55</v>
      </c>
      <c r="B2189" t="s">
        <v>56</v>
      </c>
      <c r="C2189" t="s">
        <v>12</v>
      </c>
      <c r="D2189" s="1">
        <v>45777</v>
      </c>
      <c r="E2189">
        <v>0</v>
      </c>
      <c r="F2189" s="2">
        <v>0</v>
      </c>
      <c r="G2189" s="2">
        <v>4142.7900000000045</v>
      </c>
    </row>
    <row r="2190" spans="1:7" x14ac:dyDescent="0.3">
      <c r="A2190" t="s">
        <v>55</v>
      </c>
      <c r="B2190" t="s">
        <v>56</v>
      </c>
      <c r="C2190" t="s">
        <v>12</v>
      </c>
      <c r="D2190" s="1">
        <v>45869</v>
      </c>
      <c r="E2190">
        <v>0</v>
      </c>
      <c r="F2190" s="2">
        <v>0</v>
      </c>
      <c r="G2190" s="2">
        <v>3485.2880000000005</v>
      </c>
    </row>
    <row r="2191" spans="1:7" x14ac:dyDescent="0.3">
      <c r="A2191" t="s">
        <v>55</v>
      </c>
      <c r="B2191" t="s">
        <v>56</v>
      </c>
      <c r="C2191" t="s">
        <v>12</v>
      </c>
      <c r="D2191" s="1">
        <v>45900</v>
      </c>
      <c r="E2191">
        <v>0</v>
      </c>
      <c r="F2191" s="2">
        <v>0</v>
      </c>
      <c r="G2191" s="2">
        <v>3485.2880000000005</v>
      </c>
    </row>
    <row r="2192" spans="1:7" x14ac:dyDescent="0.3">
      <c r="A2192" t="s">
        <v>55</v>
      </c>
      <c r="B2192" t="s">
        <v>56</v>
      </c>
      <c r="C2192" t="s">
        <v>12</v>
      </c>
      <c r="D2192" s="1">
        <v>45930</v>
      </c>
      <c r="E2192">
        <v>0</v>
      </c>
      <c r="F2192" s="2">
        <v>0</v>
      </c>
      <c r="G2192" s="2">
        <v>3485.2880000000005</v>
      </c>
    </row>
    <row r="2193" spans="1:7" x14ac:dyDescent="0.3">
      <c r="A2193" t="s">
        <v>55</v>
      </c>
      <c r="B2193" t="s">
        <v>56</v>
      </c>
      <c r="C2193" t="s">
        <v>12</v>
      </c>
      <c r="D2193" s="1">
        <v>45961</v>
      </c>
      <c r="E2193">
        <v>0</v>
      </c>
      <c r="F2193" s="2">
        <v>0</v>
      </c>
      <c r="G2193" s="2">
        <v>3485.2880000000005</v>
      </c>
    </row>
    <row r="2194" spans="1:7" x14ac:dyDescent="0.3">
      <c r="A2194" t="s">
        <v>55</v>
      </c>
      <c r="B2194" t="s">
        <v>56</v>
      </c>
      <c r="C2194" t="s">
        <v>12</v>
      </c>
      <c r="D2194" s="1">
        <v>45991</v>
      </c>
      <c r="E2194">
        <v>0</v>
      </c>
      <c r="F2194" s="2">
        <v>0</v>
      </c>
      <c r="G2194" s="2">
        <v>3485.2880000000005</v>
      </c>
    </row>
    <row r="2195" spans="1:7" x14ac:dyDescent="0.3">
      <c r="A2195" t="s">
        <v>55</v>
      </c>
      <c r="B2195" t="s">
        <v>56</v>
      </c>
      <c r="C2195" t="s">
        <v>12</v>
      </c>
      <c r="D2195" s="1">
        <v>46022</v>
      </c>
      <c r="E2195">
        <v>0</v>
      </c>
      <c r="F2195" s="2">
        <v>0</v>
      </c>
      <c r="G2195" s="2">
        <v>3485.2880000000005</v>
      </c>
    </row>
    <row r="2196" spans="1:7" x14ac:dyDescent="0.3">
      <c r="A2196" t="s">
        <v>87</v>
      </c>
      <c r="B2196" t="s">
        <v>88</v>
      </c>
      <c r="C2196" t="s">
        <v>12</v>
      </c>
      <c r="D2196" s="1">
        <v>45869</v>
      </c>
      <c r="E2196">
        <v>0</v>
      </c>
      <c r="F2196" s="2">
        <v>0</v>
      </c>
      <c r="G2196" s="2">
        <v>3228.9999999999995</v>
      </c>
    </row>
    <row r="2197" spans="1:7" x14ac:dyDescent="0.3">
      <c r="A2197" t="s">
        <v>87</v>
      </c>
      <c r="B2197" t="s">
        <v>88</v>
      </c>
      <c r="C2197" t="s">
        <v>12</v>
      </c>
      <c r="D2197" s="1">
        <v>45900</v>
      </c>
      <c r="E2197">
        <v>0</v>
      </c>
      <c r="F2197" s="2">
        <v>0</v>
      </c>
      <c r="G2197" s="2">
        <v>3228.9999999999995</v>
      </c>
    </row>
    <row r="2198" spans="1:7" x14ac:dyDescent="0.3">
      <c r="A2198" t="s">
        <v>87</v>
      </c>
      <c r="B2198" t="s">
        <v>88</v>
      </c>
      <c r="C2198" t="s">
        <v>12</v>
      </c>
      <c r="D2198" s="1">
        <v>45930</v>
      </c>
      <c r="E2198">
        <v>0</v>
      </c>
      <c r="F2198" s="2">
        <v>0</v>
      </c>
      <c r="G2198" s="2">
        <v>3228.9999999999995</v>
      </c>
    </row>
    <row r="2199" spans="1:7" x14ac:dyDescent="0.3">
      <c r="A2199" t="s">
        <v>87</v>
      </c>
      <c r="B2199" t="s">
        <v>88</v>
      </c>
      <c r="C2199" t="s">
        <v>12</v>
      </c>
      <c r="D2199" s="1">
        <v>45961</v>
      </c>
      <c r="E2199">
        <v>0</v>
      </c>
      <c r="F2199" s="2">
        <v>0</v>
      </c>
      <c r="G2199" s="2">
        <v>3228.9999999999995</v>
      </c>
    </row>
    <row r="2200" spans="1:7" x14ac:dyDescent="0.3">
      <c r="A2200" t="s">
        <v>87</v>
      </c>
      <c r="B2200" t="s">
        <v>88</v>
      </c>
      <c r="C2200" t="s">
        <v>12</v>
      </c>
      <c r="D2200" s="1">
        <v>45991</v>
      </c>
      <c r="E2200">
        <v>0</v>
      </c>
      <c r="F2200" s="2">
        <v>0</v>
      </c>
      <c r="G2200" s="2">
        <v>3228.9999999999995</v>
      </c>
    </row>
    <row r="2201" spans="1:7" x14ac:dyDescent="0.3">
      <c r="A2201" t="s">
        <v>87</v>
      </c>
      <c r="B2201" t="s">
        <v>88</v>
      </c>
      <c r="C2201" t="s">
        <v>12</v>
      </c>
      <c r="D2201" s="1">
        <v>46022</v>
      </c>
      <c r="E2201">
        <v>0</v>
      </c>
      <c r="F2201" s="2">
        <v>0</v>
      </c>
      <c r="G2201" s="2">
        <v>3228.9999999999995</v>
      </c>
    </row>
    <row r="2202" spans="1:7" x14ac:dyDescent="0.3">
      <c r="A2202" t="s">
        <v>239</v>
      </c>
      <c r="B2202" t="s">
        <v>240</v>
      </c>
      <c r="C2202" t="s">
        <v>12</v>
      </c>
      <c r="D2202" s="1">
        <v>45869</v>
      </c>
      <c r="E2202">
        <v>0</v>
      </c>
      <c r="F2202" s="2">
        <v>0</v>
      </c>
      <c r="G2202" s="2">
        <v>2381.8620000000001</v>
      </c>
    </row>
    <row r="2203" spans="1:7" x14ac:dyDescent="0.3">
      <c r="A2203" t="s">
        <v>239</v>
      </c>
      <c r="B2203" t="s">
        <v>240</v>
      </c>
      <c r="C2203" t="s">
        <v>12</v>
      </c>
      <c r="D2203" s="1">
        <v>45900</v>
      </c>
      <c r="E2203">
        <v>0</v>
      </c>
      <c r="F2203" s="2">
        <v>0</v>
      </c>
      <c r="G2203" s="2">
        <v>2381.8620000000001</v>
      </c>
    </row>
    <row r="2204" spans="1:7" x14ac:dyDescent="0.3">
      <c r="A2204" t="s">
        <v>239</v>
      </c>
      <c r="B2204" t="s">
        <v>240</v>
      </c>
      <c r="C2204" t="s">
        <v>12</v>
      </c>
      <c r="D2204" s="1">
        <v>45930</v>
      </c>
      <c r="E2204">
        <v>0</v>
      </c>
      <c r="F2204" s="2">
        <v>0</v>
      </c>
      <c r="G2204" s="2">
        <v>2381.8620000000001</v>
      </c>
    </row>
    <row r="2205" spans="1:7" x14ac:dyDescent="0.3">
      <c r="A2205" t="s">
        <v>239</v>
      </c>
      <c r="B2205" t="s">
        <v>240</v>
      </c>
      <c r="C2205" t="s">
        <v>12</v>
      </c>
      <c r="D2205" s="1">
        <v>45961</v>
      </c>
      <c r="E2205">
        <v>0</v>
      </c>
      <c r="F2205" s="2">
        <v>0</v>
      </c>
      <c r="G2205" s="2">
        <v>2381.8620000000001</v>
      </c>
    </row>
    <row r="2206" spans="1:7" x14ac:dyDescent="0.3">
      <c r="A2206" t="s">
        <v>239</v>
      </c>
      <c r="B2206" t="s">
        <v>240</v>
      </c>
      <c r="C2206" t="s">
        <v>12</v>
      </c>
      <c r="D2206" s="1">
        <v>45991</v>
      </c>
      <c r="E2206">
        <v>0</v>
      </c>
      <c r="F2206" s="2">
        <v>0</v>
      </c>
      <c r="G2206" s="2">
        <v>2381.8620000000001</v>
      </c>
    </row>
    <row r="2207" spans="1:7" x14ac:dyDescent="0.3">
      <c r="A2207" t="s">
        <v>239</v>
      </c>
      <c r="B2207" t="s">
        <v>240</v>
      </c>
      <c r="C2207" t="s">
        <v>12</v>
      </c>
      <c r="D2207" s="1">
        <v>46022</v>
      </c>
      <c r="E2207">
        <v>0</v>
      </c>
      <c r="F2207" s="2">
        <v>0</v>
      </c>
      <c r="G2207" s="2">
        <v>2381.8620000000001</v>
      </c>
    </row>
    <row r="2208" spans="1:7" x14ac:dyDescent="0.3">
      <c r="A2208" t="s">
        <v>175</v>
      </c>
      <c r="B2208" t="s">
        <v>176</v>
      </c>
      <c r="C2208" t="s">
        <v>12</v>
      </c>
      <c r="D2208" s="1">
        <v>45869</v>
      </c>
      <c r="E2208">
        <v>0</v>
      </c>
      <c r="F2208" s="2">
        <v>0</v>
      </c>
      <c r="G2208" s="2">
        <v>2908.0099999999993</v>
      </c>
    </row>
    <row r="2209" spans="1:7" x14ac:dyDescent="0.3">
      <c r="A2209" t="s">
        <v>175</v>
      </c>
      <c r="B2209" t="s">
        <v>176</v>
      </c>
      <c r="C2209" t="s">
        <v>12</v>
      </c>
      <c r="D2209" s="1">
        <v>45900</v>
      </c>
      <c r="E2209">
        <v>0</v>
      </c>
      <c r="F2209" s="2">
        <v>0</v>
      </c>
      <c r="G2209" s="2">
        <v>2908.0099999999993</v>
      </c>
    </row>
    <row r="2210" spans="1:7" x14ac:dyDescent="0.3">
      <c r="A2210" t="s">
        <v>175</v>
      </c>
      <c r="B2210" t="s">
        <v>176</v>
      </c>
      <c r="C2210" t="s">
        <v>12</v>
      </c>
      <c r="D2210" s="1">
        <v>45930</v>
      </c>
      <c r="E2210">
        <v>0</v>
      </c>
      <c r="F2210" s="2">
        <v>0</v>
      </c>
      <c r="G2210" s="2">
        <v>2908.0099999999993</v>
      </c>
    </row>
    <row r="2211" spans="1:7" x14ac:dyDescent="0.3">
      <c r="A2211" t="s">
        <v>175</v>
      </c>
      <c r="B2211" t="s">
        <v>176</v>
      </c>
      <c r="C2211" t="s">
        <v>12</v>
      </c>
      <c r="D2211" s="1">
        <v>45961</v>
      </c>
      <c r="E2211">
        <v>0</v>
      </c>
      <c r="F2211" s="2">
        <v>0</v>
      </c>
      <c r="G2211" s="2">
        <v>2908.0099999999993</v>
      </c>
    </row>
    <row r="2212" spans="1:7" x14ac:dyDescent="0.3">
      <c r="A2212" t="s">
        <v>175</v>
      </c>
      <c r="B2212" t="s">
        <v>176</v>
      </c>
      <c r="C2212" t="s">
        <v>12</v>
      </c>
      <c r="D2212" s="1">
        <v>45991</v>
      </c>
      <c r="E2212">
        <v>0</v>
      </c>
      <c r="F2212" s="2">
        <v>0</v>
      </c>
      <c r="G2212" s="2">
        <v>2908.0099999999993</v>
      </c>
    </row>
    <row r="2213" spans="1:7" x14ac:dyDescent="0.3">
      <c r="A2213" t="s">
        <v>175</v>
      </c>
      <c r="B2213" t="s">
        <v>176</v>
      </c>
      <c r="C2213" t="s">
        <v>12</v>
      </c>
      <c r="D2213" s="1">
        <v>46022</v>
      </c>
      <c r="E2213">
        <v>0</v>
      </c>
      <c r="F2213" s="2">
        <v>0</v>
      </c>
      <c r="G2213" s="2">
        <v>2908.0099999999993</v>
      </c>
    </row>
    <row r="2214" spans="1:7" x14ac:dyDescent="0.3">
      <c r="A2214" t="s">
        <v>397</v>
      </c>
      <c r="B2214" t="s">
        <v>398</v>
      </c>
      <c r="C2214" t="s">
        <v>12</v>
      </c>
      <c r="D2214" s="1">
        <v>45688</v>
      </c>
      <c r="E2214">
        <v>0</v>
      </c>
      <c r="F2214" s="2">
        <v>0</v>
      </c>
      <c r="G2214" s="2">
        <v>0</v>
      </c>
    </row>
    <row r="2215" spans="1:7" x14ac:dyDescent="0.3">
      <c r="A2215" t="s">
        <v>397</v>
      </c>
      <c r="B2215" t="s">
        <v>398</v>
      </c>
      <c r="C2215" t="s">
        <v>12</v>
      </c>
      <c r="D2215" s="1">
        <v>45716</v>
      </c>
      <c r="E2215">
        <v>0</v>
      </c>
      <c r="F2215" s="2">
        <v>0</v>
      </c>
      <c r="G2215" s="2">
        <v>0</v>
      </c>
    </row>
    <row r="2216" spans="1:7" x14ac:dyDescent="0.3">
      <c r="A2216" t="s">
        <v>397</v>
      </c>
      <c r="B2216" t="s">
        <v>398</v>
      </c>
      <c r="C2216" t="s">
        <v>12</v>
      </c>
      <c r="D2216" s="1">
        <v>45869</v>
      </c>
      <c r="E2216">
        <v>0</v>
      </c>
      <c r="F2216" s="2">
        <v>0</v>
      </c>
      <c r="G2216" s="2">
        <v>500</v>
      </c>
    </row>
    <row r="2217" spans="1:7" x14ac:dyDescent="0.3">
      <c r="A2217" t="s">
        <v>397</v>
      </c>
      <c r="B2217" t="s">
        <v>398</v>
      </c>
      <c r="C2217" t="s">
        <v>12</v>
      </c>
      <c r="D2217" s="1">
        <v>45900</v>
      </c>
      <c r="E2217">
        <v>0</v>
      </c>
      <c r="F2217" s="2">
        <v>0</v>
      </c>
      <c r="G2217" s="2">
        <v>500</v>
      </c>
    </row>
    <row r="2218" spans="1:7" x14ac:dyDescent="0.3">
      <c r="A2218" t="s">
        <v>397</v>
      </c>
      <c r="B2218" t="s">
        <v>398</v>
      </c>
      <c r="C2218" t="s">
        <v>12</v>
      </c>
      <c r="D2218" s="1">
        <v>45930</v>
      </c>
      <c r="E2218">
        <v>0</v>
      </c>
      <c r="F2218" s="2">
        <v>0</v>
      </c>
      <c r="G2218" s="2">
        <v>500</v>
      </c>
    </row>
    <row r="2219" spans="1:7" x14ac:dyDescent="0.3">
      <c r="A2219" t="s">
        <v>397</v>
      </c>
      <c r="B2219" t="s">
        <v>398</v>
      </c>
      <c r="C2219" t="s">
        <v>12</v>
      </c>
      <c r="D2219" s="1">
        <v>45961</v>
      </c>
      <c r="E2219">
        <v>0</v>
      </c>
      <c r="F2219" s="2">
        <v>0</v>
      </c>
      <c r="G2219" s="2">
        <v>500</v>
      </c>
    </row>
    <row r="2220" spans="1:7" x14ac:dyDescent="0.3">
      <c r="A2220" t="s">
        <v>397</v>
      </c>
      <c r="B2220" t="s">
        <v>398</v>
      </c>
      <c r="C2220" t="s">
        <v>12</v>
      </c>
      <c r="D2220" s="1">
        <v>45991</v>
      </c>
      <c r="E2220">
        <v>0</v>
      </c>
      <c r="F2220" s="2">
        <v>0</v>
      </c>
      <c r="G2220" s="2">
        <v>500</v>
      </c>
    </row>
    <row r="2221" spans="1:7" x14ac:dyDescent="0.3">
      <c r="A2221" t="s">
        <v>397</v>
      </c>
      <c r="B2221" t="s">
        <v>398</v>
      </c>
      <c r="C2221" t="s">
        <v>12</v>
      </c>
      <c r="D2221" s="1">
        <v>46022</v>
      </c>
      <c r="E2221">
        <v>0</v>
      </c>
      <c r="F2221" s="2">
        <v>0</v>
      </c>
      <c r="G2221" s="2">
        <v>500</v>
      </c>
    </row>
    <row r="2222" spans="1:7" x14ac:dyDescent="0.3">
      <c r="A2222" t="s">
        <v>201</v>
      </c>
      <c r="B2222" t="s">
        <v>202</v>
      </c>
      <c r="C2222" t="s">
        <v>12</v>
      </c>
      <c r="D2222" s="1">
        <v>45869</v>
      </c>
      <c r="E2222">
        <v>0</v>
      </c>
      <c r="F2222" s="2">
        <v>0</v>
      </c>
      <c r="G2222" s="2">
        <v>6604.45</v>
      </c>
    </row>
    <row r="2223" spans="1:7" x14ac:dyDescent="0.3">
      <c r="A2223" t="s">
        <v>201</v>
      </c>
      <c r="B2223" t="s">
        <v>202</v>
      </c>
      <c r="C2223" t="s">
        <v>12</v>
      </c>
      <c r="D2223" s="1">
        <v>45900</v>
      </c>
      <c r="E2223">
        <v>0</v>
      </c>
      <c r="F2223" s="2">
        <v>0</v>
      </c>
      <c r="G2223" s="2">
        <v>6604.45</v>
      </c>
    </row>
    <row r="2224" spans="1:7" x14ac:dyDescent="0.3">
      <c r="A2224" t="s">
        <v>201</v>
      </c>
      <c r="B2224" t="s">
        <v>202</v>
      </c>
      <c r="C2224" t="s">
        <v>12</v>
      </c>
      <c r="D2224" s="1">
        <v>45930</v>
      </c>
      <c r="E2224">
        <v>0</v>
      </c>
      <c r="F2224" s="2">
        <v>0</v>
      </c>
      <c r="G2224" s="2">
        <v>6604.45</v>
      </c>
    </row>
    <row r="2225" spans="1:7" x14ac:dyDescent="0.3">
      <c r="A2225" t="s">
        <v>201</v>
      </c>
      <c r="B2225" t="s">
        <v>202</v>
      </c>
      <c r="C2225" t="s">
        <v>12</v>
      </c>
      <c r="D2225" s="1">
        <v>45961</v>
      </c>
      <c r="E2225">
        <v>0</v>
      </c>
      <c r="F2225" s="2">
        <v>0</v>
      </c>
      <c r="G2225" s="2">
        <v>6604.45</v>
      </c>
    </row>
    <row r="2226" spans="1:7" x14ac:dyDescent="0.3">
      <c r="A2226" t="s">
        <v>201</v>
      </c>
      <c r="B2226" t="s">
        <v>202</v>
      </c>
      <c r="C2226" t="s">
        <v>12</v>
      </c>
      <c r="D2226" s="1">
        <v>45991</v>
      </c>
      <c r="E2226">
        <v>0</v>
      </c>
      <c r="F2226" s="2">
        <v>0</v>
      </c>
      <c r="G2226" s="2">
        <v>6604.45</v>
      </c>
    </row>
    <row r="2227" spans="1:7" x14ac:dyDescent="0.3">
      <c r="A2227" t="s">
        <v>201</v>
      </c>
      <c r="B2227" t="s">
        <v>202</v>
      </c>
      <c r="C2227" t="s">
        <v>12</v>
      </c>
      <c r="D2227" s="1">
        <v>46022</v>
      </c>
      <c r="E2227">
        <v>0</v>
      </c>
      <c r="F2227" s="2">
        <v>0</v>
      </c>
      <c r="G2227" s="2">
        <v>6604.45</v>
      </c>
    </row>
    <row r="2228" spans="1:7" x14ac:dyDescent="0.3">
      <c r="A2228" t="s">
        <v>83</v>
      </c>
      <c r="B2228" t="s">
        <v>84</v>
      </c>
      <c r="C2228" t="s">
        <v>12</v>
      </c>
      <c r="D2228" s="1">
        <v>45869</v>
      </c>
      <c r="E2228">
        <v>0</v>
      </c>
      <c r="F2228" s="2">
        <v>0</v>
      </c>
      <c r="G2228" s="2">
        <v>5435.5240000000003</v>
      </c>
    </row>
    <row r="2229" spans="1:7" x14ac:dyDescent="0.3">
      <c r="A2229" t="s">
        <v>83</v>
      </c>
      <c r="B2229" t="s">
        <v>84</v>
      </c>
      <c r="C2229" t="s">
        <v>12</v>
      </c>
      <c r="D2229" s="1">
        <v>45900</v>
      </c>
      <c r="E2229">
        <v>0</v>
      </c>
      <c r="F2229" s="2">
        <v>0</v>
      </c>
      <c r="G2229" s="2">
        <v>5435.5240000000003</v>
      </c>
    </row>
    <row r="2230" spans="1:7" x14ac:dyDescent="0.3">
      <c r="A2230" t="s">
        <v>83</v>
      </c>
      <c r="B2230" t="s">
        <v>84</v>
      </c>
      <c r="C2230" t="s">
        <v>12</v>
      </c>
      <c r="D2230" s="1">
        <v>45930</v>
      </c>
      <c r="E2230">
        <v>0</v>
      </c>
      <c r="F2230" s="2">
        <v>0</v>
      </c>
      <c r="G2230" s="2">
        <v>5435.5240000000003</v>
      </c>
    </row>
    <row r="2231" spans="1:7" x14ac:dyDescent="0.3">
      <c r="A2231" t="s">
        <v>83</v>
      </c>
      <c r="B2231" t="s">
        <v>84</v>
      </c>
      <c r="C2231" t="s">
        <v>12</v>
      </c>
      <c r="D2231" s="1">
        <v>45961</v>
      </c>
      <c r="E2231">
        <v>0</v>
      </c>
      <c r="F2231" s="2">
        <v>0</v>
      </c>
      <c r="G2231" s="2">
        <v>5435.5240000000003</v>
      </c>
    </row>
    <row r="2232" spans="1:7" x14ac:dyDescent="0.3">
      <c r="A2232" t="s">
        <v>83</v>
      </c>
      <c r="B2232" t="s">
        <v>84</v>
      </c>
      <c r="C2232" t="s">
        <v>12</v>
      </c>
      <c r="D2232" s="1">
        <v>45991</v>
      </c>
      <c r="E2232">
        <v>0</v>
      </c>
      <c r="F2232" s="2">
        <v>0</v>
      </c>
      <c r="G2232" s="2">
        <v>5435.5240000000003</v>
      </c>
    </row>
    <row r="2233" spans="1:7" x14ac:dyDescent="0.3">
      <c r="A2233" t="s">
        <v>83</v>
      </c>
      <c r="B2233" t="s">
        <v>84</v>
      </c>
      <c r="C2233" t="s">
        <v>12</v>
      </c>
      <c r="D2233" s="1">
        <v>46022</v>
      </c>
      <c r="E2233">
        <v>0</v>
      </c>
      <c r="F2233" s="2">
        <v>0</v>
      </c>
      <c r="G2233" s="2">
        <v>5435.5240000000003</v>
      </c>
    </row>
    <row r="2234" spans="1:7" x14ac:dyDescent="0.3">
      <c r="A2234" t="s">
        <v>399</v>
      </c>
      <c r="B2234" t="s">
        <v>400</v>
      </c>
      <c r="C2234" t="s">
        <v>12</v>
      </c>
      <c r="D2234" s="1">
        <v>45688</v>
      </c>
      <c r="E2234">
        <v>0</v>
      </c>
      <c r="F2234" s="2">
        <v>0</v>
      </c>
      <c r="G2234" s="2">
        <v>0</v>
      </c>
    </row>
    <row r="2235" spans="1:7" x14ac:dyDescent="0.3">
      <c r="A2235" t="s">
        <v>399</v>
      </c>
      <c r="B2235" t="s">
        <v>400</v>
      </c>
      <c r="C2235" t="s">
        <v>12</v>
      </c>
      <c r="D2235" s="1">
        <v>45716</v>
      </c>
      <c r="E2235">
        <v>0</v>
      </c>
      <c r="F2235" s="2">
        <v>0</v>
      </c>
      <c r="G2235" s="2">
        <v>0</v>
      </c>
    </row>
    <row r="2236" spans="1:7" x14ac:dyDescent="0.3">
      <c r="A2236" t="s">
        <v>399</v>
      </c>
      <c r="B2236" t="s">
        <v>400</v>
      </c>
      <c r="C2236" t="s">
        <v>12</v>
      </c>
      <c r="D2236" s="1">
        <v>45747</v>
      </c>
      <c r="E2236">
        <v>0</v>
      </c>
      <c r="F2236" s="2">
        <v>0</v>
      </c>
      <c r="G2236" s="2">
        <v>0</v>
      </c>
    </row>
    <row r="2237" spans="1:7" x14ac:dyDescent="0.3">
      <c r="A2237" t="s">
        <v>399</v>
      </c>
      <c r="B2237" t="s">
        <v>400</v>
      </c>
      <c r="C2237" t="s">
        <v>12</v>
      </c>
      <c r="D2237" s="1">
        <v>45869</v>
      </c>
      <c r="E2237">
        <v>0</v>
      </c>
      <c r="F2237" s="2">
        <v>0</v>
      </c>
      <c r="G2237" s="2">
        <v>3228.9999999999995</v>
      </c>
    </row>
    <row r="2238" spans="1:7" x14ac:dyDescent="0.3">
      <c r="A2238" t="s">
        <v>399</v>
      </c>
      <c r="B2238" t="s">
        <v>400</v>
      </c>
      <c r="C2238" t="s">
        <v>12</v>
      </c>
      <c r="D2238" s="1">
        <v>45900</v>
      </c>
      <c r="E2238">
        <v>0</v>
      </c>
      <c r="F2238" s="2">
        <v>0</v>
      </c>
      <c r="G2238" s="2">
        <v>3228.9999999999995</v>
      </c>
    </row>
    <row r="2239" spans="1:7" x14ac:dyDescent="0.3">
      <c r="A2239" t="s">
        <v>399</v>
      </c>
      <c r="B2239" t="s">
        <v>400</v>
      </c>
      <c r="C2239" t="s">
        <v>12</v>
      </c>
      <c r="D2239" s="1">
        <v>45930</v>
      </c>
      <c r="E2239">
        <v>0</v>
      </c>
      <c r="F2239" s="2">
        <v>0</v>
      </c>
      <c r="G2239" s="2">
        <v>3228.9999999999995</v>
      </c>
    </row>
    <row r="2240" spans="1:7" x14ac:dyDescent="0.3">
      <c r="A2240" t="s">
        <v>399</v>
      </c>
      <c r="B2240" t="s">
        <v>400</v>
      </c>
      <c r="C2240" t="s">
        <v>12</v>
      </c>
      <c r="D2240" s="1">
        <v>45961</v>
      </c>
      <c r="E2240">
        <v>0</v>
      </c>
      <c r="F2240" s="2">
        <v>0</v>
      </c>
      <c r="G2240" s="2">
        <v>3228.9999999999995</v>
      </c>
    </row>
    <row r="2241" spans="1:7" x14ac:dyDescent="0.3">
      <c r="A2241" t="s">
        <v>399</v>
      </c>
      <c r="B2241" t="s">
        <v>400</v>
      </c>
      <c r="C2241" t="s">
        <v>12</v>
      </c>
      <c r="D2241" s="1">
        <v>45991</v>
      </c>
      <c r="E2241">
        <v>0</v>
      </c>
      <c r="F2241" s="2">
        <v>0</v>
      </c>
      <c r="G2241" s="2">
        <v>3228.9999999999995</v>
      </c>
    </row>
    <row r="2242" spans="1:7" x14ac:dyDescent="0.3">
      <c r="A2242" t="s">
        <v>399</v>
      </c>
      <c r="B2242" t="s">
        <v>400</v>
      </c>
      <c r="C2242" t="s">
        <v>12</v>
      </c>
      <c r="D2242" s="1">
        <v>46022</v>
      </c>
      <c r="E2242">
        <v>0</v>
      </c>
      <c r="F2242" s="2">
        <v>0</v>
      </c>
      <c r="G2242" s="2">
        <v>3228.9999999999995</v>
      </c>
    </row>
    <row r="2243" spans="1:7" x14ac:dyDescent="0.3">
      <c r="A2243" t="s">
        <v>373</v>
      </c>
      <c r="B2243" t="s">
        <v>374</v>
      </c>
      <c r="C2243" t="s">
        <v>13</v>
      </c>
      <c r="D2243" s="1">
        <v>45688</v>
      </c>
      <c r="E2243">
        <v>0</v>
      </c>
      <c r="F2243" s="2">
        <v>0</v>
      </c>
      <c r="G2243" s="2">
        <v>0</v>
      </c>
    </row>
    <row r="2244" spans="1:7" x14ac:dyDescent="0.3">
      <c r="A2244" t="s">
        <v>373</v>
      </c>
      <c r="B2244" t="s">
        <v>374</v>
      </c>
      <c r="C2244" t="s">
        <v>13</v>
      </c>
      <c r="D2244" s="1">
        <v>45869</v>
      </c>
      <c r="E2244">
        <v>0</v>
      </c>
      <c r="F2244" s="2">
        <v>0</v>
      </c>
      <c r="G2244" s="2">
        <v>2610.6749999999997</v>
      </c>
    </row>
    <row r="2245" spans="1:7" x14ac:dyDescent="0.3">
      <c r="A2245" t="s">
        <v>341</v>
      </c>
      <c r="B2245" t="s">
        <v>342</v>
      </c>
      <c r="C2245" t="s">
        <v>13</v>
      </c>
      <c r="D2245" s="1">
        <v>45747</v>
      </c>
      <c r="E2245">
        <v>0</v>
      </c>
      <c r="F2245" s="2">
        <v>0</v>
      </c>
      <c r="G2245" s="2">
        <v>0</v>
      </c>
    </row>
    <row r="2246" spans="1:7" x14ac:dyDescent="0.3">
      <c r="A2246" t="s">
        <v>341</v>
      </c>
      <c r="B2246" t="s">
        <v>342</v>
      </c>
      <c r="C2246" t="s">
        <v>13</v>
      </c>
      <c r="D2246" s="1">
        <v>45777</v>
      </c>
      <c r="E2246">
        <v>0</v>
      </c>
      <c r="F2246" s="2">
        <v>0</v>
      </c>
      <c r="G2246" s="2">
        <v>0</v>
      </c>
    </row>
    <row r="2247" spans="1:7" x14ac:dyDescent="0.3">
      <c r="A2247" t="s">
        <v>341</v>
      </c>
      <c r="B2247" t="s">
        <v>342</v>
      </c>
      <c r="C2247" t="s">
        <v>13</v>
      </c>
      <c r="D2247" s="1">
        <v>45808</v>
      </c>
      <c r="E2247">
        <v>0</v>
      </c>
      <c r="F2247" s="2">
        <v>0</v>
      </c>
      <c r="G2247" s="2">
        <v>0</v>
      </c>
    </row>
    <row r="2248" spans="1:7" x14ac:dyDescent="0.3">
      <c r="A2248" t="s">
        <v>341</v>
      </c>
      <c r="B2248" t="s">
        <v>342</v>
      </c>
      <c r="C2248" t="s">
        <v>13</v>
      </c>
      <c r="D2248" s="1">
        <v>45838</v>
      </c>
      <c r="E2248">
        <v>0</v>
      </c>
      <c r="F2248" s="2">
        <v>0</v>
      </c>
      <c r="G2248" s="2">
        <v>0</v>
      </c>
    </row>
    <row r="2249" spans="1:7" x14ac:dyDescent="0.3">
      <c r="A2249" t="s">
        <v>341</v>
      </c>
      <c r="B2249" t="s">
        <v>342</v>
      </c>
      <c r="C2249" t="s">
        <v>13</v>
      </c>
      <c r="D2249" s="1">
        <v>45869</v>
      </c>
      <c r="E2249">
        <v>0</v>
      </c>
      <c r="F2249" s="2">
        <v>0</v>
      </c>
      <c r="G2249" s="2">
        <v>0</v>
      </c>
    </row>
    <row r="2250" spans="1:7" x14ac:dyDescent="0.3">
      <c r="A2250" t="s">
        <v>341</v>
      </c>
      <c r="B2250" t="s">
        <v>342</v>
      </c>
      <c r="C2250" t="s">
        <v>13</v>
      </c>
      <c r="D2250" s="1">
        <v>45900</v>
      </c>
      <c r="E2250">
        <v>0</v>
      </c>
      <c r="F2250" s="2">
        <v>0</v>
      </c>
      <c r="G2250" s="2">
        <v>0</v>
      </c>
    </row>
    <row r="2251" spans="1:7" x14ac:dyDescent="0.3">
      <c r="A2251" t="s">
        <v>341</v>
      </c>
      <c r="B2251" t="s">
        <v>342</v>
      </c>
      <c r="C2251" t="s">
        <v>13</v>
      </c>
      <c r="D2251" s="1">
        <v>45930</v>
      </c>
      <c r="E2251">
        <v>0</v>
      </c>
      <c r="F2251" s="2">
        <v>0</v>
      </c>
      <c r="G2251" s="2">
        <v>0</v>
      </c>
    </row>
    <row r="2252" spans="1:7" x14ac:dyDescent="0.3">
      <c r="A2252" t="s">
        <v>341</v>
      </c>
      <c r="B2252" t="s">
        <v>342</v>
      </c>
      <c r="C2252" t="s">
        <v>13</v>
      </c>
      <c r="D2252" s="1">
        <v>45961</v>
      </c>
      <c r="E2252">
        <v>0</v>
      </c>
      <c r="F2252" s="2">
        <v>0</v>
      </c>
      <c r="G2252" s="2">
        <v>0</v>
      </c>
    </row>
    <row r="2253" spans="1:7" x14ac:dyDescent="0.3">
      <c r="A2253" t="s">
        <v>341</v>
      </c>
      <c r="B2253" t="s">
        <v>342</v>
      </c>
      <c r="C2253" t="s">
        <v>13</v>
      </c>
      <c r="D2253" s="1">
        <v>45991</v>
      </c>
      <c r="E2253">
        <v>0</v>
      </c>
      <c r="F2253" s="2">
        <v>0</v>
      </c>
      <c r="G2253" s="2">
        <v>0</v>
      </c>
    </row>
    <row r="2254" spans="1:7" x14ac:dyDescent="0.3">
      <c r="A2254" t="s">
        <v>341</v>
      </c>
      <c r="B2254" t="s">
        <v>342</v>
      </c>
      <c r="C2254" t="s">
        <v>13</v>
      </c>
      <c r="D2254" s="1">
        <v>46022</v>
      </c>
      <c r="E2254">
        <v>0</v>
      </c>
      <c r="F2254" s="2">
        <v>0</v>
      </c>
      <c r="G2254" s="2">
        <v>0</v>
      </c>
    </row>
    <row r="2255" spans="1:7" x14ac:dyDescent="0.3">
      <c r="A2255" t="s">
        <v>380</v>
      </c>
      <c r="B2255" t="s">
        <v>342</v>
      </c>
      <c r="C2255" t="s">
        <v>13</v>
      </c>
      <c r="D2255" s="1">
        <v>45688</v>
      </c>
      <c r="E2255">
        <v>0</v>
      </c>
      <c r="F2255" s="2">
        <v>0</v>
      </c>
      <c r="G2255" s="2">
        <v>0</v>
      </c>
    </row>
    <row r="2256" spans="1:7" x14ac:dyDescent="0.3">
      <c r="A2256" t="s">
        <v>380</v>
      </c>
      <c r="B2256" t="s">
        <v>342</v>
      </c>
      <c r="C2256" t="s">
        <v>13</v>
      </c>
      <c r="D2256" s="1">
        <v>45716</v>
      </c>
      <c r="E2256">
        <v>0</v>
      </c>
      <c r="F2256" s="2">
        <v>0</v>
      </c>
      <c r="G2256" s="2">
        <v>0</v>
      </c>
    </row>
    <row r="2257" spans="1:7" x14ac:dyDescent="0.3">
      <c r="A2257" t="s">
        <v>380</v>
      </c>
      <c r="B2257" t="s">
        <v>342</v>
      </c>
      <c r="C2257" t="s">
        <v>13</v>
      </c>
      <c r="D2257" s="1">
        <v>45869</v>
      </c>
      <c r="E2257">
        <v>0</v>
      </c>
      <c r="F2257" s="2">
        <v>0</v>
      </c>
      <c r="G2257" s="2">
        <v>2142.79</v>
      </c>
    </row>
    <row r="2258" spans="1:7" x14ac:dyDescent="0.3">
      <c r="A2258" t="s">
        <v>380</v>
      </c>
      <c r="B2258" t="s">
        <v>342</v>
      </c>
      <c r="C2258" t="s">
        <v>13</v>
      </c>
      <c r="D2258" s="1">
        <v>45900</v>
      </c>
      <c r="E2258">
        <v>0</v>
      </c>
      <c r="F2258" s="2">
        <v>0</v>
      </c>
      <c r="G2258" s="2">
        <v>2142.79</v>
      </c>
    </row>
    <row r="2259" spans="1:7" x14ac:dyDescent="0.3">
      <c r="A2259" t="s">
        <v>380</v>
      </c>
      <c r="B2259" t="s">
        <v>342</v>
      </c>
      <c r="C2259" t="s">
        <v>13</v>
      </c>
      <c r="D2259" s="1">
        <v>45930</v>
      </c>
      <c r="E2259">
        <v>0</v>
      </c>
      <c r="F2259" s="2">
        <v>0</v>
      </c>
      <c r="G2259" s="2">
        <v>2142.79</v>
      </c>
    </row>
    <row r="2260" spans="1:7" x14ac:dyDescent="0.3">
      <c r="A2260" t="s">
        <v>380</v>
      </c>
      <c r="B2260" t="s">
        <v>342</v>
      </c>
      <c r="C2260" t="s">
        <v>13</v>
      </c>
      <c r="D2260" s="1">
        <v>45961</v>
      </c>
      <c r="E2260">
        <v>0</v>
      </c>
      <c r="F2260" s="2">
        <v>0</v>
      </c>
      <c r="G2260" s="2">
        <v>2142.79</v>
      </c>
    </row>
    <row r="2261" spans="1:7" x14ac:dyDescent="0.3">
      <c r="A2261" t="s">
        <v>380</v>
      </c>
      <c r="B2261" t="s">
        <v>342</v>
      </c>
      <c r="C2261" t="s">
        <v>13</v>
      </c>
      <c r="D2261" s="1">
        <v>45991</v>
      </c>
      <c r="E2261">
        <v>0</v>
      </c>
      <c r="F2261" s="2">
        <v>0</v>
      </c>
      <c r="G2261" s="2">
        <v>2142.79</v>
      </c>
    </row>
    <row r="2262" spans="1:7" x14ac:dyDescent="0.3">
      <c r="A2262" t="s">
        <v>380</v>
      </c>
      <c r="B2262" t="s">
        <v>342</v>
      </c>
      <c r="C2262" t="s">
        <v>13</v>
      </c>
      <c r="D2262" s="1">
        <v>46022</v>
      </c>
      <c r="E2262">
        <v>0</v>
      </c>
      <c r="F2262" s="2">
        <v>0</v>
      </c>
      <c r="G2262" s="2">
        <v>2142.79</v>
      </c>
    </row>
    <row r="2263" spans="1:7" x14ac:dyDescent="0.3">
      <c r="A2263" t="s">
        <v>53</v>
      </c>
      <c r="B2263" t="s">
        <v>54</v>
      </c>
      <c r="C2263" t="s">
        <v>13</v>
      </c>
      <c r="D2263" s="1">
        <v>45747</v>
      </c>
      <c r="E2263">
        <v>0</v>
      </c>
      <c r="F2263" s="2">
        <v>0</v>
      </c>
      <c r="G2263" s="2">
        <v>0</v>
      </c>
    </row>
    <row r="2264" spans="1:7" x14ac:dyDescent="0.3">
      <c r="A2264" t="s">
        <v>53</v>
      </c>
      <c r="B2264" t="s">
        <v>54</v>
      </c>
      <c r="C2264" t="s">
        <v>13</v>
      </c>
      <c r="D2264" s="1">
        <v>45777</v>
      </c>
      <c r="E2264">
        <v>0</v>
      </c>
      <c r="F2264" s="2">
        <v>0</v>
      </c>
      <c r="G2264" s="2">
        <v>0</v>
      </c>
    </row>
    <row r="2265" spans="1:7" x14ac:dyDescent="0.3">
      <c r="A2265" t="s">
        <v>53</v>
      </c>
      <c r="B2265" t="s">
        <v>54</v>
      </c>
      <c r="C2265" t="s">
        <v>13</v>
      </c>
      <c r="D2265" s="1">
        <v>45808</v>
      </c>
      <c r="E2265">
        <v>0</v>
      </c>
      <c r="F2265" s="2">
        <v>0</v>
      </c>
      <c r="G2265" s="2">
        <v>0</v>
      </c>
    </row>
    <row r="2266" spans="1:7" x14ac:dyDescent="0.3">
      <c r="A2266" t="s">
        <v>53</v>
      </c>
      <c r="B2266" t="s">
        <v>54</v>
      </c>
      <c r="C2266" t="s">
        <v>13</v>
      </c>
      <c r="D2266" s="1">
        <v>45838</v>
      </c>
      <c r="E2266">
        <v>0</v>
      </c>
      <c r="F2266" s="2">
        <v>0</v>
      </c>
      <c r="G2266" s="2">
        <v>0</v>
      </c>
    </row>
    <row r="2267" spans="1:7" x14ac:dyDescent="0.3">
      <c r="A2267" t="s">
        <v>53</v>
      </c>
      <c r="B2267" t="s">
        <v>54</v>
      </c>
      <c r="C2267" t="s">
        <v>13</v>
      </c>
      <c r="D2267" s="1">
        <v>45869</v>
      </c>
      <c r="E2267">
        <v>0</v>
      </c>
      <c r="F2267" s="2">
        <v>0</v>
      </c>
      <c r="G2267" s="2">
        <v>0</v>
      </c>
    </row>
    <row r="2268" spans="1:7" x14ac:dyDescent="0.3">
      <c r="A2268" t="s">
        <v>53</v>
      </c>
      <c r="B2268" t="s">
        <v>54</v>
      </c>
      <c r="C2268" t="s">
        <v>13</v>
      </c>
      <c r="D2268" s="1">
        <v>45900</v>
      </c>
      <c r="E2268">
        <v>0</v>
      </c>
      <c r="F2268" s="2">
        <v>0</v>
      </c>
      <c r="G2268" s="2">
        <v>0</v>
      </c>
    </row>
    <row r="2269" spans="1:7" x14ac:dyDescent="0.3">
      <c r="A2269" t="s">
        <v>53</v>
      </c>
      <c r="B2269" t="s">
        <v>54</v>
      </c>
      <c r="C2269" t="s">
        <v>13</v>
      </c>
      <c r="D2269" s="1">
        <v>45930</v>
      </c>
      <c r="E2269">
        <v>0</v>
      </c>
      <c r="F2269" s="2">
        <v>0</v>
      </c>
      <c r="G2269" s="2">
        <v>0</v>
      </c>
    </row>
    <row r="2270" spans="1:7" x14ac:dyDescent="0.3">
      <c r="A2270" t="s">
        <v>53</v>
      </c>
      <c r="B2270" t="s">
        <v>54</v>
      </c>
      <c r="C2270" t="s">
        <v>13</v>
      </c>
      <c r="D2270" s="1">
        <v>45961</v>
      </c>
      <c r="E2270">
        <v>0</v>
      </c>
      <c r="F2270" s="2">
        <v>0</v>
      </c>
      <c r="G2270" s="2">
        <v>0</v>
      </c>
    </row>
    <row r="2271" spans="1:7" x14ac:dyDescent="0.3">
      <c r="A2271" t="s">
        <v>53</v>
      </c>
      <c r="B2271" t="s">
        <v>54</v>
      </c>
      <c r="C2271" t="s">
        <v>13</v>
      </c>
      <c r="D2271" s="1">
        <v>45991</v>
      </c>
      <c r="E2271">
        <v>0</v>
      </c>
      <c r="F2271" s="2">
        <v>0</v>
      </c>
      <c r="G2271" s="2">
        <v>0</v>
      </c>
    </row>
    <row r="2272" spans="1:7" x14ac:dyDescent="0.3">
      <c r="A2272" t="s">
        <v>53</v>
      </c>
      <c r="B2272" t="s">
        <v>54</v>
      </c>
      <c r="C2272" t="s">
        <v>13</v>
      </c>
      <c r="D2272" s="1">
        <v>46022</v>
      </c>
      <c r="E2272">
        <v>0</v>
      </c>
      <c r="F2272" s="2">
        <v>0</v>
      </c>
      <c r="G2272" s="2">
        <v>0</v>
      </c>
    </row>
    <row r="2273" spans="1:7" x14ac:dyDescent="0.3">
      <c r="A2273" t="s">
        <v>275</v>
      </c>
      <c r="B2273" t="s">
        <v>276</v>
      </c>
      <c r="C2273" t="s">
        <v>13</v>
      </c>
      <c r="D2273" s="1">
        <v>45777</v>
      </c>
      <c r="E2273">
        <v>0</v>
      </c>
      <c r="F2273" s="2">
        <v>0</v>
      </c>
      <c r="G2273" s="2">
        <v>0</v>
      </c>
    </row>
    <row r="2274" spans="1:7" x14ac:dyDescent="0.3">
      <c r="A2274" t="s">
        <v>275</v>
      </c>
      <c r="B2274" t="s">
        <v>276</v>
      </c>
      <c r="C2274" t="s">
        <v>13</v>
      </c>
      <c r="D2274" s="1">
        <v>45808</v>
      </c>
      <c r="E2274">
        <v>0</v>
      </c>
      <c r="F2274" s="2">
        <v>0</v>
      </c>
      <c r="G2274" s="2">
        <v>0</v>
      </c>
    </row>
    <row r="2275" spans="1:7" x14ac:dyDescent="0.3">
      <c r="A2275" t="s">
        <v>275</v>
      </c>
      <c r="B2275" t="s">
        <v>276</v>
      </c>
      <c r="C2275" t="s">
        <v>13</v>
      </c>
      <c r="D2275" s="1">
        <v>45838</v>
      </c>
      <c r="E2275">
        <v>0</v>
      </c>
      <c r="F2275" s="2">
        <v>0</v>
      </c>
      <c r="G2275" s="2">
        <v>0</v>
      </c>
    </row>
    <row r="2276" spans="1:7" x14ac:dyDescent="0.3">
      <c r="A2276" t="s">
        <v>275</v>
      </c>
      <c r="B2276" t="s">
        <v>276</v>
      </c>
      <c r="C2276" t="s">
        <v>13</v>
      </c>
      <c r="D2276" s="1">
        <v>45869</v>
      </c>
      <c r="E2276">
        <v>0</v>
      </c>
      <c r="F2276" s="2">
        <v>0</v>
      </c>
      <c r="G2276" s="2">
        <v>0</v>
      </c>
    </row>
    <row r="2277" spans="1:7" x14ac:dyDescent="0.3">
      <c r="A2277" t="s">
        <v>275</v>
      </c>
      <c r="B2277" t="s">
        <v>276</v>
      </c>
      <c r="C2277" t="s">
        <v>13</v>
      </c>
      <c r="D2277" s="1">
        <v>45900</v>
      </c>
      <c r="E2277">
        <v>0</v>
      </c>
      <c r="F2277" s="2">
        <v>0</v>
      </c>
      <c r="G2277" s="2">
        <v>0</v>
      </c>
    </row>
    <row r="2278" spans="1:7" x14ac:dyDescent="0.3">
      <c r="A2278" t="s">
        <v>275</v>
      </c>
      <c r="B2278" t="s">
        <v>276</v>
      </c>
      <c r="C2278" t="s">
        <v>13</v>
      </c>
      <c r="D2278" s="1">
        <v>45930</v>
      </c>
      <c r="E2278">
        <v>0</v>
      </c>
      <c r="F2278" s="2">
        <v>0</v>
      </c>
      <c r="G2278" s="2">
        <v>0</v>
      </c>
    </row>
    <row r="2279" spans="1:7" x14ac:dyDescent="0.3">
      <c r="A2279" t="s">
        <v>275</v>
      </c>
      <c r="B2279" t="s">
        <v>276</v>
      </c>
      <c r="C2279" t="s">
        <v>13</v>
      </c>
      <c r="D2279" s="1">
        <v>45961</v>
      </c>
      <c r="E2279">
        <v>0</v>
      </c>
      <c r="F2279" s="2">
        <v>0</v>
      </c>
      <c r="G2279" s="2">
        <v>0</v>
      </c>
    </row>
    <row r="2280" spans="1:7" x14ac:dyDescent="0.3">
      <c r="A2280" t="s">
        <v>275</v>
      </c>
      <c r="B2280" t="s">
        <v>276</v>
      </c>
      <c r="C2280" t="s">
        <v>13</v>
      </c>
      <c r="D2280" s="1">
        <v>45991</v>
      </c>
      <c r="E2280">
        <v>0</v>
      </c>
      <c r="F2280" s="2">
        <v>0</v>
      </c>
      <c r="G2280" s="2">
        <v>0</v>
      </c>
    </row>
    <row r="2281" spans="1:7" x14ac:dyDescent="0.3">
      <c r="A2281" t="s">
        <v>275</v>
      </c>
      <c r="B2281" t="s">
        <v>276</v>
      </c>
      <c r="C2281" t="s">
        <v>13</v>
      </c>
      <c r="D2281" s="1">
        <v>46022</v>
      </c>
      <c r="E2281">
        <v>0</v>
      </c>
      <c r="F2281" s="2">
        <v>0</v>
      </c>
      <c r="G2281" s="2">
        <v>0</v>
      </c>
    </row>
    <row r="2282" spans="1:7" x14ac:dyDescent="0.3">
      <c r="A2282" t="s">
        <v>261</v>
      </c>
      <c r="B2282" t="s">
        <v>262</v>
      </c>
      <c r="C2282" t="s">
        <v>13</v>
      </c>
      <c r="D2282" s="1">
        <v>45747</v>
      </c>
      <c r="E2282">
        <v>0</v>
      </c>
      <c r="F2282" s="2">
        <v>0</v>
      </c>
      <c r="G2282" s="2">
        <v>0</v>
      </c>
    </row>
    <row r="2283" spans="1:7" x14ac:dyDescent="0.3">
      <c r="A2283" t="s">
        <v>261</v>
      </c>
      <c r="B2283" t="s">
        <v>262</v>
      </c>
      <c r="C2283" t="s">
        <v>13</v>
      </c>
      <c r="D2283" s="1">
        <v>45777</v>
      </c>
      <c r="E2283">
        <v>0</v>
      </c>
      <c r="F2283" s="2">
        <v>0</v>
      </c>
      <c r="G2283" s="2">
        <v>0</v>
      </c>
    </row>
    <row r="2284" spans="1:7" x14ac:dyDescent="0.3">
      <c r="A2284" t="s">
        <v>261</v>
      </c>
      <c r="B2284" t="s">
        <v>262</v>
      </c>
      <c r="C2284" t="s">
        <v>13</v>
      </c>
      <c r="D2284" s="1">
        <v>45808</v>
      </c>
      <c r="E2284">
        <v>0</v>
      </c>
      <c r="F2284" s="2">
        <v>0</v>
      </c>
      <c r="G2284" s="2">
        <v>0</v>
      </c>
    </row>
    <row r="2285" spans="1:7" x14ac:dyDescent="0.3">
      <c r="A2285" t="s">
        <v>261</v>
      </c>
      <c r="B2285" t="s">
        <v>262</v>
      </c>
      <c r="C2285" t="s">
        <v>13</v>
      </c>
      <c r="D2285" s="1">
        <v>45838</v>
      </c>
      <c r="E2285">
        <v>0</v>
      </c>
      <c r="F2285" s="2">
        <v>0</v>
      </c>
      <c r="G2285" s="2">
        <v>0</v>
      </c>
    </row>
    <row r="2286" spans="1:7" x14ac:dyDescent="0.3">
      <c r="A2286" t="s">
        <v>261</v>
      </c>
      <c r="B2286" t="s">
        <v>262</v>
      </c>
      <c r="C2286" t="s">
        <v>13</v>
      </c>
      <c r="D2286" s="1">
        <v>45869</v>
      </c>
      <c r="E2286">
        <v>0</v>
      </c>
      <c r="F2286" s="2">
        <v>0</v>
      </c>
      <c r="G2286" s="2">
        <v>0</v>
      </c>
    </row>
    <row r="2287" spans="1:7" x14ac:dyDescent="0.3">
      <c r="A2287" t="s">
        <v>261</v>
      </c>
      <c r="B2287" t="s">
        <v>262</v>
      </c>
      <c r="C2287" t="s">
        <v>13</v>
      </c>
      <c r="D2287" s="1">
        <v>45900</v>
      </c>
      <c r="E2287">
        <v>0</v>
      </c>
      <c r="F2287" s="2">
        <v>0</v>
      </c>
      <c r="G2287" s="2">
        <v>0</v>
      </c>
    </row>
    <row r="2288" spans="1:7" x14ac:dyDescent="0.3">
      <c r="A2288" t="s">
        <v>261</v>
      </c>
      <c r="B2288" t="s">
        <v>262</v>
      </c>
      <c r="C2288" t="s">
        <v>13</v>
      </c>
      <c r="D2288" s="1">
        <v>45930</v>
      </c>
      <c r="E2288">
        <v>0</v>
      </c>
      <c r="F2288" s="2">
        <v>0</v>
      </c>
      <c r="G2288" s="2">
        <v>0</v>
      </c>
    </row>
    <row r="2289" spans="1:7" x14ac:dyDescent="0.3">
      <c r="A2289" t="s">
        <v>261</v>
      </c>
      <c r="B2289" t="s">
        <v>262</v>
      </c>
      <c r="C2289" t="s">
        <v>13</v>
      </c>
      <c r="D2289" s="1">
        <v>45961</v>
      </c>
      <c r="E2289">
        <v>0</v>
      </c>
      <c r="F2289" s="2">
        <v>0</v>
      </c>
      <c r="G2289" s="2">
        <v>0</v>
      </c>
    </row>
    <row r="2290" spans="1:7" x14ac:dyDescent="0.3">
      <c r="A2290" t="s">
        <v>261</v>
      </c>
      <c r="B2290" t="s">
        <v>262</v>
      </c>
      <c r="C2290" t="s">
        <v>13</v>
      </c>
      <c r="D2290" s="1">
        <v>45991</v>
      </c>
      <c r="E2290">
        <v>0</v>
      </c>
      <c r="F2290" s="2">
        <v>0</v>
      </c>
      <c r="G2290" s="2">
        <v>0</v>
      </c>
    </row>
    <row r="2291" spans="1:7" x14ac:dyDescent="0.3">
      <c r="A2291" t="s">
        <v>261</v>
      </c>
      <c r="B2291" t="s">
        <v>262</v>
      </c>
      <c r="C2291" t="s">
        <v>13</v>
      </c>
      <c r="D2291" s="1">
        <v>46022</v>
      </c>
      <c r="E2291">
        <v>0</v>
      </c>
      <c r="F2291" s="2">
        <v>0</v>
      </c>
      <c r="G2291" s="2">
        <v>0</v>
      </c>
    </row>
    <row r="2292" spans="1:7" x14ac:dyDescent="0.3">
      <c r="A2292" t="s">
        <v>161</v>
      </c>
      <c r="B2292" t="s">
        <v>162</v>
      </c>
      <c r="C2292" t="s">
        <v>13</v>
      </c>
      <c r="D2292" s="1">
        <v>45869</v>
      </c>
      <c r="E2292">
        <v>0</v>
      </c>
      <c r="F2292" s="2">
        <v>0</v>
      </c>
      <c r="G2292" s="2">
        <v>2395.6559999999995</v>
      </c>
    </row>
    <row r="2293" spans="1:7" x14ac:dyDescent="0.3">
      <c r="A2293" t="s">
        <v>161</v>
      </c>
      <c r="B2293" t="s">
        <v>162</v>
      </c>
      <c r="C2293" t="s">
        <v>13</v>
      </c>
      <c r="D2293" s="1">
        <v>45900</v>
      </c>
      <c r="E2293">
        <v>0</v>
      </c>
      <c r="F2293" s="2">
        <v>0</v>
      </c>
      <c r="G2293" s="2">
        <v>2395.6559999999995</v>
      </c>
    </row>
    <row r="2294" spans="1:7" x14ac:dyDescent="0.3">
      <c r="A2294" t="s">
        <v>161</v>
      </c>
      <c r="B2294" t="s">
        <v>162</v>
      </c>
      <c r="C2294" t="s">
        <v>13</v>
      </c>
      <c r="D2294" s="1">
        <v>45930</v>
      </c>
      <c r="E2294">
        <v>0</v>
      </c>
      <c r="F2294" s="2">
        <v>0</v>
      </c>
      <c r="G2294" s="2">
        <v>2395.6559999999995</v>
      </c>
    </row>
    <row r="2295" spans="1:7" x14ac:dyDescent="0.3">
      <c r="A2295" t="s">
        <v>161</v>
      </c>
      <c r="B2295" t="s">
        <v>162</v>
      </c>
      <c r="C2295" t="s">
        <v>13</v>
      </c>
      <c r="D2295" s="1">
        <v>45961</v>
      </c>
      <c r="E2295">
        <v>0</v>
      </c>
      <c r="F2295" s="2">
        <v>0</v>
      </c>
      <c r="G2295" s="2">
        <v>2395.6559999999995</v>
      </c>
    </row>
    <row r="2296" spans="1:7" x14ac:dyDescent="0.3">
      <c r="A2296" t="s">
        <v>161</v>
      </c>
      <c r="B2296" t="s">
        <v>162</v>
      </c>
      <c r="C2296" t="s">
        <v>13</v>
      </c>
      <c r="D2296" s="1">
        <v>45991</v>
      </c>
      <c r="E2296">
        <v>0</v>
      </c>
      <c r="F2296" s="2">
        <v>0</v>
      </c>
      <c r="G2296" s="2">
        <v>2395.6559999999995</v>
      </c>
    </row>
    <row r="2297" spans="1:7" x14ac:dyDescent="0.3">
      <c r="A2297" t="s">
        <v>161</v>
      </c>
      <c r="B2297" t="s">
        <v>162</v>
      </c>
      <c r="C2297" t="s">
        <v>13</v>
      </c>
      <c r="D2297" s="1">
        <v>46022</v>
      </c>
      <c r="E2297">
        <v>0</v>
      </c>
      <c r="F2297" s="2">
        <v>0</v>
      </c>
      <c r="G2297" s="2">
        <v>2395.6559999999995</v>
      </c>
    </row>
    <row r="2298" spans="1:7" x14ac:dyDescent="0.3">
      <c r="A2298" t="s">
        <v>303</v>
      </c>
      <c r="B2298" t="s">
        <v>304</v>
      </c>
      <c r="C2298" t="s">
        <v>13</v>
      </c>
      <c r="D2298" s="1">
        <v>45838</v>
      </c>
      <c r="E2298">
        <v>0</v>
      </c>
      <c r="F2298" s="2">
        <v>0</v>
      </c>
      <c r="G2298" s="2">
        <v>0</v>
      </c>
    </row>
    <row r="2299" spans="1:7" x14ac:dyDescent="0.3">
      <c r="A2299" t="s">
        <v>303</v>
      </c>
      <c r="B2299" t="s">
        <v>304</v>
      </c>
      <c r="C2299" t="s">
        <v>13</v>
      </c>
      <c r="D2299" s="1">
        <v>45869</v>
      </c>
      <c r="E2299">
        <v>0</v>
      </c>
      <c r="F2299" s="2">
        <v>0</v>
      </c>
      <c r="G2299" s="2">
        <v>0</v>
      </c>
    </row>
    <row r="2300" spans="1:7" x14ac:dyDescent="0.3">
      <c r="A2300" t="s">
        <v>303</v>
      </c>
      <c r="B2300" t="s">
        <v>304</v>
      </c>
      <c r="C2300" t="s">
        <v>13</v>
      </c>
      <c r="D2300" s="1">
        <v>45900</v>
      </c>
      <c r="E2300">
        <v>0</v>
      </c>
      <c r="F2300" s="2">
        <v>0</v>
      </c>
      <c r="G2300" s="2">
        <v>0</v>
      </c>
    </row>
    <row r="2301" spans="1:7" x14ac:dyDescent="0.3">
      <c r="A2301" t="s">
        <v>303</v>
      </c>
      <c r="B2301" t="s">
        <v>304</v>
      </c>
      <c r="C2301" t="s">
        <v>13</v>
      </c>
      <c r="D2301" s="1">
        <v>45930</v>
      </c>
      <c r="E2301">
        <v>0</v>
      </c>
      <c r="F2301" s="2">
        <v>0</v>
      </c>
      <c r="G2301" s="2">
        <v>0</v>
      </c>
    </row>
    <row r="2302" spans="1:7" x14ac:dyDescent="0.3">
      <c r="A2302" t="s">
        <v>303</v>
      </c>
      <c r="B2302" t="s">
        <v>304</v>
      </c>
      <c r="C2302" t="s">
        <v>13</v>
      </c>
      <c r="D2302" s="1">
        <v>45961</v>
      </c>
      <c r="E2302">
        <v>0</v>
      </c>
      <c r="F2302" s="2">
        <v>0</v>
      </c>
      <c r="G2302" s="2">
        <v>0</v>
      </c>
    </row>
    <row r="2303" spans="1:7" x14ac:dyDescent="0.3">
      <c r="A2303" t="s">
        <v>303</v>
      </c>
      <c r="B2303" t="s">
        <v>304</v>
      </c>
      <c r="C2303" t="s">
        <v>13</v>
      </c>
      <c r="D2303" s="1">
        <v>45991</v>
      </c>
      <c r="E2303">
        <v>0</v>
      </c>
      <c r="F2303" s="2">
        <v>0</v>
      </c>
      <c r="G2303" s="2">
        <v>0</v>
      </c>
    </row>
    <row r="2304" spans="1:7" x14ac:dyDescent="0.3">
      <c r="A2304" t="s">
        <v>303</v>
      </c>
      <c r="B2304" t="s">
        <v>304</v>
      </c>
      <c r="C2304" t="s">
        <v>13</v>
      </c>
      <c r="D2304" s="1">
        <v>46022</v>
      </c>
      <c r="E2304">
        <v>0</v>
      </c>
      <c r="F2304" s="2">
        <v>0</v>
      </c>
      <c r="G2304" s="2">
        <v>0</v>
      </c>
    </row>
    <row r="2305" spans="1:7" x14ac:dyDescent="0.3">
      <c r="A2305" t="s">
        <v>51</v>
      </c>
      <c r="B2305" t="s">
        <v>52</v>
      </c>
      <c r="C2305" t="s">
        <v>13</v>
      </c>
      <c r="D2305" s="1">
        <v>45869</v>
      </c>
      <c r="E2305">
        <v>0</v>
      </c>
      <c r="F2305" s="2">
        <v>0</v>
      </c>
      <c r="G2305" s="2">
        <v>8547.7839999999978</v>
      </c>
    </row>
    <row r="2306" spans="1:7" x14ac:dyDescent="0.3">
      <c r="A2306" t="s">
        <v>51</v>
      </c>
      <c r="B2306" t="s">
        <v>52</v>
      </c>
      <c r="C2306" t="s">
        <v>13</v>
      </c>
      <c r="D2306" s="1">
        <v>45900</v>
      </c>
      <c r="E2306">
        <v>0</v>
      </c>
      <c r="F2306" s="2">
        <v>0</v>
      </c>
      <c r="G2306" s="2">
        <v>8547.7839999999978</v>
      </c>
    </row>
    <row r="2307" spans="1:7" x14ac:dyDescent="0.3">
      <c r="A2307" t="s">
        <v>51</v>
      </c>
      <c r="B2307" t="s">
        <v>52</v>
      </c>
      <c r="C2307" t="s">
        <v>13</v>
      </c>
      <c r="D2307" s="1">
        <v>45930</v>
      </c>
      <c r="E2307">
        <v>0</v>
      </c>
      <c r="F2307" s="2">
        <v>0</v>
      </c>
      <c r="G2307" s="2">
        <v>8547.7839999999978</v>
      </c>
    </row>
    <row r="2308" spans="1:7" x14ac:dyDescent="0.3">
      <c r="A2308" t="s">
        <v>51</v>
      </c>
      <c r="B2308" t="s">
        <v>52</v>
      </c>
      <c r="C2308" t="s">
        <v>13</v>
      </c>
      <c r="D2308" s="1">
        <v>45961</v>
      </c>
      <c r="E2308">
        <v>0</v>
      </c>
      <c r="F2308" s="2">
        <v>0</v>
      </c>
      <c r="G2308" s="2">
        <v>8547.7839999999978</v>
      </c>
    </row>
    <row r="2309" spans="1:7" x14ac:dyDescent="0.3">
      <c r="A2309" t="s">
        <v>51</v>
      </c>
      <c r="B2309" t="s">
        <v>52</v>
      </c>
      <c r="C2309" t="s">
        <v>13</v>
      </c>
      <c r="D2309" s="1">
        <v>45991</v>
      </c>
      <c r="E2309">
        <v>0</v>
      </c>
      <c r="F2309" s="2">
        <v>0</v>
      </c>
      <c r="G2309" s="2">
        <v>8547.7839999999978</v>
      </c>
    </row>
    <row r="2310" spans="1:7" x14ac:dyDescent="0.3">
      <c r="A2310" t="s">
        <v>51</v>
      </c>
      <c r="B2310" t="s">
        <v>52</v>
      </c>
      <c r="C2310" t="s">
        <v>13</v>
      </c>
      <c r="D2310" s="1">
        <v>46022</v>
      </c>
      <c r="E2310">
        <v>0</v>
      </c>
      <c r="F2310" s="2">
        <v>0</v>
      </c>
      <c r="G2310" s="2">
        <v>8547.7839999999978</v>
      </c>
    </row>
    <row r="2311" spans="1:7" x14ac:dyDescent="0.3">
      <c r="A2311" t="s">
        <v>307</v>
      </c>
      <c r="B2311" t="s">
        <v>308</v>
      </c>
      <c r="C2311" t="s">
        <v>13</v>
      </c>
      <c r="D2311" s="1">
        <v>45869</v>
      </c>
      <c r="E2311">
        <v>0</v>
      </c>
      <c r="F2311" s="2">
        <v>0</v>
      </c>
      <c r="G2311" s="2">
        <v>1811.9759999999999</v>
      </c>
    </row>
    <row r="2312" spans="1:7" x14ac:dyDescent="0.3">
      <c r="A2312" t="s">
        <v>307</v>
      </c>
      <c r="B2312" t="s">
        <v>308</v>
      </c>
      <c r="C2312" t="s">
        <v>13</v>
      </c>
      <c r="D2312" s="1">
        <v>45900</v>
      </c>
      <c r="E2312">
        <v>0</v>
      </c>
      <c r="F2312" s="2">
        <v>0</v>
      </c>
      <c r="G2312" s="2">
        <v>1811.9759999999999</v>
      </c>
    </row>
    <row r="2313" spans="1:7" x14ac:dyDescent="0.3">
      <c r="A2313" t="s">
        <v>307</v>
      </c>
      <c r="B2313" t="s">
        <v>308</v>
      </c>
      <c r="C2313" t="s">
        <v>13</v>
      </c>
      <c r="D2313" s="1">
        <v>45930</v>
      </c>
      <c r="E2313">
        <v>0</v>
      </c>
      <c r="F2313" s="2">
        <v>0</v>
      </c>
      <c r="G2313" s="2">
        <v>1811.9759999999999</v>
      </c>
    </row>
    <row r="2314" spans="1:7" x14ac:dyDescent="0.3">
      <c r="A2314" t="s">
        <v>307</v>
      </c>
      <c r="B2314" t="s">
        <v>308</v>
      </c>
      <c r="C2314" t="s">
        <v>13</v>
      </c>
      <c r="D2314" s="1">
        <v>45961</v>
      </c>
      <c r="E2314">
        <v>0</v>
      </c>
      <c r="F2314" s="2">
        <v>0</v>
      </c>
      <c r="G2314" s="2">
        <v>1811.9759999999999</v>
      </c>
    </row>
    <row r="2315" spans="1:7" x14ac:dyDescent="0.3">
      <c r="A2315" t="s">
        <v>307</v>
      </c>
      <c r="B2315" t="s">
        <v>308</v>
      </c>
      <c r="C2315" t="s">
        <v>13</v>
      </c>
      <c r="D2315" s="1">
        <v>45991</v>
      </c>
      <c r="E2315">
        <v>0</v>
      </c>
      <c r="F2315" s="2">
        <v>0</v>
      </c>
      <c r="G2315" s="2">
        <v>1811.9759999999999</v>
      </c>
    </row>
    <row r="2316" spans="1:7" x14ac:dyDescent="0.3">
      <c r="A2316" t="s">
        <v>307</v>
      </c>
      <c r="B2316" t="s">
        <v>308</v>
      </c>
      <c r="C2316" t="s">
        <v>13</v>
      </c>
      <c r="D2316" s="1">
        <v>46022</v>
      </c>
      <c r="E2316">
        <v>0</v>
      </c>
      <c r="F2316" s="2">
        <v>0</v>
      </c>
      <c r="G2316" s="2">
        <v>1811.9759999999999</v>
      </c>
    </row>
    <row r="2317" spans="1:7" x14ac:dyDescent="0.3">
      <c r="A2317" t="s">
        <v>59</v>
      </c>
      <c r="B2317" t="s">
        <v>60</v>
      </c>
      <c r="C2317" t="s">
        <v>13</v>
      </c>
      <c r="D2317" s="1">
        <v>45869</v>
      </c>
      <c r="E2317">
        <v>0</v>
      </c>
      <c r="F2317" s="2">
        <v>0</v>
      </c>
      <c r="G2317" s="2">
        <v>0</v>
      </c>
    </row>
    <row r="2318" spans="1:7" x14ac:dyDescent="0.3">
      <c r="A2318" t="s">
        <v>59</v>
      </c>
      <c r="B2318" t="s">
        <v>60</v>
      </c>
      <c r="C2318" t="s">
        <v>13</v>
      </c>
      <c r="D2318" s="1">
        <v>45900</v>
      </c>
      <c r="E2318">
        <v>0</v>
      </c>
      <c r="F2318" s="2">
        <v>0</v>
      </c>
      <c r="G2318" s="2">
        <v>0</v>
      </c>
    </row>
    <row r="2319" spans="1:7" x14ac:dyDescent="0.3">
      <c r="A2319" t="s">
        <v>59</v>
      </c>
      <c r="B2319" t="s">
        <v>60</v>
      </c>
      <c r="C2319" t="s">
        <v>13</v>
      </c>
      <c r="D2319" s="1">
        <v>45930</v>
      </c>
      <c r="E2319">
        <v>0</v>
      </c>
      <c r="F2319" s="2">
        <v>0</v>
      </c>
      <c r="G2319" s="2">
        <v>0</v>
      </c>
    </row>
    <row r="2320" spans="1:7" x14ac:dyDescent="0.3">
      <c r="A2320" t="s">
        <v>59</v>
      </c>
      <c r="B2320" t="s">
        <v>60</v>
      </c>
      <c r="C2320" t="s">
        <v>13</v>
      </c>
      <c r="D2320" s="1">
        <v>45961</v>
      </c>
      <c r="E2320">
        <v>0</v>
      </c>
      <c r="F2320" s="2">
        <v>0</v>
      </c>
      <c r="G2320" s="2">
        <v>0</v>
      </c>
    </row>
    <row r="2321" spans="1:7" x14ac:dyDescent="0.3">
      <c r="A2321" t="s">
        <v>59</v>
      </c>
      <c r="B2321" t="s">
        <v>60</v>
      </c>
      <c r="C2321" t="s">
        <v>13</v>
      </c>
      <c r="D2321" s="1">
        <v>45991</v>
      </c>
      <c r="E2321">
        <v>0</v>
      </c>
      <c r="F2321" s="2">
        <v>0</v>
      </c>
      <c r="G2321" s="2">
        <v>0</v>
      </c>
    </row>
    <row r="2322" spans="1:7" x14ac:dyDescent="0.3">
      <c r="A2322" t="s">
        <v>59</v>
      </c>
      <c r="B2322" t="s">
        <v>60</v>
      </c>
      <c r="C2322" t="s">
        <v>13</v>
      </c>
      <c r="D2322" s="1">
        <v>46022</v>
      </c>
      <c r="E2322">
        <v>0</v>
      </c>
      <c r="F2322" s="2">
        <v>0</v>
      </c>
      <c r="G2322" s="2">
        <v>0</v>
      </c>
    </row>
    <row r="2323" spans="1:7" x14ac:dyDescent="0.3">
      <c r="A2323" t="s">
        <v>323</v>
      </c>
      <c r="B2323" t="s">
        <v>324</v>
      </c>
      <c r="C2323" t="s">
        <v>13</v>
      </c>
      <c r="D2323" s="1">
        <v>45808</v>
      </c>
      <c r="E2323">
        <v>0</v>
      </c>
      <c r="F2323" s="2">
        <v>0</v>
      </c>
      <c r="G2323" s="2">
        <v>0</v>
      </c>
    </row>
    <row r="2324" spans="1:7" x14ac:dyDescent="0.3">
      <c r="A2324" t="s">
        <v>323</v>
      </c>
      <c r="B2324" t="s">
        <v>324</v>
      </c>
      <c r="C2324" t="s">
        <v>13</v>
      </c>
      <c r="D2324" s="1">
        <v>45838</v>
      </c>
      <c r="E2324">
        <v>0</v>
      </c>
      <c r="F2324" s="2">
        <v>0</v>
      </c>
      <c r="G2324" s="2">
        <v>0</v>
      </c>
    </row>
    <row r="2325" spans="1:7" x14ac:dyDescent="0.3">
      <c r="A2325" t="s">
        <v>323</v>
      </c>
      <c r="B2325" t="s">
        <v>324</v>
      </c>
      <c r="C2325" t="s">
        <v>13</v>
      </c>
      <c r="D2325" s="1">
        <v>45869</v>
      </c>
      <c r="E2325">
        <v>0</v>
      </c>
      <c r="F2325" s="2">
        <v>0</v>
      </c>
      <c r="G2325" s="2">
        <v>0</v>
      </c>
    </row>
    <row r="2326" spans="1:7" x14ac:dyDescent="0.3">
      <c r="A2326" t="s">
        <v>323</v>
      </c>
      <c r="B2326" t="s">
        <v>324</v>
      </c>
      <c r="C2326" t="s">
        <v>13</v>
      </c>
      <c r="D2326" s="1">
        <v>45900</v>
      </c>
      <c r="E2326">
        <v>0</v>
      </c>
      <c r="F2326" s="2">
        <v>0</v>
      </c>
      <c r="G2326" s="2">
        <v>0</v>
      </c>
    </row>
    <row r="2327" spans="1:7" x14ac:dyDescent="0.3">
      <c r="A2327" t="s">
        <v>323</v>
      </c>
      <c r="B2327" t="s">
        <v>324</v>
      </c>
      <c r="C2327" t="s">
        <v>13</v>
      </c>
      <c r="D2327" s="1">
        <v>45930</v>
      </c>
      <c r="E2327">
        <v>0</v>
      </c>
      <c r="F2327" s="2">
        <v>0</v>
      </c>
      <c r="G2327" s="2">
        <v>0</v>
      </c>
    </row>
    <row r="2328" spans="1:7" x14ac:dyDescent="0.3">
      <c r="A2328" t="s">
        <v>323</v>
      </c>
      <c r="B2328" t="s">
        <v>324</v>
      </c>
      <c r="C2328" t="s">
        <v>13</v>
      </c>
      <c r="D2328" s="1">
        <v>45961</v>
      </c>
      <c r="E2328">
        <v>0</v>
      </c>
      <c r="F2328" s="2">
        <v>0</v>
      </c>
      <c r="G2328" s="2">
        <v>0</v>
      </c>
    </row>
    <row r="2329" spans="1:7" x14ac:dyDescent="0.3">
      <c r="A2329" t="s">
        <v>323</v>
      </c>
      <c r="B2329" t="s">
        <v>324</v>
      </c>
      <c r="C2329" t="s">
        <v>13</v>
      </c>
      <c r="D2329" s="1">
        <v>45991</v>
      </c>
      <c r="E2329">
        <v>0</v>
      </c>
      <c r="F2329" s="2">
        <v>0</v>
      </c>
      <c r="G2329" s="2">
        <v>0</v>
      </c>
    </row>
    <row r="2330" spans="1:7" x14ac:dyDescent="0.3">
      <c r="A2330" t="s">
        <v>323</v>
      </c>
      <c r="B2330" t="s">
        <v>324</v>
      </c>
      <c r="C2330" t="s">
        <v>13</v>
      </c>
      <c r="D2330" s="1">
        <v>46022</v>
      </c>
      <c r="E2330">
        <v>0</v>
      </c>
      <c r="F2330" s="2">
        <v>0</v>
      </c>
      <c r="G2330" s="2">
        <v>0</v>
      </c>
    </row>
    <row r="2331" spans="1:7" x14ac:dyDescent="0.3">
      <c r="A2331" t="s">
        <v>368</v>
      </c>
      <c r="B2331" t="s">
        <v>369</v>
      </c>
      <c r="C2331" t="s">
        <v>13</v>
      </c>
      <c r="D2331" s="1">
        <v>45688</v>
      </c>
      <c r="E2331">
        <v>0</v>
      </c>
      <c r="F2331" s="2">
        <v>0</v>
      </c>
      <c r="G2331" s="2">
        <v>0</v>
      </c>
    </row>
    <row r="2332" spans="1:7" x14ac:dyDescent="0.3">
      <c r="A2332" t="s">
        <v>368</v>
      </c>
      <c r="B2332" t="s">
        <v>369</v>
      </c>
      <c r="C2332" t="s">
        <v>13</v>
      </c>
      <c r="D2332" s="1">
        <v>45869</v>
      </c>
      <c r="E2332">
        <v>0</v>
      </c>
      <c r="F2332" s="2">
        <v>0</v>
      </c>
      <c r="G2332" s="2">
        <v>1605.145</v>
      </c>
    </row>
    <row r="2333" spans="1:7" x14ac:dyDescent="0.3">
      <c r="A2333" t="s">
        <v>368</v>
      </c>
      <c r="B2333" t="s">
        <v>369</v>
      </c>
      <c r="C2333" t="s">
        <v>13</v>
      </c>
      <c r="D2333" s="1">
        <v>45900</v>
      </c>
      <c r="E2333">
        <v>0</v>
      </c>
      <c r="F2333" s="2">
        <v>0</v>
      </c>
      <c r="G2333" s="2">
        <v>1605.145</v>
      </c>
    </row>
    <row r="2334" spans="1:7" x14ac:dyDescent="0.3">
      <c r="A2334" t="s">
        <v>368</v>
      </c>
      <c r="B2334" t="s">
        <v>369</v>
      </c>
      <c r="C2334" t="s">
        <v>13</v>
      </c>
      <c r="D2334" s="1">
        <v>45930</v>
      </c>
      <c r="E2334">
        <v>0</v>
      </c>
      <c r="F2334" s="2">
        <v>0</v>
      </c>
      <c r="G2334" s="2">
        <v>1605.145</v>
      </c>
    </row>
    <row r="2335" spans="1:7" x14ac:dyDescent="0.3">
      <c r="A2335" t="s">
        <v>368</v>
      </c>
      <c r="B2335" t="s">
        <v>369</v>
      </c>
      <c r="C2335" t="s">
        <v>13</v>
      </c>
      <c r="D2335" s="1">
        <v>45961</v>
      </c>
      <c r="E2335">
        <v>0</v>
      </c>
      <c r="F2335" s="2">
        <v>0</v>
      </c>
      <c r="G2335" s="2">
        <v>1605.145</v>
      </c>
    </row>
    <row r="2336" spans="1:7" x14ac:dyDescent="0.3">
      <c r="A2336" t="s">
        <v>368</v>
      </c>
      <c r="B2336" t="s">
        <v>369</v>
      </c>
      <c r="C2336" t="s">
        <v>13</v>
      </c>
      <c r="D2336" s="1">
        <v>45991</v>
      </c>
      <c r="E2336">
        <v>0</v>
      </c>
      <c r="F2336" s="2">
        <v>0</v>
      </c>
      <c r="G2336" s="2">
        <v>1605.145</v>
      </c>
    </row>
    <row r="2337" spans="1:7" x14ac:dyDescent="0.3">
      <c r="A2337" t="s">
        <v>368</v>
      </c>
      <c r="B2337" t="s">
        <v>369</v>
      </c>
      <c r="C2337" t="s">
        <v>13</v>
      </c>
      <c r="D2337" s="1">
        <v>46022</v>
      </c>
      <c r="E2337">
        <v>0</v>
      </c>
      <c r="F2337" s="2">
        <v>0</v>
      </c>
      <c r="G2337" s="2">
        <v>1605.145</v>
      </c>
    </row>
    <row r="2338" spans="1:7" x14ac:dyDescent="0.3">
      <c r="A2338" t="s">
        <v>241</v>
      </c>
      <c r="B2338" t="s">
        <v>242</v>
      </c>
      <c r="C2338" t="s">
        <v>13</v>
      </c>
      <c r="D2338" s="1">
        <v>45869</v>
      </c>
      <c r="E2338">
        <v>0</v>
      </c>
      <c r="F2338" s="2">
        <v>0</v>
      </c>
      <c r="G2338" s="2">
        <v>5849.6099999999988</v>
      </c>
    </row>
    <row r="2339" spans="1:7" x14ac:dyDescent="0.3">
      <c r="A2339" t="s">
        <v>241</v>
      </c>
      <c r="B2339" t="s">
        <v>242</v>
      </c>
      <c r="C2339" t="s">
        <v>13</v>
      </c>
      <c r="D2339" s="1">
        <v>45900</v>
      </c>
      <c r="E2339">
        <v>0</v>
      </c>
      <c r="F2339" s="2">
        <v>0</v>
      </c>
      <c r="G2339" s="2">
        <v>5849.6099999999988</v>
      </c>
    </row>
    <row r="2340" spans="1:7" x14ac:dyDescent="0.3">
      <c r="A2340" t="s">
        <v>241</v>
      </c>
      <c r="B2340" t="s">
        <v>242</v>
      </c>
      <c r="C2340" t="s">
        <v>13</v>
      </c>
      <c r="D2340" s="1">
        <v>45930</v>
      </c>
      <c r="E2340">
        <v>0</v>
      </c>
      <c r="F2340" s="2">
        <v>0</v>
      </c>
      <c r="G2340" s="2">
        <v>5849.6099999999988</v>
      </c>
    </row>
    <row r="2341" spans="1:7" x14ac:dyDescent="0.3">
      <c r="A2341" t="s">
        <v>241</v>
      </c>
      <c r="B2341" t="s">
        <v>242</v>
      </c>
      <c r="C2341" t="s">
        <v>13</v>
      </c>
      <c r="D2341" s="1">
        <v>45961</v>
      </c>
      <c r="E2341">
        <v>0</v>
      </c>
      <c r="F2341" s="2">
        <v>0</v>
      </c>
      <c r="G2341" s="2">
        <v>5849.6099999999988</v>
      </c>
    </row>
    <row r="2342" spans="1:7" x14ac:dyDescent="0.3">
      <c r="A2342" t="s">
        <v>241</v>
      </c>
      <c r="B2342" t="s">
        <v>242</v>
      </c>
      <c r="C2342" t="s">
        <v>13</v>
      </c>
      <c r="D2342" s="1">
        <v>45991</v>
      </c>
      <c r="E2342">
        <v>0</v>
      </c>
      <c r="F2342" s="2">
        <v>0</v>
      </c>
      <c r="G2342" s="2">
        <v>5849.6099999999988</v>
      </c>
    </row>
    <row r="2343" spans="1:7" x14ac:dyDescent="0.3">
      <c r="A2343" t="s">
        <v>241</v>
      </c>
      <c r="B2343" t="s">
        <v>242</v>
      </c>
      <c r="C2343" t="s">
        <v>13</v>
      </c>
      <c r="D2343" s="1">
        <v>46022</v>
      </c>
      <c r="E2343">
        <v>0</v>
      </c>
      <c r="F2343" s="2">
        <v>0</v>
      </c>
      <c r="G2343" s="2">
        <v>5849.6099999999988</v>
      </c>
    </row>
    <row r="2344" spans="1:7" x14ac:dyDescent="0.3">
      <c r="A2344" t="s">
        <v>89</v>
      </c>
      <c r="B2344" t="s">
        <v>90</v>
      </c>
      <c r="C2344" t="s">
        <v>13</v>
      </c>
      <c r="D2344" s="1">
        <v>45869</v>
      </c>
      <c r="E2344">
        <v>0</v>
      </c>
      <c r="F2344" s="2">
        <v>0</v>
      </c>
      <c r="G2344" s="2">
        <v>6262.2199999999993</v>
      </c>
    </row>
    <row r="2345" spans="1:7" x14ac:dyDescent="0.3">
      <c r="A2345" t="s">
        <v>89</v>
      </c>
      <c r="B2345" t="s">
        <v>90</v>
      </c>
      <c r="C2345" t="s">
        <v>13</v>
      </c>
      <c r="D2345" s="1">
        <v>45900</v>
      </c>
      <c r="E2345">
        <v>0</v>
      </c>
      <c r="F2345" s="2">
        <v>0</v>
      </c>
      <c r="G2345" s="2">
        <v>6262.2199999999993</v>
      </c>
    </row>
    <row r="2346" spans="1:7" x14ac:dyDescent="0.3">
      <c r="A2346" t="s">
        <v>89</v>
      </c>
      <c r="B2346" t="s">
        <v>90</v>
      </c>
      <c r="C2346" t="s">
        <v>13</v>
      </c>
      <c r="D2346" s="1">
        <v>45930</v>
      </c>
      <c r="E2346">
        <v>0</v>
      </c>
      <c r="F2346" s="2">
        <v>0</v>
      </c>
      <c r="G2346" s="2">
        <v>6262.2199999999993</v>
      </c>
    </row>
    <row r="2347" spans="1:7" x14ac:dyDescent="0.3">
      <c r="A2347" t="s">
        <v>89</v>
      </c>
      <c r="B2347" t="s">
        <v>90</v>
      </c>
      <c r="C2347" t="s">
        <v>13</v>
      </c>
      <c r="D2347" s="1">
        <v>45961</v>
      </c>
      <c r="E2347">
        <v>0</v>
      </c>
      <c r="F2347" s="2">
        <v>0</v>
      </c>
      <c r="G2347" s="2">
        <v>6262.2199999999993</v>
      </c>
    </row>
    <row r="2348" spans="1:7" x14ac:dyDescent="0.3">
      <c r="A2348" t="s">
        <v>89</v>
      </c>
      <c r="B2348" t="s">
        <v>90</v>
      </c>
      <c r="C2348" t="s">
        <v>13</v>
      </c>
      <c r="D2348" s="1">
        <v>45991</v>
      </c>
      <c r="E2348">
        <v>0</v>
      </c>
      <c r="F2348" s="2">
        <v>0</v>
      </c>
      <c r="G2348" s="2">
        <v>6262.2199999999993</v>
      </c>
    </row>
    <row r="2349" spans="1:7" x14ac:dyDescent="0.3">
      <c r="A2349" t="s">
        <v>89</v>
      </c>
      <c r="B2349" t="s">
        <v>90</v>
      </c>
      <c r="C2349" t="s">
        <v>13</v>
      </c>
      <c r="D2349" s="1">
        <v>46022</v>
      </c>
      <c r="E2349">
        <v>0</v>
      </c>
      <c r="F2349" s="2">
        <v>0</v>
      </c>
      <c r="G2349" s="2">
        <v>6262.2199999999993</v>
      </c>
    </row>
    <row r="2350" spans="1:7" x14ac:dyDescent="0.3">
      <c r="A2350" t="s">
        <v>375</v>
      </c>
      <c r="B2350" t="s">
        <v>376</v>
      </c>
      <c r="C2350" t="s">
        <v>13</v>
      </c>
      <c r="D2350" s="1">
        <v>45688</v>
      </c>
      <c r="E2350">
        <v>0</v>
      </c>
      <c r="F2350" s="2">
        <v>0</v>
      </c>
      <c r="G2350" s="2">
        <v>0</v>
      </c>
    </row>
    <row r="2351" spans="1:7" x14ac:dyDescent="0.3">
      <c r="A2351" t="s">
        <v>375</v>
      </c>
      <c r="B2351" t="s">
        <v>376</v>
      </c>
      <c r="C2351" t="s">
        <v>13</v>
      </c>
      <c r="D2351" s="1">
        <v>45777</v>
      </c>
      <c r="E2351">
        <v>0</v>
      </c>
      <c r="F2351" s="2">
        <v>0</v>
      </c>
      <c r="G2351" s="2">
        <v>0</v>
      </c>
    </row>
    <row r="2352" spans="1:7" x14ac:dyDescent="0.3">
      <c r="A2352" t="s">
        <v>375</v>
      </c>
      <c r="B2352" t="s">
        <v>376</v>
      </c>
      <c r="C2352" t="s">
        <v>13</v>
      </c>
      <c r="D2352" s="1">
        <v>45808</v>
      </c>
      <c r="E2352">
        <v>0</v>
      </c>
      <c r="F2352" s="2">
        <v>0</v>
      </c>
      <c r="G2352" s="2">
        <v>0</v>
      </c>
    </row>
    <row r="2353" spans="1:7" x14ac:dyDescent="0.3">
      <c r="A2353" t="s">
        <v>375</v>
      </c>
      <c r="B2353" t="s">
        <v>376</v>
      </c>
      <c r="C2353" t="s">
        <v>13</v>
      </c>
      <c r="D2353" s="1">
        <v>45838</v>
      </c>
      <c r="E2353">
        <v>0</v>
      </c>
      <c r="F2353" s="2">
        <v>0</v>
      </c>
      <c r="G2353" s="2">
        <v>0</v>
      </c>
    </row>
    <row r="2354" spans="1:7" x14ac:dyDescent="0.3">
      <c r="A2354" t="s">
        <v>375</v>
      </c>
      <c r="B2354" t="s">
        <v>376</v>
      </c>
      <c r="C2354" t="s">
        <v>13</v>
      </c>
      <c r="D2354" s="1">
        <v>45869</v>
      </c>
      <c r="E2354">
        <v>0</v>
      </c>
      <c r="F2354" s="2">
        <v>0</v>
      </c>
      <c r="G2354" s="2">
        <v>0</v>
      </c>
    </row>
    <row r="2355" spans="1:7" x14ac:dyDescent="0.3">
      <c r="A2355" t="s">
        <v>375</v>
      </c>
      <c r="B2355" t="s">
        <v>376</v>
      </c>
      <c r="C2355" t="s">
        <v>13</v>
      </c>
      <c r="D2355" s="1">
        <v>45900</v>
      </c>
      <c r="E2355">
        <v>0</v>
      </c>
      <c r="F2355" s="2">
        <v>0</v>
      </c>
      <c r="G2355" s="2">
        <v>0</v>
      </c>
    </row>
    <row r="2356" spans="1:7" x14ac:dyDescent="0.3">
      <c r="A2356" t="s">
        <v>375</v>
      </c>
      <c r="B2356" t="s">
        <v>376</v>
      </c>
      <c r="C2356" t="s">
        <v>13</v>
      </c>
      <c r="D2356" s="1">
        <v>45930</v>
      </c>
      <c r="E2356">
        <v>0</v>
      </c>
      <c r="F2356" s="2">
        <v>0</v>
      </c>
      <c r="G2356" s="2">
        <v>0</v>
      </c>
    </row>
    <row r="2357" spans="1:7" x14ac:dyDescent="0.3">
      <c r="A2357" t="s">
        <v>375</v>
      </c>
      <c r="B2357" t="s">
        <v>376</v>
      </c>
      <c r="C2357" t="s">
        <v>13</v>
      </c>
      <c r="D2357" s="1">
        <v>45961</v>
      </c>
      <c r="E2357">
        <v>0</v>
      </c>
      <c r="F2357" s="2">
        <v>0</v>
      </c>
      <c r="G2357" s="2">
        <v>0</v>
      </c>
    </row>
    <row r="2358" spans="1:7" x14ac:dyDescent="0.3">
      <c r="A2358" t="s">
        <v>375</v>
      </c>
      <c r="B2358" t="s">
        <v>376</v>
      </c>
      <c r="C2358" t="s">
        <v>13</v>
      </c>
      <c r="D2358" s="1">
        <v>45991</v>
      </c>
      <c r="E2358">
        <v>0</v>
      </c>
      <c r="F2358" s="2">
        <v>0</v>
      </c>
      <c r="G2358" s="2">
        <v>0</v>
      </c>
    </row>
    <row r="2359" spans="1:7" x14ac:dyDescent="0.3">
      <c r="A2359" t="s">
        <v>375</v>
      </c>
      <c r="B2359" t="s">
        <v>376</v>
      </c>
      <c r="C2359" t="s">
        <v>13</v>
      </c>
      <c r="D2359" s="1">
        <v>46022</v>
      </c>
      <c r="E2359">
        <v>0</v>
      </c>
      <c r="F2359" s="2">
        <v>0</v>
      </c>
      <c r="G2359" s="2">
        <v>0</v>
      </c>
    </row>
    <row r="2360" spans="1:7" x14ac:dyDescent="0.3">
      <c r="A2360" t="s">
        <v>101</v>
      </c>
      <c r="B2360" t="s">
        <v>102</v>
      </c>
      <c r="C2360" t="s">
        <v>13</v>
      </c>
      <c r="D2360" s="1">
        <v>45869</v>
      </c>
      <c r="E2360">
        <v>0</v>
      </c>
      <c r="F2360" s="2">
        <v>0</v>
      </c>
      <c r="G2360" s="2">
        <v>1380.49</v>
      </c>
    </row>
    <row r="2361" spans="1:7" x14ac:dyDescent="0.3">
      <c r="A2361" t="s">
        <v>101</v>
      </c>
      <c r="B2361" t="s">
        <v>102</v>
      </c>
      <c r="C2361" t="s">
        <v>13</v>
      </c>
      <c r="D2361" s="1">
        <v>45900</v>
      </c>
      <c r="E2361">
        <v>0</v>
      </c>
      <c r="F2361" s="2">
        <v>0</v>
      </c>
      <c r="G2361" s="2">
        <v>1380.49</v>
      </c>
    </row>
    <row r="2362" spans="1:7" x14ac:dyDescent="0.3">
      <c r="A2362" t="s">
        <v>101</v>
      </c>
      <c r="B2362" t="s">
        <v>102</v>
      </c>
      <c r="C2362" t="s">
        <v>13</v>
      </c>
      <c r="D2362" s="1">
        <v>45930</v>
      </c>
      <c r="E2362">
        <v>0</v>
      </c>
      <c r="F2362" s="2">
        <v>0</v>
      </c>
      <c r="G2362" s="2">
        <v>1380.49</v>
      </c>
    </row>
    <row r="2363" spans="1:7" x14ac:dyDescent="0.3">
      <c r="A2363" t="s">
        <v>101</v>
      </c>
      <c r="B2363" t="s">
        <v>102</v>
      </c>
      <c r="C2363" t="s">
        <v>13</v>
      </c>
      <c r="D2363" s="1">
        <v>45961</v>
      </c>
      <c r="E2363">
        <v>0</v>
      </c>
      <c r="F2363" s="2">
        <v>0</v>
      </c>
      <c r="G2363" s="2">
        <v>1380.49</v>
      </c>
    </row>
    <row r="2364" spans="1:7" x14ac:dyDescent="0.3">
      <c r="A2364" t="s">
        <v>101</v>
      </c>
      <c r="B2364" t="s">
        <v>102</v>
      </c>
      <c r="C2364" t="s">
        <v>13</v>
      </c>
      <c r="D2364" s="1">
        <v>45991</v>
      </c>
      <c r="E2364">
        <v>0</v>
      </c>
      <c r="F2364" s="2">
        <v>0</v>
      </c>
      <c r="G2364" s="2">
        <v>1380.49</v>
      </c>
    </row>
    <row r="2365" spans="1:7" x14ac:dyDescent="0.3">
      <c r="A2365" t="s">
        <v>101</v>
      </c>
      <c r="B2365" t="s">
        <v>102</v>
      </c>
      <c r="C2365" t="s">
        <v>13</v>
      </c>
      <c r="D2365" s="1">
        <v>46022</v>
      </c>
      <c r="E2365">
        <v>0</v>
      </c>
      <c r="F2365" s="2">
        <v>0</v>
      </c>
      <c r="G2365" s="2">
        <v>1380.49</v>
      </c>
    </row>
    <row r="2366" spans="1:7" x14ac:dyDescent="0.3">
      <c r="A2366" t="s">
        <v>313</v>
      </c>
      <c r="B2366" t="s">
        <v>314</v>
      </c>
      <c r="C2366" t="s">
        <v>13</v>
      </c>
      <c r="D2366" s="1">
        <v>45869</v>
      </c>
      <c r="E2366">
        <v>0</v>
      </c>
      <c r="F2366" s="2">
        <v>0</v>
      </c>
      <c r="G2366" s="2">
        <v>2037.1540000000005</v>
      </c>
    </row>
    <row r="2367" spans="1:7" x14ac:dyDescent="0.3">
      <c r="A2367" t="s">
        <v>313</v>
      </c>
      <c r="B2367" t="s">
        <v>314</v>
      </c>
      <c r="C2367" t="s">
        <v>13</v>
      </c>
      <c r="D2367" s="1">
        <v>45900</v>
      </c>
      <c r="E2367">
        <v>0</v>
      </c>
      <c r="F2367" s="2">
        <v>0</v>
      </c>
      <c r="G2367" s="2">
        <v>2037.1540000000005</v>
      </c>
    </row>
    <row r="2368" spans="1:7" x14ac:dyDescent="0.3">
      <c r="A2368" t="s">
        <v>313</v>
      </c>
      <c r="B2368" t="s">
        <v>314</v>
      </c>
      <c r="C2368" t="s">
        <v>13</v>
      </c>
      <c r="D2368" s="1">
        <v>45930</v>
      </c>
      <c r="E2368">
        <v>0</v>
      </c>
      <c r="F2368" s="2">
        <v>0</v>
      </c>
      <c r="G2368" s="2">
        <v>2037.1540000000005</v>
      </c>
    </row>
    <row r="2369" spans="1:7" x14ac:dyDescent="0.3">
      <c r="A2369" t="s">
        <v>313</v>
      </c>
      <c r="B2369" t="s">
        <v>314</v>
      </c>
      <c r="C2369" t="s">
        <v>13</v>
      </c>
      <c r="D2369" s="1">
        <v>45961</v>
      </c>
      <c r="E2369">
        <v>0</v>
      </c>
      <c r="F2369" s="2">
        <v>0</v>
      </c>
      <c r="G2369" s="2">
        <v>2037.1540000000005</v>
      </c>
    </row>
    <row r="2370" spans="1:7" x14ac:dyDescent="0.3">
      <c r="A2370" t="s">
        <v>313</v>
      </c>
      <c r="B2370" t="s">
        <v>314</v>
      </c>
      <c r="C2370" t="s">
        <v>13</v>
      </c>
      <c r="D2370" s="1">
        <v>45991</v>
      </c>
      <c r="E2370">
        <v>0</v>
      </c>
      <c r="F2370" s="2">
        <v>0</v>
      </c>
      <c r="G2370" s="2">
        <v>2037.1540000000005</v>
      </c>
    </row>
    <row r="2371" spans="1:7" x14ac:dyDescent="0.3">
      <c r="A2371" t="s">
        <v>313</v>
      </c>
      <c r="B2371" t="s">
        <v>314</v>
      </c>
      <c r="C2371" t="s">
        <v>13</v>
      </c>
      <c r="D2371" s="1">
        <v>46022</v>
      </c>
      <c r="E2371">
        <v>0</v>
      </c>
      <c r="F2371" s="2">
        <v>0</v>
      </c>
      <c r="G2371" s="2">
        <v>2037.1540000000005</v>
      </c>
    </row>
    <row r="2372" spans="1:7" x14ac:dyDescent="0.3">
      <c r="A2372" t="s">
        <v>325</v>
      </c>
      <c r="B2372" t="s">
        <v>326</v>
      </c>
      <c r="C2372" t="s">
        <v>13</v>
      </c>
      <c r="D2372" s="1">
        <v>45869</v>
      </c>
      <c r="E2372">
        <v>0</v>
      </c>
      <c r="F2372" s="2">
        <v>0</v>
      </c>
      <c r="G2372" s="2">
        <v>1153.7059999999999</v>
      </c>
    </row>
    <row r="2373" spans="1:7" x14ac:dyDescent="0.3">
      <c r="A2373" t="s">
        <v>325</v>
      </c>
      <c r="B2373" t="s">
        <v>326</v>
      </c>
      <c r="C2373" t="s">
        <v>13</v>
      </c>
      <c r="D2373" s="1">
        <v>45900</v>
      </c>
      <c r="E2373">
        <v>0</v>
      </c>
      <c r="F2373" s="2">
        <v>0</v>
      </c>
      <c r="G2373" s="2">
        <v>1153.7059999999999</v>
      </c>
    </row>
    <row r="2374" spans="1:7" x14ac:dyDescent="0.3">
      <c r="A2374" t="s">
        <v>325</v>
      </c>
      <c r="B2374" t="s">
        <v>326</v>
      </c>
      <c r="C2374" t="s">
        <v>13</v>
      </c>
      <c r="D2374" s="1">
        <v>45930</v>
      </c>
      <c r="E2374">
        <v>0</v>
      </c>
      <c r="F2374" s="2">
        <v>0</v>
      </c>
      <c r="G2374" s="2">
        <v>1153.7059999999999</v>
      </c>
    </row>
    <row r="2375" spans="1:7" x14ac:dyDescent="0.3">
      <c r="A2375" t="s">
        <v>325</v>
      </c>
      <c r="B2375" t="s">
        <v>326</v>
      </c>
      <c r="C2375" t="s">
        <v>13</v>
      </c>
      <c r="D2375" s="1">
        <v>45961</v>
      </c>
      <c r="E2375">
        <v>0</v>
      </c>
      <c r="F2375" s="2">
        <v>0</v>
      </c>
      <c r="G2375" s="2">
        <v>1153.7059999999999</v>
      </c>
    </row>
    <row r="2376" spans="1:7" x14ac:dyDescent="0.3">
      <c r="A2376" t="s">
        <v>325</v>
      </c>
      <c r="B2376" t="s">
        <v>326</v>
      </c>
      <c r="C2376" t="s">
        <v>13</v>
      </c>
      <c r="D2376" s="1">
        <v>45991</v>
      </c>
      <c r="E2376">
        <v>0</v>
      </c>
      <c r="F2376" s="2">
        <v>0</v>
      </c>
      <c r="G2376" s="2">
        <v>1153.7059999999999</v>
      </c>
    </row>
    <row r="2377" spans="1:7" x14ac:dyDescent="0.3">
      <c r="A2377" t="s">
        <v>325</v>
      </c>
      <c r="B2377" t="s">
        <v>326</v>
      </c>
      <c r="C2377" t="s">
        <v>13</v>
      </c>
      <c r="D2377" s="1">
        <v>46022</v>
      </c>
      <c r="E2377">
        <v>0</v>
      </c>
      <c r="F2377" s="2">
        <v>0</v>
      </c>
      <c r="G2377" s="2">
        <v>1153.7059999999999</v>
      </c>
    </row>
    <row r="2378" spans="1:7" x14ac:dyDescent="0.3">
      <c r="B2378" t="s">
        <v>431</v>
      </c>
      <c r="C2378" t="s">
        <v>13</v>
      </c>
      <c r="D2378" s="1">
        <v>45930</v>
      </c>
      <c r="E2378">
        <v>0</v>
      </c>
      <c r="F2378" s="2">
        <v>0</v>
      </c>
      <c r="G2378" s="2">
        <v>2166.6666666666665</v>
      </c>
    </row>
    <row r="2379" spans="1:7" x14ac:dyDescent="0.3">
      <c r="B2379" t="s">
        <v>431</v>
      </c>
      <c r="C2379" t="s">
        <v>13</v>
      </c>
      <c r="D2379" s="1">
        <v>45961</v>
      </c>
      <c r="E2379">
        <v>0</v>
      </c>
      <c r="F2379" s="2">
        <v>0</v>
      </c>
      <c r="G2379" s="2">
        <v>4333.333333333333</v>
      </c>
    </row>
    <row r="2380" spans="1:7" x14ac:dyDescent="0.3">
      <c r="B2380" t="s">
        <v>431</v>
      </c>
      <c r="C2380" t="s">
        <v>13</v>
      </c>
      <c r="D2380" s="1">
        <v>45991</v>
      </c>
      <c r="E2380">
        <v>0</v>
      </c>
      <c r="F2380" s="2">
        <v>0</v>
      </c>
      <c r="G2380" s="2">
        <v>4333.333333333333</v>
      </c>
    </row>
    <row r="2381" spans="1:7" x14ac:dyDescent="0.3">
      <c r="B2381" t="s">
        <v>431</v>
      </c>
      <c r="C2381" t="s">
        <v>13</v>
      </c>
      <c r="D2381" s="1">
        <v>46022</v>
      </c>
      <c r="E2381">
        <v>0</v>
      </c>
      <c r="F2381" s="2">
        <v>0</v>
      </c>
      <c r="G2381" s="2">
        <v>4333.333333333333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CF1C7-68F7-4A1F-8810-8507370A8E36}">
  <dimension ref="A1:G1148"/>
  <sheetViews>
    <sheetView workbookViewId="0">
      <selection activeCell="G1130" sqref="G1130"/>
    </sheetView>
  </sheetViews>
  <sheetFormatPr defaultRowHeight="14.4" x14ac:dyDescent="0.3"/>
  <cols>
    <col min="1" max="1" width="10.5546875" bestFit="1" customWidth="1"/>
    <col min="2" max="2" width="11.33203125" bestFit="1" customWidth="1"/>
    <col min="3" max="3" width="19.5546875" bestFit="1" customWidth="1"/>
    <col min="4" max="4" width="21.109375" bestFit="1" customWidth="1"/>
    <col min="5" max="5" width="26.88671875" bestFit="1" customWidth="1"/>
    <col min="6" max="6" width="18" bestFit="1" customWidth="1"/>
    <col min="7" max="7" width="16.33203125" customWidth="1"/>
    <col min="8" max="8" width="18" bestFit="1" customWidth="1"/>
    <col min="9" max="9" width="12.33203125" bestFit="1" customWidth="1"/>
  </cols>
  <sheetData>
    <row r="1" spans="1:7" x14ac:dyDescent="0.3">
      <c r="A1" t="s">
        <v>432</v>
      </c>
      <c r="B1" t="s">
        <v>23</v>
      </c>
      <c r="C1" t="s">
        <v>433</v>
      </c>
      <c r="D1" t="s">
        <v>434</v>
      </c>
      <c r="E1" t="s">
        <v>0</v>
      </c>
      <c r="F1" t="s">
        <v>435</v>
      </c>
      <c r="G1" t="s">
        <v>436</v>
      </c>
    </row>
    <row r="2" spans="1:7" hidden="1" x14ac:dyDescent="0.3">
      <c r="A2" s="1">
        <v>45688</v>
      </c>
      <c r="B2" t="s">
        <v>29</v>
      </c>
      <c r="C2" t="s">
        <v>437</v>
      </c>
      <c r="D2" t="s">
        <v>438</v>
      </c>
      <c r="E2" t="s">
        <v>2</v>
      </c>
      <c r="F2">
        <v>148.25</v>
      </c>
      <c r="G2">
        <v>2099.1999999999998</v>
      </c>
    </row>
    <row r="3" spans="1:7" hidden="1" x14ac:dyDescent="0.3">
      <c r="A3" s="1">
        <v>45688</v>
      </c>
      <c r="B3" t="s">
        <v>31</v>
      </c>
      <c r="C3" t="s">
        <v>439</v>
      </c>
      <c r="D3" t="s">
        <v>440</v>
      </c>
      <c r="E3" t="s">
        <v>2</v>
      </c>
      <c r="F3">
        <v>97</v>
      </c>
      <c r="G3">
        <v>2127.1999999999998</v>
      </c>
    </row>
    <row r="4" spans="1:7" hidden="1" x14ac:dyDescent="0.3">
      <c r="A4" s="1">
        <v>45688</v>
      </c>
      <c r="B4" t="s">
        <v>33</v>
      </c>
      <c r="C4" t="s">
        <v>441</v>
      </c>
      <c r="D4" t="s">
        <v>442</v>
      </c>
      <c r="E4" t="s">
        <v>2</v>
      </c>
      <c r="F4">
        <v>98.5</v>
      </c>
      <c r="G4">
        <v>1870.5300000000002</v>
      </c>
    </row>
    <row r="5" spans="1:7" hidden="1" x14ac:dyDescent="0.3">
      <c r="A5" s="1">
        <v>45688</v>
      </c>
      <c r="B5" t="s">
        <v>35</v>
      </c>
      <c r="C5" t="s">
        <v>443</v>
      </c>
      <c r="D5" t="s">
        <v>444</v>
      </c>
      <c r="E5" t="s">
        <v>2</v>
      </c>
      <c r="F5">
        <v>148</v>
      </c>
      <c r="G5">
        <v>3084.9400000000014</v>
      </c>
    </row>
    <row r="6" spans="1:7" hidden="1" x14ac:dyDescent="0.3">
      <c r="A6" s="1">
        <v>45688</v>
      </c>
      <c r="B6" t="s">
        <v>37</v>
      </c>
      <c r="C6" t="s">
        <v>445</v>
      </c>
      <c r="D6" t="s">
        <v>446</v>
      </c>
      <c r="E6" t="s">
        <v>2</v>
      </c>
      <c r="F6">
        <v>151.5</v>
      </c>
      <c r="G6">
        <v>2801.2</v>
      </c>
    </row>
    <row r="7" spans="1:7" hidden="1" x14ac:dyDescent="0.3">
      <c r="A7" s="1">
        <v>45688</v>
      </c>
      <c r="B7" t="s">
        <v>39</v>
      </c>
      <c r="C7" t="s">
        <v>447</v>
      </c>
      <c r="D7" t="s">
        <v>448</v>
      </c>
      <c r="E7" t="s">
        <v>2</v>
      </c>
      <c r="F7">
        <v>142.5</v>
      </c>
      <c r="G7">
        <v>2898.5</v>
      </c>
    </row>
    <row r="8" spans="1:7" hidden="1" x14ac:dyDescent="0.3">
      <c r="A8" s="1">
        <v>45688</v>
      </c>
      <c r="B8" t="s">
        <v>41</v>
      </c>
      <c r="C8" t="s">
        <v>449</v>
      </c>
      <c r="D8" t="s">
        <v>450</v>
      </c>
      <c r="E8" t="s">
        <v>15</v>
      </c>
      <c r="F8">
        <v>136</v>
      </c>
      <c r="G8">
        <v>3017.4800000000005</v>
      </c>
    </row>
    <row r="9" spans="1:7" hidden="1" x14ac:dyDescent="0.3">
      <c r="A9" s="1">
        <v>45688</v>
      </c>
      <c r="B9" t="s">
        <v>43</v>
      </c>
      <c r="C9" t="s">
        <v>451</v>
      </c>
      <c r="D9" t="s">
        <v>452</v>
      </c>
      <c r="E9" t="s">
        <v>3</v>
      </c>
      <c r="F9">
        <v>151.5</v>
      </c>
      <c r="G9">
        <v>3451.51</v>
      </c>
    </row>
    <row r="10" spans="1:7" hidden="1" x14ac:dyDescent="0.3">
      <c r="A10" s="1">
        <v>45688</v>
      </c>
      <c r="B10" t="s">
        <v>45</v>
      </c>
      <c r="C10" t="s">
        <v>453</v>
      </c>
      <c r="D10" t="s">
        <v>454</v>
      </c>
      <c r="E10" t="s">
        <v>3</v>
      </c>
      <c r="F10">
        <v>159</v>
      </c>
      <c r="G10">
        <v>3140.28</v>
      </c>
    </row>
    <row r="11" spans="1:7" hidden="1" x14ac:dyDescent="0.3">
      <c r="A11" s="1">
        <v>45688</v>
      </c>
      <c r="B11" t="s">
        <v>47</v>
      </c>
      <c r="C11" t="s">
        <v>455</v>
      </c>
      <c r="D11" t="s">
        <v>456</v>
      </c>
      <c r="E11" t="s">
        <v>4</v>
      </c>
      <c r="F11">
        <v>91.25</v>
      </c>
      <c r="G11">
        <v>2358.38</v>
      </c>
    </row>
    <row r="12" spans="1:7" hidden="1" x14ac:dyDescent="0.3">
      <c r="A12" s="1">
        <v>45688</v>
      </c>
      <c r="B12" t="s">
        <v>49</v>
      </c>
      <c r="C12" t="s">
        <v>457</v>
      </c>
      <c r="D12" t="s">
        <v>458</v>
      </c>
      <c r="E12" t="s">
        <v>4</v>
      </c>
      <c r="F12">
        <v>127.5</v>
      </c>
      <c r="G12">
        <v>2270.89</v>
      </c>
    </row>
    <row r="13" spans="1:7" hidden="1" x14ac:dyDescent="0.3">
      <c r="A13" s="1">
        <v>45688</v>
      </c>
      <c r="B13" t="s">
        <v>51</v>
      </c>
      <c r="C13" t="s">
        <v>459</v>
      </c>
      <c r="D13" t="s">
        <v>460</v>
      </c>
      <c r="E13" t="s">
        <v>13</v>
      </c>
      <c r="F13">
        <v>117.5</v>
      </c>
      <c r="G13">
        <v>7620.1600000000008</v>
      </c>
    </row>
    <row r="14" spans="1:7" hidden="1" x14ac:dyDescent="0.3">
      <c r="A14" s="1">
        <v>45688</v>
      </c>
      <c r="B14" t="s">
        <v>53</v>
      </c>
      <c r="C14" t="s">
        <v>461</v>
      </c>
      <c r="D14" t="s">
        <v>462</v>
      </c>
      <c r="E14" t="s">
        <v>13</v>
      </c>
      <c r="F14">
        <v>96.5</v>
      </c>
      <c r="G14">
        <v>2307.41</v>
      </c>
    </row>
    <row r="15" spans="1:7" hidden="1" x14ac:dyDescent="0.3">
      <c r="A15" s="1">
        <v>45688</v>
      </c>
      <c r="B15" t="s">
        <v>55</v>
      </c>
      <c r="C15" t="s">
        <v>463</v>
      </c>
      <c r="D15" t="s">
        <v>464</v>
      </c>
      <c r="E15" t="s">
        <v>11</v>
      </c>
      <c r="F15">
        <v>135.75</v>
      </c>
      <c r="G15">
        <v>3310.2400000000007</v>
      </c>
    </row>
    <row r="16" spans="1:7" hidden="1" x14ac:dyDescent="0.3">
      <c r="A16" s="1">
        <v>45688</v>
      </c>
      <c r="B16" t="s">
        <v>57</v>
      </c>
      <c r="C16" t="s">
        <v>465</v>
      </c>
      <c r="D16" t="s">
        <v>466</v>
      </c>
      <c r="E16" t="s">
        <v>14</v>
      </c>
      <c r="F16">
        <v>144</v>
      </c>
      <c r="G16">
        <v>13418.04</v>
      </c>
    </row>
    <row r="17" spans="1:7" hidden="1" x14ac:dyDescent="0.3">
      <c r="A17" s="1">
        <v>45688</v>
      </c>
      <c r="B17" t="s">
        <v>59</v>
      </c>
      <c r="C17" t="s">
        <v>467</v>
      </c>
      <c r="D17" t="s">
        <v>468</v>
      </c>
      <c r="E17" t="s">
        <v>13</v>
      </c>
      <c r="F17">
        <v>0</v>
      </c>
      <c r="G17">
        <v>510.83000000000038</v>
      </c>
    </row>
    <row r="18" spans="1:7" hidden="1" x14ac:dyDescent="0.3">
      <c r="A18" s="1">
        <v>45688</v>
      </c>
      <c r="B18" t="s">
        <v>61</v>
      </c>
      <c r="C18" t="s">
        <v>469</v>
      </c>
      <c r="D18" t="s">
        <v>470</v>
      </c>
      <c r="E18" t="s">
        <v>3</v>
      </c>
      <c r="F18">
        <v>52.75</v>
      </c>
      <c r="G18">
        <v>1038.51</v>
      </c>
    </row>
    <row r="19" spans="1:7" hidden="1" x14ac:dyDescent="0.3">
      <c r="A19" s="1">
        <v>45688</v>
      </c>
      <c r="B19" t="s">
        <v>63</v>
      </c>
      <c r="C19" t="s">
        <v>471</v>
      </c>
      <c r="D19" t="s">
        <v>472</v>
      </c>
      <c r="E19" t="s">
        <v>2</v>
      </c>
      <c r="F19">
        <v>148.75</v>
      </c>
      <c r="G19">
        <v>2211.54</v>
      </c>
    </row>
    <row r="20" spans="1:7" hidden="1" x14ac:dyDescent="0.3">
      <c r="A20" s="1">
        <v>45688</v>
      </c>
      <c r="B20" t="s">
        <v>65</v>
      </c>
      <c r="C20" t="s">
        <v>473</v>
      </c>
      <c r="D20" t="s">
        <v>474</v>
      </c>
      <c r="E20" t="s">
        <v>2</v>
      </c>
      <c r="F20">
        <v>144.75</v>
      </c>
      <c r="G20">
        <v>1833.45</v>
      </c>
    </row>
    <row r="21" spans="1:7" hidden="1" x14ac:dyDescent="0.3">
      <c r="A21" s="1">
        <v>45688</v>
      </c>
      <c r="B21" t="s">
        <v>67</v>
      </c>
      <c r="C21" t="s">
        <v>475</v>
      </c>
      <c r="D21" t="s">
        <v>476</v>
      </c>
      <c r="E21" t="s">
        <v>2</v>
      </c>
      <c r="F21">
        <v>102.75</v>
      </c>
      <c r="G21">
        <v>2321.0700000000002</v>
      </c>
    </row>
    <row r="22" spans="1:7" hidden="1" x14ac:dyDescent="0.3">
      <c r="A22" s="1">
        <v>45688</v>
      </c>
      <c r="B22" t="s">
        <v>69</v>
      </c>
      <c r="C22" t="s">
        <v>477</v>
      </c>
      <c r="D22" t="s">
        <v>478</v>
      </c>
      <c r="E22" t="s">
        <v>2</v>
      </c>
      <c r="F22">
        <v>154.75</v>
      </c>
      <c r="G22">
        <v>2831.5599999999995</v>
      </c>
    </row>
    <row r="23" spans="1:7" hidden="1" x14ac:dyDescent="0.3">
      <c r="A23" s="1">
        <v>45688</v>
      </c>
      <c r="B23" t="s">
        <v>71</v>
      </c>
      <c r="C23" t="s">
        <v>479</v>
      </c>
      <c r="D23" t="s">
        <v>480</v>
      </c>
      <c r="E23" t="s">
        <v>2</v>
      </c>
      <c r="F23">
        <v>0</v>
      </c>
      <c r="G23">
        <v>11.700000000000017</v>
      </c>
    </row>
    <row r="24" spans="1:7" hidden="1" x14ac:dyDescent="0.3">
      <c r="A24" s="1">
        <v>45688</v>
      </c>
      <c r="B24" t="s">
        <v>73</v>
      </c>
      <c r="C24" t="s">
        <v>481</v>
      </c>
      <c r="D24" t="s">
        <v>482</v>
      </c>
      <c r="E24" t="s">
        <v>2</v>
      </c>
      <c r="F24">
        <v>142.25</v>
      </c>
      <c r="G24">
        <v>2612.5</v>
      </c>
    </row>
    <row r="25" spans="1:7" hidden="1" x14ac:dyDescent="0.3">
      <c r="A25" s="1">
        <v>45688</v>
      </c>
      <c r="B25" t="s">
        <v>75</v>
      </c>
      <c r="C25" t="s">
        <v>483</v>
      </c>
      <c r="D25" t="s">
        <v>484</v>
      </c>
      <c r="E25" t="s">
        <v>2</v>
      </c>
      <c r="F25">
        <v>52.5</v>
      </c>
      <c r="G25">
        <v>949.82</v>
      </c>
    </row>
    <row r="26" spans="1:7" hidden="1" x14ac:dyDescent="0.3">
      <c r="A26" s="1">
        <v>45688</v>
      </c>
      <c r="B26" t="s">
        <v>77</v>
      </c>
      <c r="C26" t="s">
        <v>443</v>
      </c>
      <c r="D26" t="s">
        <v>485</v>
      </c>
      <c r="E26" t="s">
        <v>15</v>
      </c>
      <c r="F26">
        <v>108.75</v>
      </c>
      <c r="G26">
        <v>1870.5600000000002</v>
      </c>
    </row>
    <row r="27" spans="1:7" hidden="1" x14ac:dyDescent="0.3">
      <c r="A27" s="1">
        <v>45688</v>
      </c>
      <c r="B27" t="s">
        <v>79</v>
      </c>
      <c r="C27" t="s">
        <v>486</v>
      </c>
      <c r="D27" t="s">
        <v>487</v>
      </c>
      <c r="E27" t="s">
        <v>2</v>
      </c>
      <c r="F27">
        <v>142.75</v>
      </c>
      <c r="G27">
        <v>2696.85</v>
      </c>
    </row>
    <row r="28" spans="1:7" hidden="1" x14ac:dyDescent="0.3">
      <c r="A28" s="1">
        <v>45688</v>
      </c>
      <c r="B28" t="s">
        <v>81</v>
      </c>
      <c r="C28" t="s">
        <v>488</v>
      </c>
      <c r="D28" t="s">
        <v>489</v>
      </c>
      <c r="E28" t="s">
        <v>2</v>
      </c>
      <c r="F28">
        <v>136.5</v>
      </c>
      <c r="G28">
        <v>3854.0199999999995</v>
      </c>
    </row>
    <row r="29" spans="1:7" hidden="1" x14ac:dyDescent="0.3">
      <c r="A29" s="1">
        <v>45688</v>
      </c>
      <c r="B29" t="s">
        <v>83</v>
      </c>
      <c r="C29" t="s">
        <v>490</v>
      </c>
      <c r="D29" t="s">
        <v>440</v>
      </c>
      <c r="E29" t="s">
        <v>12</v>
      </c>
      <c r="F29">
        <v>144</v>
      </c>
      <c r="G29">
        <v>5125.8599999999997</v>
      </c>
    </row>
    <row r="30" spans="1:7" hidden="1" x14ac:dyDescent="0.3">
      <c r="A30" s="1">
        <v>45688</v>
      </c>
      <c r="B30" t="s">
        <v>85</v>
      </c>
      <c r="C30" t="s">
        <v>491</v>
      </c>
      <c r="D30" t="s">
        <v>492</v>
      </c>
      <c r="E30" t="s">
        <v>2</v>
      </c>
      <c r="F30">
        <v>159</v>
      </c>
      <c r="G30">
        <v>2574.13</v>
      </c>
    </row>
    <row r="31" spans="1:7" hidden="1" x14ac:dyDescent="0.3">
      <c r="A31" s="1">
        <v>45688</v>
      </c>
      <c r="B31" t="s">
        <v>87</v>
      </c>
      <c r="C31" t="s">
        <v>493</v>
      </c>
      <c r="D31" t="s">
        <v>494</v>
      </c>
      <c r="E31" t="s">
        <v>12</v>
      </c>
      <c r="F31">
        <v>155.5</v>
      </c>
      <c r="G31">
        <v>3313.11</v>
      </c>
    </row>
    <row r="32" spans="1:7" hidden="1" x14ac:dyDescent="0.3">
      <c r="A32" s="1">
        <v>45688</v>
      </c>
      <c r="B32" t="s">
        <v>89</v>
      </c>
      <c r="C32" t="s">
        <v>495</v>
      </c>
      <c r="D32" t="s">
        <v>496</v>
      </c>
      <c r="E32" t="s">
        <v>13</v>
      </c>
      <c r="F32">
        <v>144</v>
      </c>
      <c r="G32">
        <v>9889.4399999999987</v>
      </c>
    </row>
    <row r="33" spans="1:7" hidden="1" x14ac:dyDescent="0.3">
      <c r="A33" s="1">
        <v>45688</v>
      </c>
      <c r="B33" t="s">
        <v>91</v>
      </c>
      <c r="C33" t="s">
        <v>497</v>
      </c>
      <c r="D33" t="s">
        <v>498</v>
      </c>
      <c r="E33" t="s">
        <v>5</v>
      </c>
      <c r="F33">
        <v>147</v>
      </c>
      <c r="G33">
        <v>1735.06</v>
      </c>
    </row>
    <row r="34" spans="1:7" hidden="1" x14ac:dyDescent="0.3">
      <c r="A34" s="1">
        <v>45688</v>
      </c>
      <c r="B34" t="s">
        <v>93</v>
      </c>
      <c r="C34" t="s">
        <v>499</v>
      </c>
      <c r="D34" t="s">
        <v>500</v>
      </c>
      <c r="E34" t="s">
        <v>2</v>
      </c>
      <c r="F34">
        <v>83</v>
      </c>
      <c r="G34">
        <v>1583.91</v>
      </c>
    </row>
    <row r="35" spans="1:7" hidden="1" x14ac:dyDescent="0.3">
      <c r="A35" s="1">
        <v>45688</v>
      </c>
      <c r="B35" t="s">
        <v>95</v>
      </c>
      <c r="C35" t="s">
        <v>501</v>
      </c>
      <c r="D35" t="s">
        <v>502</v>
      </c>
      <c r="E35" t="s">
        <v>3</v>
      </c>
      <c r="F35">
        <v>119</v>
      </c>
      <c r="G35">
        <v>2032.02</v>
      </c>
    </row>
    <row r="36" spans="1:7" hidden="1" x14ac:dyDescent="0.3">
      <c r="A36" s="1">
        <v>45688</v>
      </c>
      <c r="B36" t="s">
        <v>97</v>
      </c>
      <c r="C36" t="s">
        <v>503</v>
      </c>
      <c r="D36" t="s">
        <v>504</v>
      </c>
      <c r="E36" t="s">
        <v>2</v>
      </c>
      <c r="F36">
        <v>151</v>
      </c>
      <c r="G36">
        <v>2035.75</v>
      </c>
    </row>
    <row r="37" spans="1:7" hidden="1" x14ac:dyDescent="0.3">
      <c r="A37" s="1">
        <v>45688</v>
      </c>
      <c r="B37" t="s">
        <v>99</v>
      </c>
      <c r="C37" t="s">
        <v>505</v>
      </c>
      <c r="D37" t="s">
        <v>506</v>
      </c>
      <c r="E37" t="s">
        <v>2</v>
      </c>
      <c r="F37">
        <v>96</v>
      </c>
      <c r="G37">
        <v>1756.9300000000003</v>
      </c>
    </row>
    <row r="38" spans="1:7" hidden="1" x14ac:dyDescent="0.3">
      <c r="A38" s="1">
        <v>45688</v>
      </c>
      <c r="B38" t="s">
        <v>101</v>
      </c>
      <c r="C38" t="s">
        <v>507</v>
      </c>
      <c r="D38" t="s">
        <v>508</v>
      </c>
      <c r="E38" t="s">
        <v>13</v>
      </c>
      <c r="F38">
        <v>47.75</v>
      </c>
      <c r="G38">
        <v>1194.9000000000001</v>
      </c>
    </row>
    <row r="39" spans="1:7" hidden="1" x14ac:dyDescent="0.3">
      <c r="A39" s="1">
        <v>45688</v>
      </c>
      <c r="B39" t="s">
        <v>103</v>
      </c>
      <c r="C39" t="s">
        <v>509</v>
      </c>
      <c r="D39" t="s">
        <v>510</v>
      </c>
      <c r="E39" t="s">
        <v>2</v>
      </c>
      <c r="F39">
        <v>21</v>
      </c>
      <c r="G39">
        <v>621.26000000000022</v>
      </c>
    </row>
    <row r="40" spans="1:7" hidden="1" x14ac:dyDescent="0.3">
      <c r="A40" s="1">
        <v>45688</v>
      </c>
      <c r="B40" t="s">
        <v>105</v>
      </c>
      <c r="C40" t="s">
        <v>511</v>
      </c>
      <c r="D40" t="s">
        <v>512</v>
      </c>
      <c r="E40" t="s">
        <v>2</v>
      </c>
      <c r="F40">
        <v>136.5</v>
      </c>
      <c r="G40">
        <v>1859.39</v>
      </c>
    </row>
    <row r="41" spans="1:7" hidden="1" x14ac:dyDescent="0.3">
      <c r="A41" s="1">
        <v>45688</v>
      </c>
      <c r="B41" t="s">
        <v>107</v>
      </c>
      <c r="C41" t="s">
        <v>513</v>
      </c>
      <c r="D41" t="s">
        <v>514</v>
      </c>
      <c r="E41" t="s">
        <v>2</v>
      </c>
      <c r="F41">
        <v>71</v>
      </c>
      <c r="G41">
        <v>1123.9099999999999</v>
      </c>
    </row>
    <row r="42" spans="1:7" hidden="1" x14ac:dyDescent="0.3">
      <c r="A42" s="1">
        <v>45688</v>
      </c>
      <c r="B42" t="s">
        <v>109</v>
      </c>
      <c r="C42" t="s">
        <v>515</v>
      </c>
      <c r="D42" t="s">
        <v>516</v>
      </c>
      <c r="E42" t="s">
        <v>6</v>
      </c>
      <c r="F42">
        <v>142.75</v>
      </c>
      <c r="G42">
        <v>4133.84</v>
      </c>
    </row>
    <row r="43" spans="1:7" hidden="1" x14ac:dyDescent="0.3">
      <c r="A43" s="1">
        <v>45688</v>
      </c>
      <c r="B43" t="s">
        <v>111</v>
      </c>
      <c r="C43" t="s">
        <v>517</v>
      </c>
      <c r="D43" t="s">
        <v>496</v>
      </c>
      <c r="E43" t="s">
        <v>14</v>
      </c>
      <c r="F43">
        <v>144</v>
      </c>
      <c r="G43">
        <v>13457.28</v>
      </c>
    </row>
    <row r="44" spans="1:7" hidden="1" x14ac:dyDescent="0.3">
      <c r="A44" s="1">
        <v>45688</v>
      </c>
      <c r="B44" t="s">
        <v>113</v>
      </c>
      <c r="C44" t="s">
        <v>518</v>
      </c>
      <c r="D44" t="s">
        <v>519</v>
      </c>
      <c r="E44" t="s">
        <v>3</v>
      </c>
      <c r="F44">
        <v>108</v>
      </c>
      <c r="G44">
        <v>1385.41</v>
      </c>
    </row>
    <row r="45" spans="1:7" hidden="1" x14ac:dyDescent="0.3">
      <c r="A45" s="1">
        <v>45688</v>
      </c>
      <c r="B45" t="s">
        <v>115</v>
      </c>
      <c r="C45" t="s">
        <v>520</v>
      </c>
      <c r="D45" t="s">
        <v>521</v>
      </c>
      <c r="E45" t="s">
        <v>2</v>
      </c>
      <c r="F45">
        <v>63</v>
      </c>
      <c r="G45">
        <v>1382.38</v>
      </c>
    </row>
    <row r="46" spans="1:7" hidden="1" x14ac:dyDescent="0.3">
      <c r="A46" s="1">
        <v>45688</v>
      </c>
      <c r="B46" t="s">
        <v>117</v>
      </c>
      <c r="C46" t="s">
        <v>522</v>
      </c>
      <c r="D46" t="s">
        <v>523</v>
      </c>
      <c r="E46" t="s">
        <v>2</v>
      </c>
      <c r="F46">
        <v>89.75</v>
      </c>
      <c r="G46">
        <v>1843.62</v>
      </c>
    </row>
    <row r="47" spans="1:7" hidden="1" x14ac:dyDescent="0.3">
      <c r="A47" s="1">
        <v>45688</v>
      </c>
      <c r="B47" t="s">
        <v>119</v>
      </c>
      <c r="C47" t="s">
        <v>524</v>
      </c>
      <c r="D47" t="s">
        <v>525</v>
      </c>
      <c r="E47" t="s">
        <v>2</v>
      </c>
      <c r="F47">
        <v>144</v>
      </c>
      <c r="G47">
        <v>2694.7999999999993</v>
      </c>
    </row>
    <row r="48" spans="1:7" hidden="1" x14ac:dyDescent="0.3">
      <c r="A48" s="1">
        <v>45688</v>
      </c>
      <c r="B48" t="s">
        <v>121</v>
      </c>
      <c r="C48" t="s">
        <v>526</v>
      </c>
      <c r="D48" t="s">
        <v>527</v>
      </c>
      <c r="E48" t="s">
        <v>3</v>
      </c>
      <c r="F48">
        <v>153.5</v>
      </c>
      <c r="G48">
        <v>3006.72</v>
      </c>
    </row>
    <row r="49" spans="1:7" hidden="1" x14ac:dyDescent="0.3">
      <c r="A49" s="1">
        <v>45688</v>
      </c>
      <c r="B49" t="s">
        <v>123</v>
      </c>
      <c r="C49" t="s">
        <v>528</v>
      </c>
      <c r="D49" t="s">
        <v>529</v>
      </c>
      <c r="E49" t="s">
        <v>5</v>
      </c>
      <c r="F49">
        <v>111.5</v>
      </c>
      <c r="G49">
        <v>1385.31</v>
      </c>
    </row>
    <row r="50" spans="1:7" hidden="1" x14ac:dyDescent="0.3">
      <c r="A50" s="1">
        <v>45688</v>
      </c>
      <c r="B50" t="s">
        <v>125</v>
      </c>
      <c r="C50" t="s">
        <v>530</v>
      </c>
      <c r="D50" t="s">
        <v>502</v>
      </c>
      <c r="E50" t="s">
        <v>2</v>
      </c>
      <c r="F50">
        <v>135.5</v>
      </c>
      <c r="G50">
        <v>3047.43</v>
      </c>
    </row>
    <row r="51" spans="1:7" hidden="1" x14ac:dyDescent="0.3">
      <c r="A51" s="1">
        <v>45688</v>
      </c>
      <c r="B51" t="s">
        <v>127</v>
      </c>
      <c r="C51" t="s">
        <v>531</v>
      </c>
      <c r="D51" t="s">
        <v>532</v>
      </c>
      <c r="E51" t="s">
        <v>2</v>
      </c>
      <c r="F51">
        <v>140.5</v>
      </c>
      <c r="G51">
        <v>2576.4299999999998</v>
      </c>
    </row>
    <row r="52" spans="1:7" hidden="1" x14ac:dyDescent="0.3">
      <c r="A52" s="1">
        <v>45688</v>
      </c>
      <c r="B52" t="s">
        <v>129</v>
      </c>
      <c r="C52" t="s">
        <v>533</v>
      </c>
      <c r="D52" t="s">
        <v>534</v>
      </c>
      <c r="E52" t="s">
        <v>11</v>
      </c>
      <c r="F52">
        <v>137.75</v>
      </c>
      <c r="G52">
        <v>6073.03</v>
      </c>
    </row>
    <row r="53" spans="1:7" hidden="1" x14ac:dyDescent="0.3">
      <c r="A53" s="1">
        <v>45688</v>
      </c>
      <c r="B53" t="s">
        <v>131</v>
      </c>
      <c r="C53" t="s">
        <v>535</v>
      </c>
      <c r="D53" t="s">
        <v>536</v>
      </c>
      <c r="E53" t="s">
        <v>2</v>
      </c>
      <c r="F53">
        <v>136</v>
      </c>
      <c r="G53">
        <v>2502.9800000000005</v>
      </c>
    </row>
    <row r="54" spans="1:7" hidden="1" x14ac:dyDescent="0.3">
      <c r="A54" s="1">
        <v>45688</v>
      </c>
      <c r="B54" t="s">
        <v>133</v>
      </c>
      <c r="C54" t="s">
        <v>537</v>
      </c>
      <c r="D54" t="s">
        <v>538</v>
      </c>
      <c r="E54" t="s">
        <v>2</v>
      </c>
      <c r="F54">
        <v>105.5</v>
      </c>
      <c r="G54">
        <v>2610.4900000000002</v>
      </c>
    </row>
    <row r="55" spans="1:7" hidden="1" x14ac:dyDescent="0.3">
      <c r="A55" s="1">
        <v>45688</v>
      </c>
      <c r="B55" t="s">
        <v>135</v>
      </c>
      <c r="C55" t="s">
        <v>539</v>
      </c>
      <c r="D55" t="s">
        <v>540</v>
      </c>
      <c r="E55" t="s">
        <v>3</v>
      </c>
      <c r="F55">
        <v>0</v>
      </c>
      <c r="G55">
        <v>457.77999999999986</v>
      </c>
    </row>
    <row r="56" spans="1:7" hidden="1" x14ac:dyDescent="0.3">
      <c r="A56" s="1">
        <v>45688</v>
      </c>
      <c r="B56" t="s">
        <v>137</v>
      </c>
      <c r="C56" t="s">
        <v>541</v>
      </c>
      <c r="D56" t="s">
        <v>542</v>
      </c>
      <c r="E56" t="s">
        <v>2</v>
      </c>
      <c r="F56">
        <v>104.5</v>
      </c>
      <c r="G56">
        <v>2100.77</v>
      </c>
    </row>
    <row r="57" spans="1:7" hidden="1" x14ac:dyDescent="0.3">
      <c r="A57" s="1">
        <v>45688</v>
      </c>
      <c r="B57" t="s">
        <v>139</v>
      </c>
      <c r="C57" t="s">
        <v>543</v>
      </c>
      <c r="D57" t="s">
        <v>544</v>
      </c>
      <c r="E57" t="s">
        <v>13</v>
      </c>
      <c r="F57">
        <v>160.75</v>
      </c>
      <c r="G57">
        <v>3176.65</v>
      </c>
    </row>
    <row r="58" spans="1:7" hidden="1" x14ac:dyDescent="0.3">
      <c r="A58" s="1">
        <v>45688</v>
      </c>
      <c r="B58" t="s">
        <v>141</v>
      </c>
      <c r="C58" t="s">
        <v>499</v>
      </c>
      <c r="D58" t="s">
        <v>545</v>
      </c>
      <c r="E58" t="s">
        <v>11</v>
      </c>
      <c r="F58">
        <v>70.5</v>
      </c>
      <c r="G58">
        <v>923.81000000000017</v>
      </c>
    </row>
    <row r="59" spans="1:7" hidden="1" x14ac:dyDescent="0.3">
      <c r="A59" s="1">
        <v>45688</v>
      </c>
      <c r="B59" t="s">
        <v>143</v>
      </c>
      <c r="C59" t="s">
        <v>546</v>
      </c>
      <c r="D59" t="s">
        <v>547</v>
      </c>
      <c r="E59" t="s">
        <v>2</v>
      </c>
      <c r="F59">
        <v>135.25</v>
      </c>
      <c r="G59">
        <v>1696.77</v>
      </c>
    </row>
    <row r="60" spans="1:7" hidden="1" x14ac:dyDescent="0.3">
      <c r="A60" s="1">
        <v>45688</v>
      </c>
      <c r="B60" t="s">
        <v>145</v>
      </c>
      <c r="C60" t="s">
        <v>548</v>
      </c>
      <c r="D60" t="s">
        <v>549</v>
      </c>
      <c r="E60" t="s">
        <v>6</v>
      </c>
      <c r="F60">
        <v>106</v>
      </c>
      <c r="G60">
        <v>2411.5300000000002</v>
      </c>
    </row>
    <row r="61" spans="1:7" hidden="1" x14ac:dyDescent="0.3">
      <c r="A61" s="1">
        <v>45688</v>
      </c>
      <c r="B61" t="s">
        <v>147</v>
      </c>
      <c r="C61" t="s">
        <v>550</v>
      </c>
      <c r="D61" t="s">
        <v>551</v>
      </c>
      <c r="E61" t="s">
        <v>8</v>
      </c>
      <c r="F61">
        <v>141.5</v>
      </c>
      <c r="G61">
        <v>4212.38</v>
      </c>
    </row>
    <row r="62" spans="1:7" hidden="1" x14ac:dyDescent="0.3">
      <c r="A62" s="1">
        <v>45688</v>
      </c>
      <c r="B62" t="s">
        <v>149</v>
      </c>
      <c r="C62" t="s">
        <v>552</v>
      </c>
      <c r="D62" t="s">
        <v>553</v>
      </c>
      <c r="E62" t="s">
        <v>10</v>
      </c>
      <c r="F62">
        <v>0</v>
      </c>
      <c r="G62">
        <v>0</v>
      </c>
    </row>
    <row r="63" spans="1:7" hidden="1" x14ac:dyDescent="0.3">
      <c r="A63" s="1">
        <v>45688</v>
      </c>
      <c r="B63" t="s">
        <v>151</v>
      </c>
      <c r="C63" t="s">
        <v>554</v>
      </c>
      <c r="D63" t="s">
        <v>555</v>
      </c>
      <c r="E63" t="s">
        <v>3</v>
      </c>
      <c r="F63">
        <v>125</v>
      </c>
      <c r="G63">
        <v>1495.2100000000003</v>
      </c>
    </row>
    <row r="64" spans="1:7" hidden="1" x14ac:dyDescent="0.3">
      <c r="A64" s="1">
        <v>45688</v>
      </c>
      <c r="B64" t="s">
        <v>153</v>
      </c>
      <c r="C64" t="s">
        <v>556</v>
      </c>
      <c r="D64" t="s">
        <v>557</v>
      </c>
      <c r="E64" t="s">
        <v>2</v>
      </c>
      <c r="F64">
        <v>136.75</v>
      </c>
      <c r="G64">
        <v>2186.15</v>
      </c>
    </row>
    <row r="65" spans="1:7" hidden="1" x14ac:dyDescent="0.3">
      <c r="A65" s="1">
        <v>45688</v>
      </c>
      <c r="B65" t="s">
        <v>155</v>
      </c>
      <c r="C65" t="s">
        <v>546</v>
      </c>
      <c r="D65" t="s">
        <v>558</v>
      </c>
      <c r="E65" t="s">
        <v>7</v>
      </c>
      <c r="F65">
        <v>132</v>
      </c>
      <c r="G65">
        <v>1967.5899999999997</v>
      </c>
    </row>
    <row r="66" spans="1:7" hidden="1" x14ac:dyDescent="0.3">
      <c r="A66" s="1">
        <v>45688</v>
      </c>
      <c r="B66" t="s">
        <v>157</v>
      </c>
      <c r="C66" t="s">
        <v>559</v>
      </c>
      <c r="D66" t="s">
        <v>560</v>
      </c>
      <c r="E66" t="s">
        <v>3</v>
      </c>
      <c r="F66">
        <v>129</v>
      </c>
      <c r="G66">
        <v>2172.2600000000002</v>
      </c>
    </row>
    <row r="67" spans="1:7" hidden="1" x14ac:dyDescent="0.3">
      <c r="A67" s="1">
        <v>45688</v>
      </c>
      <c r="B67" t="s">
        <v>159</v>
      </c>
      <c r="C67" t="s">
        <v>561</v>
      </c>
      <c r="D67" t="s">
        <v>562</v>
      </c>
      <c r="E67" t="s">
        <v>3</v>
      </c>
      <c r="F67">
        <v>121.5</v>
      </c>
      <c r="G67">
        <v>2332.25</v>
      </c>
    </row>
    <row r="68" spans="1:7" hidden="1" x14ac:dyDescent="0.3">
      <c r="A68" s="1">
        <v>45688</v>
      </c>
      <c r="B68" t="s">
        <v>161</v>
      </c>
      <c r="C68" t="s">
        <v>563</v>
      </c>
      <c r="D68" t="s">
        <v>564</v>
      </c>
      <c r="E68" t="s">
        <v>13</v>
      </c>
      <c r="F68">
        <v>119.75</v>
      </c>
      <c r="G68">
        <v>2037.94</v>
      </c>
    </row>
    <row r="69" spans="1:7" hidden="1" x14ac:dyDescent="0.3">
      <c r="A69" s="1">
        <v>45688</v>
      </c>
      <c r="B69" t="s">
        <v>163</v>
      </c>
      <c r="C69" t="s">
        <v>565</v>
      </c>
      <c r="D69" t="s">
        <v>566</v>
      </c>
      <c r="E69" t="s">
        <v>8</v>
      </c>
      <c r="F69">
        <v>139.5</v>
      </c>
      <c r="G69">
        <v>4084.72</v>
      </c>
    </row>
    <row r="70" spans="1:7" hidden="1" x14ac:dyDescent="0.3">
      <c r="A70" s="1">
        <v>45688</v>
      </c>
      <c r="B70" t="s">
        <v>165</v>
      </c>
      <c r="C70" t="s">
        <v>567</v>
      </c>
      <c r="D70" t="s">
        <v>568</v>
      </c>
      <c r="E70" t="s">
        <v>3</v>
      </c>
      <c r="F70">
        <v>92.5</v>
      </c>
      <c r="G70">
        <v>1639.6300000000003</v>
      </c>
    </row>
    <row r="71" spans="1:7" hidden="1" x14ac:dyDescent="0.3">
      <c r="A71" s="1">
        <v>45688</v>
      </c>
      <c r="B71" t="s">
        <v>167</v>
      </c>
      <c r="C71" t="s">
        <v>569</v>
      </c>
      <c r="D71" t="s">
        <v>570</v>
      </c>
      <c r="E71" t="s">
        <v>3</v>
      </c>
      <c r="F71">
        <v>116.25</v>
      </c>
      <c r="G71">
        <v>2139.92</v>
      </c>
    </row>
    <row r="72" spans="1:7" hidden="1" x14ac:dyDescent="0.3">
      <c r="A72" s="1">
        <v>45688</v>
      </c>
      <c r="B72" t="s">
        <v>169</v>
      </c>
      <c r="C72" t="s">
        <v>571</v>
      </c>
      <c r="D72" t="s">
        <v>572</v>
      </c>
      <c r="E72" t="s">
        <v>2</v>
      </c>
      <c r="F72">
        <v>147.75</v>
      </c>
      <c r="G72">
        <v>2076.8000000000002</v>
      </c>
    </row>
    <row r="73" spans="1:7" hidden="1" x14ac:dyDescent="0.3">
      <c r="A73" s="1">
        <v>45688</v>
      </c>
      <c r="B73" t="s">
        <v>171</v>
      </c>
      <c r="C73" t="s">
        <v>573</v>
      </c>
      <c r="D73" t="s">
        <v>574</v>
      </c>
      <c r="E73" t="s">
        <v>3</v>
      </c>
      <c r="F73">
        <v>132</v>
      </c>
      <c r="G73">
        <v>1634.64</v>
      </c>
    </row>
    <row r="74" spans="1:7" hidden="1" x14ac:dyDescent="0.3">
      <c r="A74" s="1">
        <v>45688</v>
      </c>
      <c r="B74" t="s">
        <v>173</v>
      </c>
      <c r="C74" t="s">
        <v>575</v>
      </c>
      <c r="D74" t="s">
        <v>576</v>
      </c>
      <c r="E74" t="s">
        <v>3</v>
      </c>
      <c r="F74">
        <v>74</v>
      </c>
      <c r="G74">
        <v>1242.1000000000001</v>
      </c>
    </row>
    <row r="75" spans="1:7" hidden="1" x14ac:dyDescent="0.3">
      <c r="A75" s="1">
        <v>45688</v>
      </c>
      <c r="B75" t="s">
        <v>175</v>
      </c>
      <c r="C75" t="s">
        <v>577</v>
      </c>
      <c r="D75" t="s">
        <v>578</v>
      </c>
      <c r="E75" t="s">
        <v>12</v>
      </c>
      <c r="F75">
        <v>132</v>
      </c>
      <c r="G75">
        <v>2956.87</v>
      </c>
    </row>
    <row r="76" spans="1:7" hidden="1" x14ac:dyDescent="0.3">
      <c r="A76" s="1">
        <v>45688</v>
      </c>
      <c r="B76" t="s">
        <v>177</v>
      </c>
      <c r="C76" t="s">
        <v>579</v>
      </c>
      <c r="D76" t="s">
        <v>580</v>
      </c>
      <c r="E76" t="s">
        <v>2</v>
      </c>
      <c r="F76">
        <v>0</v>
      </c>
      <c r="G76">
        <v>158.96000000000004</v>
      </c>
    </row>
    <row r="77" spans="1:7" hidden="1" x14ac:dyDescent="0.3">
      <c r="A77" s="1">
        <v>45688</v>
      </c>
      <c r="B77" t="s">
        <v>179</v>
      </c>
      <c r="C77" t="s">
        <v>550</v>
      </c>
      <c r="D77" t="s">
        <v>581</v>
      </c>
      <c r="E77" t="s">
        <v>2</v>
      </c>
      <c r="F77">
        <v>151.5</v>
      </c>
      <c r="G77">
        <v>2454.4199999999996</v>
      </c>
    </row>
    <row r="78" spans="1:7" hidden="1" x14ac:dyDescent="0.3">
      <c r="A78" s="1">
        <v>45688</v>
      </c>
      <c r="B78" t="s">
        <v>181</v>
      </c>
      <c r="C78" t="s">
        <v>582</v>
      </c>
      <c r="D78" t="s">
        <v>583</v>
      </c>
      <c r="E78" t="s">
        <v>2</v>
      </c>
      <c r="F78">
        <v>60</v>
      </c>
      <c r="G78">
        <v>1084.08</v>
      </c>
    </row>
    <row r="79" spans="1:7" hidden="1" x14ac:dyDescent="0.3">
      <c r="A79" s="1">
        <v>45688</v>
      </c>
      <c r="B79" t="s">
        <v>183</v>
      </c>
      <c r="C79" t="s">
        <v>584</v>
      </c>
      <c r="D79" t="s">
        <v>585</v>
      </c>
      <c r="E79" t="s">
        <v>2</v>
      </c>
      <c r="F79">
        <v>151</v>
      </c>
      <c r="G79">
        <v>2901.9600000000005</v>
      </c>
    </row>
    <row r="80" spans="1:7" hidden="1" x14ac:dyDescent="0.3">
      <c r="A80" s="1">
        <v>45688</v>
      </c>
      <c r="B80" t="s">
        <v>185</v>
      </c>
      <c r="C80" t="s">
        <v>586</v>
      </c>
      <c r="D80" t="s">
        <v>587</v>
      </c>
      <c r="E80" t="s">
        <v>10</v>
      </c>
      <c r="F80">
        <v>159</v>
      </c>
      <c r="G80">
        <v>3329.6299999999997</v>
      </c>
    </row>
    <row r="81" spans="1:7" hidden="1" x14ac:dyDescent="0.3">
      <c r="A81" s="1">
        <v>45688</v>
      </c>
      <c r="B81" t="s">
        <v>187</v>
      </c>
      <c r="C81" t="s">
        <v>588</v>
      </c>
      <c r="D81" t="s">
        <v>589</v>
      </c>
      <c r="E81" t="s">
        <v>6</v>
      </c>
      <c r="F81">
        <v>171.5</v>
      </c>
      <c r="G81">
        <v>4344.76</v>
      </c>
    </row>
    <row r="82" spans="1:7" hidden="1" x14ac:dyDescent="0.3">
      <c r="A82" s="1">
        <v>45688</v>
      </c>
      <c r="B82" t="s">
        <v>189</v>
      </c>
      <c r="C82" t="s">
        <v>590</v>
      </c>
      <c r="D82" t="s">
        <v>591</v>
      </c>
      <c r="E82" t="s">
        <v>2</v>
      </c>
      <c r="F82">
        <v>136.5</v>
      </c>
      <c r="G82">
        <v>2426.13</v>
      </c>
    </row>
    <row r="83" spans="1:7" hidden="1" x14ac:dyDescent="0.3">
      <c r="A83" s="1">
        <v>45688</v>
      </c>
      <c r="B83" t="s">
        <v>191</v>
      </c>
      <c r="C83" t="s">
        <v>592</v>
      </c>
      <c r="D83" t="s">
        <v>593</v>
      </c>
      <c r="E83" t="s">
        <v>2</v>
      </c>
      <c r="F83">
        <v>158.75</v>
      </c>
      <c r="G83">
        <v>3015.3399999999997</v>
      </c>
    </row>
    <row r="84" spans="1:7" hidden="1" x14ac:dyDescent="0.3">
      <c r="A84" s="1">
        <v>45688</v>
      </c>
      <c r="B84" t="s">
        <v>193</v>
      </c>
      <c r="C84" t="s">
        <v>594</v>
      </c>
      <c r="D84" t="s">
        <v>595</v>
      </c>
      <c r="E84" t="s">
        <v>7</v>
      </c>
      <c r="F84">
        <v>113.5</v>
      </c>
      <c r="G84">
        <v>2186.0100000000002</v>
      </c>
    </row>
    <row r="85" spans="1:7" hidden="1" x14ac:dyDescent="0.3">
      <c r="A85" s="1">
        <v>45688</v>
      </c>
      <c r="B85" t="s">
        <v>195</v>
      </c>
      <c r="C85" t="s">
        <v>596</v>
      </c>
      <c r="D85" t="s">
        <v>597</v>
      </c>
      <c r="E85" t="s">
        <v>8</v>
      </c>
      <c r="F85">
        <v>133.75</v>
      </c>
      <c r="G85">
        <v>3963.75</v>
      </c>
    </row>
    <row r="86" spans="1:7" hidden="1" x14ac:dyDescent="0.3">
      <c r="A86" s="1">
        <v>45688</v>
      </c>
      <c r="B86" t="s">
        <v>197</v>
      </c>
      <c r="C86" t="s">
        <v>598</v>
      </c>
      <c r="D86" t="s">
        <v>599</v>
      </c>
      <c r="E86" t="s">
        <v>3</v>
      </c>
      <c r="F86">
        <v>107</v>
      </c>
      <c r="G86">
        <v>649.4</v>
      </c>
    </row>
    <row r="87" spans="1:7" hidden="1" x14ac:dyDescent="0.3">
      <c r="A87" s="1">
        <v>45688</v>
      </c>
      <c r="B87" t="s">
        <v>199</v>
      </c>
      <c r="C87" t="s">
        <v>600</v>
      </c>
      <c r="D87" t="s">
        <v>601</v>
      </c>
      <c r="E87" t="s">
        <v>8</v>
      </c>
      <c r="F87">
        <v>78.5</v>
      </c>
      <c r="G87">
        <v>1645.75</v>
      </c>
    </row>
    <row r="88" spans="1:7" hidden="1" x14ac:dyDescent="0.3">
      <c r="A88" s="1">
        <v>45688</v>
      </c>
      <c r="B88" t="s">
        <v>201</v>
      </c>
      <c r="C88" t="s">
        <v>602</v>
      </c>
      <c r="D88" t="s">
        <v>603</v>
      </c>
      <c r="E88" t="s">
        <v>12</v>
      </c>
      <c r="F88">
        <v>144</v>
      </c>
      <c r="G88">
        <v>5524.15</v>
      </c>
    </row>
    <row r="89" spans="1:7" hidden="1" x14ac:dyDescent="0.3">
      <c r="A89" s="1">
        <v>45688</v>
      </c>
      <c r="B89" t="s">
        <v>203</v>
      </c>
      <c r="C89" t="s">
        <v>604</v>
      </c>
      <c r="D89" t="s">
        <v>605</v>
      </c>
      <c r="E89" t="s">
        <v>3</v>
      </c>
      <c r="F89">
        <v>121.5</v>
      </c>
      <c r="G89">
        <v>2935.53</v>
      </c>
    </row>
    <row r="90" spans="1:7" hidden="1" x14ac:dyDescent="0.3">
      <c r="A90" s="1">
        <v>45688</v>
      </c>
      <c r="B90" t="s">
        <v>205</v>
      </c>
      <c r="C90" t="s">
        <v>606</v>
      </c>
      <c r="D90" t="s">
        <v>607</v>
      </c>
      <c r="E90" t="s">
        <v>2</v>
      </c>
      <c r="F90">
        <v>144</v>
      </c>
      <c r="G90">
        <v>2380.2399999999998</v>
      </c>
    </row>
    <row r="91" spans="1:7" hidden="1" x14ac:dyDescent="0.3">
      <c r="A91" s="1">
        <v>45688</v>
      </c>
      <c r="B91" t="s">
        <v>207</v>
      </c>
      <c r="C91" t="s">
        <v>608</v>
      </c>
      <c r="D91" t="s">
        <v>609</v>
      </c>
      <c r="E91" t="s">
        <v>12</v>
      </c>
      <c r="F91">
        <v>71.5</v>
      </c>
      <c r="G91">
        <v>1071.1099999999997</v>
      </c>
    </row>
    <row r="92" spans="1:7" hidden="1" x14ac:dyDescent="0.3">
      <c r="A92" s="1">
        <v>45688</v>
      </c>
      <c r="B92" t="s">
        <v>209</v>
      </c>
      <c r="C92" t="s">
        <v>610</v>
      </c>
      <c r="D92" t="s">
        <v>536</v>
      </c>
      <c r="E92" t="s">
        <v>2</v>
      </c>
      <c r="F92">
        <v>114</v>
      </c>
      <c r="G92">
        <v>1855.32</v>
      </c>
    </row>
    <row r="93" spans="1:7" hidden="1" x14ac:dyDescent="0.3">
      <c r="A93" s="1">
        <v>45688</v>
      </c>
      <c r="B93" t="s">
        <v>211</v>
      </c>
      <c r="C93" t="s">
        <v>611</v>
      </c>
      <c r="D93" t="s">
        <v>612</v>
      </c>
      <c r="E93" t="s">
        <v>9</v>
      </c>
      <c r="F93">
        <v>144</v>
      </c>
      <c r="G93">
        <v>6092.07</v>
      </c>
    </row>
    <row r="94" spans="1:7" hidden="1" x14ac:dyDescent="0.3">
      <c r="A94" s="1">
        <v>45688</v>
      </c>
      <c r="B94" t="s">
        <v>213</v>
      </c>
      <c r="C94" t="s">
        <v>613</v>
      </c>
      <c r="D94" t="s">
        <v>614</v>
      </c>
      <c r="E94" t="s">
        <v>8</v>
      </c>
      <c r="F94">
        <v>151.5</v>
      </c>
      <c r="G94">
        <v>3835.47</v>
      </c>
    </row>
    <row r="95" spans="1:7" hidden="1" x14ac:dyDescent="0.3">
      <c r="A95" s="1">
        <v>45688</v>
      </c>
      <c r="B95" t="s">
        <v>215</v>
      </c>
      <c r="C95" t="s">
        <v>445</v>
      </c>
      <c r="D95" t="s">
        <v>615</v>
      </c>
      <c r="E95" t="s">
        <v>7</v>
      </c>
      <c r="F95">
        <v>137.25</v>
      </c>
      <c r="G95">
        <v>2064.2799999999997</v>
      </c>
    </row>
    <row r="96" spans="1:7" hidden="1" x14ac:dyDescent="0.3">
      <c r="A96" s="1">
        <v>45688</v>
      </c>
      <c r="B96" t="s">
        <v>217</v>
      </c>
      <c r="C96" t="s">
        <v>616</v>
      </c>
      <c r="D96" t="s">
        <v>617</v>
      </c>
      <c r="E96" t="s">
        <v>2</v>
      </c>
      <c r="F96">
        <v>157.5</v>
      </c>
      <c r="G96">
        <v>2482.39</v>
      </c>
    </row>
    <row r="97" spans="1:7" hidden="1" x14ac:dyDescent="0.3">
      <c r="A97" s="1">
        <v>45688</v>
      </c>
      <c r="B97" t="s">
        <v>219</v>
      </c>
      <c r="C97" t="s">
        <v>618</v>
      </c>
      <c r="D97" t="s">
        <v>619</v>
      </c>
      <c r="E97" t="s">
        <v>15</v>
      </c>
      <c r="F97">
        <v>144</v>
      </c>
      <c r="G97">
        <v>2038.13</v>
      </c>
    </row>
    <row r="98" spans="1:7" hidden="1" x14ac:dyDescent="0.3">
      <c r="A98" s="1">
        <v>45688</v>
      </c>
      <c r="B98" t="s">
        <v>221</v>
      </c>
      <c r="C98" t="s">
        <v>620</v>
      </c>
      <c r="D98" t="s">
        <v>621</v>
      </c>
      <c r="E98" t="s">
        <v>2</v>
      </c>
      <c r="F98">
        <v>134.25</v>
      </c>
      <c r="G98">
        <v>2237.9499999999998</v>
      </c>
    </row>
    <row r="99" spans="1:7" hidden="1" x14ac:dyDescent="0.3">
      <c r="A99" s="1">
        <v>45688</v>
      </c>
      <c r="B99" t="s">
        <v>223</v>
      </c>
      <c r="C99" t="s">
        <v>622</v>
      </c>
      <c r="D99" t="s">
        <v>623</v>
      </c>
      <c r="E99" t="s">
        <v>14</v>
      </c>
      <c r="F99">
        <v>144</v>
      </c>
      <c r="G99">
        <v>4653.83</v>
      </c>
    </row>
    <row r="100" spans="1:7" hidden="1" x14ac:dyDescent="0.3">
      <c r="A100" s="1">
        <v>45688</v>
      </c>
      <c r="B100" t="s">
        <v>225</v>
      </c>
      <c r="C100" t="s">
        <v>624</v>
      </c>
      <c r="D100" t="s">
        <v>625</v>
      </c>
      <c r="E100" t="s">
        <v>3</v>
      </c>
      <c r="F100">
        <v>48</v>
      </c>
      <c r="G100">
        <v>677.96</v>
      </c>
    </row>
    <row r="101" spans="1:7" hidden="1" x14ac:dyDescent="0.3">
      <c r="A101" s="1">
        <v>45688</v>
      </c>
      <c r="B101" t="s">
        <v>227</v>
      </c>
      <c r="C101" t="s">
        <v>626</v>
      </c>
      <c r="D101" t="s">
        <v>627</v>
      </c>
      <c r="E101" t="s">
        <v>7</v>
      </c>
      <c r="F101">
        <v>106</v>
      </c>
      <c r="G101">
        <v>2847.57</v>
      </c>
    </row>
    <row r="102" spans="1:7" hidden="1" x14ac:dyDescent="0.3">
      <c r="A102" s="1">
        <v>45688</v>
      </c>
      <c r="B102" t="s">
        <v>229</v>
      </c>
      <c r="C102" t="s">
        <v>628</v>
      </c>
      <c r="D102" t="s">
        <v>629</v>
      </c>
      <c r="E102" t="s">
        <v>2</v>
      </c>
      <c r="F102">
        <v>117.5</v>
      </c>
      <c r="G102">
        <v>1771.49</v>
      </c>
    </row>
    <row r="103" spans="1:7" hidden="1" x14ac:dyDescent="0.3">
      <c r="A103" s="1">
        <v>45688</v>
      </c>
      <c r="B103" t="s">
        <v>231</v>
      </c>
      <c r="C103" t="s">
        <v>630</v>
      </c>
      <c r="D103" t="s">
        <v>631</v>
      </c>
      <c r="E103" t="s">
        <v>2</v>
      </c>
      <c r="F103">
        <v>144</v>
      </c>
      <c r="G103">
        <v>1893.89</v>
      </c>
    </row>
    <row r="104" spans="1:7" hidden="1" x14ac:dyDescent="0.3">
      <c r="A104" s="1">
        <v>45688</v>
      </c>
      <c r="B104" t="s">
        <v>233</v>
      </c>
      <c r="C104" t="s">
        <v>632</v>
      </c>
      <c r="D104" t="s">
        <v>633</v>
      </c>
      <c r="E104" t="s">
        <v>2</v>
      </c>
      <c r="F104">
        <v>100.25</v>
      </c>
      <c r="G104">
        <v>1306.75</v>
      </c>
    </row>
    <row r="105" spans="1:7" hidden="1" x14ac:dyDescent="0.3">
      <c r="A105" s="1">
        <v>45688</v>
      </c>
      <c r="B105" t="s">
        <v>235</v>
      </c>
      <c r="C105" t="s">
        <v>634</v>
      </c>
      <c r="D105" t="s">
        <v>635</v>
      </c>
      <c r="E105" t="s">
        <v>3</v>
      </c>
      <c r="F105">
        <v>0</v>
      </c>
      <c r="G105">
        <v>1252.5800000000002</v>
      </c>
    </row>
    <row r="106" spans="1:7" hidden="1" x14ac:dyDescent="0.3">
      <c r="A106" s="1">
        <v>45688</v>
      </c>
      <c r="B106" t="s">
        <v>237</v>
      </c>
      <c r="C106" t="s">
        <v>636</v>
      </c>
      <c r="D106" t="s">
        <v>637</v>
      </c>
      <c r="E106" t="s">
        <v>5</v>
      </c>
      <c r="F106">
        <v>63</v>
      </c>
      <c r="G106">
        <v>1023.02</v>
      </c>
    </row>
    <row r="107" spans="1:7" hidden="1" x14ac:dyDescent="0.3">
      <c r="A107" s="1">
        <v>45688</v>
      </c>
      <c r="B107" t="s">
        <v>239</v>
      </c>
      <c r="C107" t="s">
        <v>638</v>
      </c>
      <c r="D107" t="s">
        <v>639</v>
      </c>
      <c r="E107" t="s">
        <v>12</v>
      </c>
      <c r="F107">
        <v>157.5</v>
      </c>
      <c r="G107">
        <v>2462.65</v>
      </c>
    </row>
    <row r="108" spans="1:7" hidden="1" x14ac:dyDescent="0.3">
      <c r="A108" s="1">
        <v>45688</v>
      </c>
      <c r="B108" t="s">
        <v>241</v>
      </c>
      <c r="C108" t="s">
        <v>640</v>
      </c>
      <c r="D108" t="s">
        <v>641</v>
      </c>
      <c r="E108" t="s">
        <v>13</v>
      </c>
      <c r="F108">
        <v>144</v>
      </c>
      <c r="G108">
        <v>4890.04</v>
      </c>
    </row>
    <row r="109" spans="1:7" hidden="1" x14ac:dyDescent="0.3">
      <c r="A109" s="1">
        <v>45688</v>
      </c>
      <c r="B109" t="s">
        <v>243</v>
      </c>
      <c r="C109" t="s">
        <v>642</v>
      </c>
      <c r="D109" t="s">
        <v>643</v>
      </c>
      <c r="E109" t="s">
        <v>5</v>
      </c>
      <c r="F109">
        <v>147</v>
      </c>
      <c r="G109">
        <v>1672.2199999999998</v>
      </c>
    </row>
    <row r="110" spans="1:7" hidden="1" x14ac:dyDescent="0.3">
      <c r="A110" s="1">
        <v>45688</v>
      </c>
      <c r="B110" t="s">
        <v>245</v>
      </c>
      <c r="C110" t="s">
        <v>644</v>
      </c>
      <c r="D110" t="s">
        <v>555</v>
      </c>
      <c r="E110" t="s">
        <v>3</v>
      </c>
      <c r="F110">
        <v>71</v>
      </c>
      <c r="G110">
        <v>911.49</v>
      </c>
    </row>
    <row r="111" spans="1:7" hidden="1" x14ac:dyDescent="0.3">
      <c r="A111" s="1">
        <v>45688</v>
      </c>
      <c r="B111" t="s">
        <v>247</v>
      </c>
      <c r="C111" t="s">
        <v>645</v>
      </c>
      <c r="D111" t="s">
        <v>646</v>
      </c>
      <c r="E111" t="s">
        <v>2</v>
      </c>
      <c r="F111">
        <v>135</v>
      </c>
      <c r="G111">
        <v>1870.46</v>
      </c>
    </row>
    <row r="112" spans="1:7" hidden="1" x14ac:dyDescent="0.3">
      <c r="A112" s="1">
        <v>45688</v>
      </c>
      <c r="B112" t="s">
        <v>249</v>
      </c>
      <c r="C112" t="s">
        <v>647</v>
      </c>
      <c r="D112" t="s">
        <v>648</v>
      </c>
      <c r="E112" t="s">
        <v>2</v>
      </c>
      <c r="F112">
        <v>159</v>
      </c>
      <c r="G112">
        <v>2199.1799999999998</v>
      </c>
    </row>
    <row r="113" spans="1:7" hidden="1" x14ac:dyDescent="0.3">
      <c r="A113" s="1">
        <v>45688</v>
      </c>
      <c r="B113" t="s">
        <v>251</v>
      </c>
      <c r="C113" t="s">
        <v>649</v>
      </c>
      <c r="D113" t="s">
        <v>460</v>
      </c>
      <c r="E113" t="s">
        <v>2</v>
      </c>
      <c r="F113">
        <v>22.75</v>
      </c>
      <c r="G113">
        <v>760.03</v>
      </c>
    </row>
    <row r="114" spans="1:7" hidden="1" x14ac:dyDescent="0.3">
      <c r="A114" s="1">
        <v>45688</v>
      </c>
      <c r="B114" t="s">
        <v>253</v>
      </c>
      <c r="C114" t="s">
        <v>650</v>
      </c>
      <c r="D114" t="s">
        <v>651</v>
      </c>
      <c r="E114" t="s">
        <v>5</v>
      </c>
      <c r="F114">
        <v>143</v>
      </c>
      <c r="G114">
        <v>1626.83</v>
      </c>
    </row>
    <row r="115" spans="1:7" hidden="1" x14ac:dyDescent="0.3">
      <c r="A115" s="1">
        <v>45688</v>
      </c>
      <c r="B115" t="s">
        <v>255</v>
      </c>
      <c r="C115" t="s">
        <v>652</v>
      </c>
      <c r="D115" t="s">
        <v>653</v>
      </c>
      <c r="E115" t="s">
        <v>5</v>
      </c>
      <c r="F115">
        <v>77</v>
      </c>
      <c r="G115">
        <v>1044.0200000000002</v>
      </c>
    </row>
    <row r="116" spans="1:7" hidden="1" x14ac:dyDescent="0.3">
      <c r="A116" s="1">
        <v>45688</v>
      </c>
      <c r="B116" t="s">
        <v>257</v>
      </c>
      <c r="C116" t="s">
        <v>654</v>
      </c>
      <c r="D116" t="s">
        <v>655</v>
      </c>
      <c r="E116" t="s">
        <v>5</v>
      </c>
      <c r="F116">
        <v>0</v>
      </c>
      <c r="G116">
        <v>0</v>
      </c>
    </row>
    <row r="117" spans="1:7" hidden="1" x14ac:dyDescent="0.3">
      <c r="A117" s="1">
        <v>45688</v>
      </c>
      <c r="B117" t="s">
        <v>259</v>
      </c>
      <c r="C117" t="s">
        <v>656</v>
      </c>
      <c r="D117" t="s">
        <v>657</v>
      </c>
      <c r="E117" t="s">
        <v>2</v>
      </c>
      <c r="F117">
        <v>105</v>
      </c>
      <c r="G117">
        <v>1661.2299999999998</v>
      </c>
    </row>
    <row r="118" spans="1:7" hidden="1" x14ac:dyDescent="0.3">
      <c r="A118" s="1">
        <v>45688</v>
      </c>
      <c r="B118" t="s">
        <v>261</v>
      </c>
      <c r="C118" t="s">
        <v>658</v>
      </c>
      <c r="D118" t="s">
        <v>659</v>
      </c>
      <c r="E118" t="s">
        <v>13</v>
      </c>
      <c r="F118">
        <v>67.5</v>
      </c>
      <c r="G118">
        <v>1513.4799999999998</v>
      </c>
    </row>
    <row r="119" spans="1:7" hidden="1" x14ac:dyDescent="0.3">
      <c r="A119" s="1">
        <v>45688</v>
      </c>
      <c r="B119" t="s">
        <v>263</v>
      </c>
      <c r="C119" t="s">
        <v>660</v>
      </c>
      <c r="D119" t="s">
        <v>661</v>
      </c>
      <c r="E119" t="s">
        <v>2</v>
      </c>
      <c r="F119">
        <v>114</v>
      </c>
      <c r="G119">
        <v>1410.89</v>
      </c>
    </row>
    <row r="120" spans="1:7" hidden="1" x14ac:dyDescent="0.3">
      <c r="A120" s="1">
        <v>45688</v>
      </c>
      <c r="B120" t="s">
        <v>265</v>
      </c>
      <c r="C120" t="s">
        <v>662</v>
      </c>
      <c r="D120" t="s">
        <v>646</v>
      </c>
      <c r="E120" t="s">
        <v>7</v>
      </c>
      <c r="F120">
        <v>144</v>
      </c>
      <c r="G120">
        <v>5476.56</v>
      </c>
    </row>
    <row r="121" spans="1:7" hidden="1" x14ac:dyDescent="0.3">
      <c r="A121" s="1">
        <v>45688</v>
      </c>
      <c r="B121" t="s">
        <v>267</v>
      </c>
      <c r="C121" t="s">
        <v>663</v>
      </c>
      <c r="D121" t="s">
        <v>664</v>
      </c>
      <c r="E121" t="s">
        <v>10</v>
      </c>
      <c r="F121">
        <v>114</v>
      </c>
      <c r="G121">
        <v>2099.4</v>
      </c>
    </row>
    <row r="122" spans="1:7" hidden="1" x14ac:dyDescent="0.3">
      <c r="A122" s="1">
        <v>45688</v>
      </c>
      <c r="B122" t="s">
        <v>269</v>
      </c>
      <c r="C122" t="s">
        <v>665</v>
      </c>
      <c r="D122" t="s">
        <v>666</v>
      </c>
      <c r="E122" t="s">
        <v>2</v>
      </c>
      <c r="F122">
        <v>144</v>
      </c>
      <c r="G122">
        <v>1972.5500000000002</v>
      </c>
    </row>
    <row r="123" spans="1:7" hidden="1" x14ac:dyDescent="0.3">
      <c r="A123" s="1">
        <v>45688</v>
      </c>
      <c r="B123" t="s">
        <v>271</v>
      </c>
      <c r="C123" t="s">
        <v>667</v>
      </c>
      <c r="D123" t="s">
        <v>668</v>
      </c>
      <c r="E123" t="s">
        <v>2</v>
      </c>
      <c r="F123">
        <v>128.5</v>
      </c>
      <c r="G123">
        <v>1586.5400000000002</v>
      </c>
    </row>
    <row r="124" spans="1:7" hidden="1" x14ac:dyDescent="0.3">
      <c r="A124" s="1">
        <v>45688</v>
      </c>
      <c r="B124" t="s">
        <v>273</v>
      </c>
      <c r="C124" t="s">
        <v>669</v>
      </c>
      <c r="D124" t="s">
        <v>670</v>
      </c>
      <c r="E124" t="s">
        <v>3</v>
      </c>
      <c r="F124">
        <v>147.25</v>
      </c>
      <c r="G124">
        <v>1729.66</v>
      </c>
    </row>
    <row r="125" spans="1:7" hidden="1" x14ac:dyDescent="0.3">
      <c r="A125" s="1">
        <v>45688</v>
      </c>
      <c r="B125" t="s">
        <v>275</v>
      </c>
      <c r="C125" t="s">
        <v>671</v>
      </c>
      <c r="D125" t="s">
        <v>672</v>
      </c>
      <c r="E125" t="s">
        <v>13</v>
      </c>
      <c r="F125">
        <v>109.5</v>
      </c>
      <c r="G125">
        <v>1861.0500000000002</v>
      </c>
    </row>
    <row r="126" spans="1:7" hidden="1" x14ac:dyDescent="0.3">
      <c r="A126" s="1">
        <v>45688</v>
      </c>
      <c r="B126" t="s">
        <v>277</v>
      </c>
      <c r="C126" t="s">
        <v>673</v>
      </c>
      <c r="D126" t="s">
        <v>674</v>
      </c>
      <c r="E126" t="s">
        <v>3</v>
      </c>
      <c r="F126">
        <v>148.75</v>
      </c>
      <c r="G126">
        <v>1775.1</v>
      </c>
    </row>
    <row r="127" spans="1:7" hidden="1" x14ac:dyDescent="0.3">
      <c r="A127" s="1">
        <v>45688</v>
      </c>
      <c r="B127" t="s">
        <v>279</v>
      </c>
      <c r="C127" t="s">
        <v>675</v>
      </c>
      <c r="D127" t="s">
        <v>676</v>
      </c>
      <c r="E127" t="s">
        <v>13</v>
      </c>
      <c r="F127">
        <v>105.75</v>
      </c>
      <c r="G127">
        <v>2257.94</v>
      </c>
    </row>
    <row r="128" spans="1:7" hidden="1" x14ac:dyDescent="0.3">
      <c r="A128" s="1">
        <v>45688</v>
      </c>
      <c r="B128" t="s">
        <v>281</v>
      </c>
      <c r="C128" t="s">
        <v>677</v>
      </c>
      <c r="D128" t="s">
        <v>678</v>
      </c>
      <c r="E128" t="s">
        <v>7</v>
      </c>
      <c r="F128">
        <v>126.25</v>
      </c>
      <c r="G128">
        <v>3281.18</v>
      </c>
    </row>
    <row r="129" spans="1:7" hidden="1" x14ac:dyDescent="0.3">
      <c r="A129" s="1">
        <v>45688</v>
      </c>
      <c r="B129" t="s">
        <v>283</v>
      </c>
      <c r="C129" t="s">
        <v>679</v>
      </c>
      <c r="D129" t="s">
        <v>680</v>
      </c>
      <c r="E129" t="s">
        <v>3</v>
      </c>
      <c r="F129">
        <v>105</v>
      </c>
      <c r="G129">
        <v>1232.4100000000001</v>
      </c>
    </row>
    <row r="130" spans="1:7" hidden="1" x14ac:dyDescent="0.3">
      <c r="A130" s="1">
        <v>45688</v>
      </c>
      <c r="B130" t="s">
        <v>285</v>
      </c>
      <c r="C130" t="s">
        <v>681</v>
      </c>
      <c r="D130" t="s">
        <v>504</v>
      </c>
      <c r="E130" t="s">
        <v>5</v>
      </c>
      <c r="F130">
        <v>147</v>
      </c>
      <c r="G130">
        <v>1669.41</v>
      </c>
    </row>
    <row r="131" spans="1:7" hidden="1" x14ac:dyDescent="0.3">
      <c r="A131" s="1">
        <v>45688</v>
      </c>
      <c r="B131" t="s">
        <v>287</v>
      </c>
      <c r="C131" t="s">
        <v>682</v>
      </c>
      <c r="D131" t="s">
        <v>683</v>
      </c>
      <c r="E131" t="s">
        <v>5</v>
      </c>
      <c r="F131">
        <v>147</v>
      </c>
      <c r="G131">
        <v>1558.6</v>
      </c>
    </row>
    <row r="132" spans="1:7" hidden="1" x14ac:dyDescent="0.3">
      <c r="A132" s="1">
        <v>45688</v>
      </c>
      <c r="B132" t="s">
        <v>289</v>
      </c>
      <c r="C132" t="s">
        <v>684</v>
      </c>
      <c r="D132" t="s">
        <v>685</v>
      </c>
      <c r="E132" t="s">
        <v>5</v>
      </c>
      <c r="F132">
        <v>147</v>
      </c>
      <c r="G132">
        <v>1667.37</v>
      </c>
    </row>
    <row r="133" spans="1:7" hidden="1" x14ac:dyDescent="0.3">
      <c r="A133" s="1">
        <v>45688</v>
      </c>
      <c r="B133" t="s">
        <v>291</v>
      </c>
      <c r="C133" t="s">
        <v>686</v>
      </c>
      <c r="D133" t="s">
        <v>534</v>
      </c>
      <c r="E133" t="s">
        <v>14</v>
      </c>
      <c r="F133">
        <v>144</v>
      </c>
      <c r="G133">
        <v>3018.96</v>
      </c>
    </row>
    <row r="134" spans="1:7" hidden="1" x14ac:dyDescent="0.3">
      <c r="A134" s="1">
        <v>45688</v>
      </c>
      <c r="B134" t="s">
        <v>293</v>
      </c>
      <c r="C134" t="s">
        <v>687</v>
      </c>
      <c r="D134" t="s">
        <v>688</v>
      </c>
      <c r="E134" t="s">
        <v>2</v>
      </c>
      <c r="F134">
        <v>156.5</v>
      </c>
      <c r="G134">
        <v>2390.25</v>
      </c>
    </row>
    <row r="135" spans="1:7" hidden="1" x14ac:dyDescent="0.3">
      <c r="A135" s="1">
        <v>45688</v>
      </c>
      <c r="B135" t="s">
        <v>295</v>
      </c>
      <c r="C135" t="s">
        <v>689</v>
      </c>
      <c r="D135" t="s">
        <v>690</v>
      </c>
      <c r="E135" t="s">
        <v>5</v>
      </c>
      <c r="F135">
        <v>127</v>
      </c>
      <c r="G135">
        <v>1474.7600000000002</v>
      </c>
    </row>
    <row r="136" spans="1:7" hidden="1" x14ac:dyDescent="0.3">
      <c r="A136" s="1">
        <v>45688</v>
      </c>
      <c r="B136" t="s">
        <v>297</v>
      </c>
      <c r="C136" t="s">
        <v>691</v>
      </c>
      <c r="D136" t="s">
        <v>648</v>
      </c>
      <c r="E136" t="s">
        <v>2</v>
      </c>
      <c r="F136">
        <v>127</v>
      </c>
      <c r="G136">
        <v>2067.4399999999996</v>
      </c>
    </row>
    <row r="137" spans="1:7" hidden="1" x14ac:dyDescent="0.3">
      <c r="A137" s="1">
        <v>45688</v>
      </c>
      <c r="B137" t="s">
        <v>299</v>
      </c>
      <c r="C137" t="s">
        <v>692</v>
      </c>
      <c r="D137" t="s">
        <v>551</v>
      </c>
      <c r="E137" t="s">
        <v>10</v>
      </c>
      <c r="F137">
        <v>113.5</v>
      </c>
      <c r="G137">
        <v>2244.63</v>
      </c>
    </row>
    <row r="138" spans="1:7" hidden="1" x14ac:dyDescent="0.3">
      <c r="A138" s="1">
        <v>45688</v>
      </c>
      <c r="B138" t="s">
        <v>301</v>
      </c>
      <c r="C138" t="s">
        <v>693</v>
      </c>
      <c r="D138" t="s">
        <v>694</v>
      </c>
      <c r="E138" t="s">
        <v>5</v>
      </c>
      <c r="F138">
        <v>56</v>
      </c>
      <c r="G138">
        <v>858.04</v>
      </c>
    </row>
    <row r="139" spans="1:7" hidden="1" x14ac:dyDescent="0.3">
      <c r="A139" s="1">
        <v>45688</v>
      </c>
      <c r="B139" t="s">
        <v>303</v>
      </c>
      <c r="C139" t="s">
        <v>695</v>
      </c>
      <c r="D139" t="s">
        <v>696</v>
      </c>
      <c r="E139" t="s">
        <v>13</v>
      </c>
      <c r="F139">
        <v>100.5</v>
      </c>
      <c r="G139">
        <v>1934.5199999999998</v>
      </c>
    </row>
    <row r="140" spans="1:7" hidden="1" x14ac:dyDescent="0.3">
      <c r="A140" s="1">
        <v>45688</v>
      </c>
      <c r="B140" t="s">
        <v>305</v>
      </c>
      <c r="C140" t="s">
        <v>697</v>
      </c>
      <c r="D140" t="s">
        <v>698</v>
      </c>
      <c r="E140" t="s">
        <v>5</v>
      </c>
      <c r="F140">
        <v>145.5</v>
      </c>
      <c r="G140">
        <v>1655.43</v>
      </c>
    </row>
    <row r="141" spans="1:7" hidden="1" x14ac:dyDescent="0.3">
      <c r="A141" s="1">
        <v>45688</v>
      </c>
      <c r="B141" t="s">
        <v>307</v>
      </c>
      <c r="C141" t="s">
        <v>699</v>
      </c>
      <c r="D141" t="s">
        <v>456</v>
      </c>
      <c r="E141" t="s">
        <v>13</v>
      </c>
      <c r="F141">
        <v>75.75</v>
      </c>
      <c r="G141">
        <v>1344.38</v>
      </c>
    </row>
    <row r="142" spans="1:7" hidden="1" x14ac:dyDescent="0.3">
      <c r="A142" s="1">
        <v>45688</v>
      </c>
      <c r="B142" t="s">
        <v>309</v>
      </c>
      <c r="C142" t="s">
        <v>700</v>
      </c>
      <c r="D142" t="s">
        <v>701</v>
      </c>
      <c r="E142" t="s">
        <v>10</v>
      </c>
      <c r="F142">
        <v>157</v>
      </c>
      <c r="G142">
        <v>3450.69</v>
      </c>
    </row>
    <row r="143" spans="1:7" hidden="1" x14ac:dyDescent="0.3">
      <c r="A143" s="1">
        <v>45688</v>
      </c>
      <c r="B143" t="s">
        <v>311</v>
      </c>
      <c r="C143" t="s">
        <v>702</v>
      </c>
      <c r="D143" t="s">
        <v>703</v>
      </c>
      <c r="E143" t="s">
        <v>5</v>
      </c>
      <c r="F143">
        <v>117</v>
      </c>
      <c r="G143">
        <v>1619.94</v>
      </c>
    </row>
    <row r="144" spans="1:7" hidden="1" x14ac:dyDescent="0.3">
      <c r="A144" s="1">
        <v>45688</v>
      </c>
      <c r="B144" t="s">
        <v>313</v>
      </c>
      <c r="C144" t="s">
        <v>704</v>
      </c>
      <c r="D144" t="s">
        <v>705</v>
      </c>
      <c r="E144" t="s">
        <v>13</v>
      </c>
      <c r="F144">
        <v>103.5</v>
      </c>
      <c r="G144">
        <v>1726.82</v>
      </c>
    </row>
    <row r="145" spans="1:7" hidden="1" x14ac:dyDescent="0.3">
      <c r="A145" s="1">
        <v>45688</v>
      </c>
      <c r="B145" t="s">
        <v>315</v>
      </c>
      <c r="C145" t="s">
        <v>706</v>
      </c>
      <c r="D145" t="s">
        <v>707</v>
      </c>
      <c r="E145" t="s">
        <v>6</v>
      </c>
      <c r="F145">
        <v>158.75</v>
      </c>
      <c r="G145">
        <v>1921.2700000000002</v>
      </c>
    </row>
    <row r="146" spans="1:7" hidden="1" x14ac:dyDescent="0.3">
      <c r="A146" s="1">
        <v>45688</v>
      </c>
      <c r="B146" t="s">
        <v>317</v>
      </c>
      <c r="C146" t="s">
        <v>708</v>
      </c>
      <c r="D146" t="s">
        <v>709</v>
      </c>
      <c r="E146" t="s">
        <v>3</v>
      </c>
      <c r="F146">
        <v>45</v>
      </c>
      <c r="G146">
        <v>1446.5500000000002</v>
      </c>
    </row>
    <row r="147" spans="1:7" hidden="1" x14ac:dyDescent="0.3">
      <c r="A147" s="1">
        <v>45688</v>
      </c>
      <c r="B147" t="s">
        <v>319</v>
      </c>
      <c r="C147" t="s">
        <v>710</v>
      </c>
      <c r="D147" t="s">
        <v>711</v>
      </c>
      <c r="E147" t="s">
        <v>2</v>
      </c>
      <c r="F147">
        <v>161</v>
      </c>
      <c r="G147">
        <v>2443.4500000000003</v>
      </c>
    </row>
    <row r="148" spans="1:7" hidden="1" x14ac:dyDescent="0.3">
      <c r="A148" s="1">
        <v>45688</v>
      </c>
      <c r="B148" t="s">
        <v>321</v>
      </c>
      <c r="C148" t="s">
        <v>712</v>
      </c>
      <c r="D148" t="s">
        <v>713</v>
      </c>
      <c r="E148" t="s">
        <v>2</v>
      </c>
      <c r="F148">
        <v>159</v>
      </c>
      <c r="G148">
        <v>2559.25</v>
      </c>
    </row>
    <row r="149" spans="1:7" hidden="1" x14ac:dyDescent="0.3">
      <c r="A149" s="1">
        <v>45688</v>
      </c>
      <c r="B149" t="s">
        <v>323</v>
      </c>
      <c r="C149" t="s">
        <v>714</v>
      </c>
      <c r="D149" t="s">
        <v>715</v>
      </c>
      <c r="E149" t="s">
        <v>13</v>
      </c>
      <c r="F149">
        <v>106</v>
      </c>
      <c r="G149">
        <v>1864.89</v>
      </c>
    </row>
    <row r="150" spans="1:7" hidden="1" x14ac:dyDescent="0.3">
      <c r="A150" s="1">
        <v>45688</v>
      </c>
      <c r="B150" t="s">
        <v>325</v>
      </c>
      <c r="C150" t="s">
        <v>716</v>
      </c>
      <c r="D150" t="s">
        <v>717</v>
      </c>
      <c r="E150" t="s">
        <v>13</v>
      </c>
      <c r="F150">
        <v>84</v>
      </c>
      <c r="G150">
        <v>1101.07</v>
      </c>
    </row>
    <row r="151" spans="1:7" hidden="1" x14ac:dyDescent="0.3">
      <c r="A151" s="1">
        <v>45688</v>
      </c>
      <c r="B151" t="s">
        <v>327</v>
      </c>
      <c r="C151" t="s">
        <v>718</v>
      </c>
      <c r="D151" t="s">
        <v>719</v>
      </c>
      <c r="E151" t="s">
        <v>5</v>
      </c>
      <c r="F151">
        <v>109</v>
      </c>
      <c r="G151">
        <v>1458.2800000000002</v>
      </c>
    </row>
    <row r="152" spans="1:7" hidden="1" x14ac:dyDescent="0.3">
      <c r="A152" s="1">
        <v>45688</v>
      </c>
      <c r="B152" t="s">
        <v>329</v>
      </c>
      <c r="C152" t="s">
        <v>720</v>
      </c>
      <c r="D152" t="s">
        <v>721</v>
      </c>
      <c r="E152" t="s">
        <v>6</v>
      </c>
      <c r="F152">
        <v>97.5</v>
      </c>
      <c r="G152">
        <v>1465.98</v>
      </c>
    </row>
    <row r="153" spans="1:7" hidden="1" x14ac:dyDescent="0.3">
      <c r="A153" s="1">
        <v>45688</v>
      </c>
      <c r="B153" t="s">
        <v>331</v>
      </c>
      <c r="C153" t="s">
        <v>722</v>
      </c>
      <c r="D153" t="s">
        <v>723</v>
      </c>
      <c r="E153" t="s">
        <v>3</v>
      </c>
      <c r="F153">
        <v>32</v>
      </c>
      <c r="G153">
        <v>269.47000000000003</v>
      </c>
    </row>
    <row r="154" spans="1:7" hidden="1" x14ac:dyDescent="0.3">
      <c r="A154" s="1">
        <v>45688</v>
      </c>
      <c r="B154" t="s">
        <v>333</v>
      </c>
      <c r="C154" t="s">
        <v>724</v>
      </c>
      <c r="D154" t="s">
        <v>725</v>
      </c>
      <c r="E154" t="s">
        <v>14</v>
      </c>
      <c r="F154">
        <v>20</v>
      </c>
      <c r="G154">
        <v>216.52</v>
      </c>
    </row>
    <row r="155" spans="1:7" hidden="1" x14ac:dyDescent="0.3">
      <c r="A155" s="1">
        <v>45688</v>
      </c>
      <c r="B155" t="s">
        <v>335</v>
      </c>
      <c r="C155" t="s">
        <v>726</v>
      </c>
      <c r="D155" t="s">
        <v>551</v>
      </c>
      <c r="E155" t="s">
        <v>2</v>
      </c>
      <c r="F155">
        <v>22.5</v>
      </c>
      <c r="G155">
        <v>498.25</v>
      </c>
    </row>
    <row r="156" spans="1:7" hidden="1" x14ac:dyDescent="0.3">
      <c r="A156" s="1">
        <v>45688</v>
      </c>
      <c r="B156" t="s">
        <v>337</v>
      </c>
      <c r="C156" t="s">
        <v>727</v>
      </c>
      <c r="D156" t="s">
        <v>728</v>
      </c>
      <c r="E156" t="s">
        <v>5</v>
      </c>
      <c r="F156">
        <v>0</v>
      </c>
      <c r="G156">
        <v>566.08000000000004</v>
      </c>
    </row>
    <row r="157" spans="1:7" hidden="1" x14ac:dyDescent="0.3">
      <c r="A157" s="1">
        <v>45688</v>
      </c>
      <c r="B157" t="s">
        <v>339</v>
      </c>
      <c r="C157" t="s">
        <v>729</v>
      </c>
      <c r="D157" t="s">
        <v>641</v>
      </c>
      <c r="E157" t="s">
        <v>8</v>
      </c>
      <c r="F157">
        <v>0</v>
      </c>
      <c r="G157">
        <v>466.08</v>
      </c>
    </row>
    <row r="158" spans="1:7" hidden="1" x14ac:dyDescent="0.3">
      <c r="A158" s="1">
        <v>45688</v>
      </c>
      <c r="B158" t="s">
        <v>341</v>
      </c>
      <c r="C158" t="s">
        <v>730</v>
      </c>
      <c r="D158" t="s">
        <v>731</v>
      </c>
      <c r="E158" t="s">
        <v>13</v>
      </c>
      <c r="F158">
        <v>0</v>
      </c>
      <c r="G158">
        <v>676.83</v>
      </c>
    </row>
    <row r="159" spans="1:7" hidden="1" x14ac:dyDescent="0.3">
      <c r="A159" s="1">
        <v>45688</v>
      </c>
      <c r="B159" t="s">
        <v>343</v>
      </c>
      <c r="C159" t="s">
        <v>726</v>
      </c>
      <c r="D159" t="s">
        <v>551</v>
      </c>
      <c r="E159" t="s">
        <v>2</v>
      </c>
      <c r="F159">
        <v>0</v>
      </c>
      <c r="G159">
        <v>11.58</v>
      </c>
    </row>
    <row r="160" spans="1:7" hidden="1" x14ac:dyDescent="0.3">
      <c r="A160" s="1">
        <v>45688</v>
      </c>
      <c r="B160" t="s">
        <v>344</v>
      </c>
      <c r="C160" t="s">
        <v>732</v>
      </c>
      <c r="D160" t="s">
        <v>733</v>
      </c>
      <c r="E160" t="s">
        <v>5</v>
      </c>
      <c r="F160">
        <v>0</v>
      </c>
      <c r="G160">
        <v>516.08000000000004</v>
      </c>
    </row>
    <row r="161" spans="1:7" hidden="1" x14ac:dyDescent="0.3">
      <c r="A161" s="1">
        <v>45688</v>
      </c>
      <c r="B161" t="s">
        <v>346</v>
      </c>
      <c r="C161" t="s">
        <v>734</v>
      </c>
      <c r="D161" t="s">
        <v>440</v>
      </c>
      <c r="E161" t="s">
        <v>5</v>
      </c>
      <c r="F161">
        <v>0</v>
      </c>
      <c r="G161">
        <v>516.08000000000004</v>
      </c>
    </row>
    <row r="162" spans="1:7" hidden="1" x14ac:dyDescent="0.3">
      <c r="A162" s="1">
        <v>45688</v>
      </c>
      <c r="B162" t="s">
        <v>426</v>
      </c>
      <c r="C162" t="s">
        <v>735</v>
      </c>
      <c r="D162" t="s">
        <v>736</v>
      </c>
      <c r="E162" t="s">
        <v>5</v>
      </c>
      <c r="F162">
        <v>0</v>
      </c>
      <c r="G162">
        <v>0</v>
      </c>
    </row>
    <row r="163" spans="1:7" hidden="1" x14ac:dyDescent="0.3">
      <c r="A163" s="1">
        <v>45688</v>
      </c>
      <c r="B163" t="s">
        <v>348</v>
      </c>
      <c r="C163" t="s">
        <v>720</v>
      </c>
      <c r="D163" t="s">
        <v>721</v>
      </c>
      <c r="E163" t="s">
        <v>6</v>
      </c>
      <c r="F163">
        <v>0</v>
      </c>
      <c r="G163">
        <v>23.91</v>
      </c>
    </row>
    <row r="164" spans="1:7" hidden="1" x14ac:dyDescent="0.3">
      <c r="A164" s="1">
        <v>45688</v>
      </c>
      <c r="B164" t="s">
        <v>349</v>
      </c>
      <c r="C164" t="s">
        <v>737</v>
      </c>
      <c r="D164" t="s">
        <v>738</v>
      </c>
      <c r="E164" t="s">
        <v>5</v>
      </c>
      <c r="F164">
        <v>0</v>
      </c>
      <c r="G164">
        <v>466.08</v>
      </c>
    </row>
    <row r="165" spans="1:7" x14ac:dyDescent="0.3">
      <c r="A165" s="1">
        <v>45688</v>
      </c>
      <c r="B165" t="s">
        <v>351</v>
      </c>
      <c r="C165" t="s">
        <v>739</v>
      </c>
      <c r="D165" t="s">
        <v>519</v>
      </c>
      <c r="E165" t="s">
        <v>2</v>
      </c>
      <c r="F165">
        <v>0</v>
      </c>
      <c r="G165">
        <v>16.079999999999998</v>
      </c>
    </row>
    <row r="166" spans="1:7" hidden="1" x14ac:dyDescent="0.3">
      <c r="A166" s="1">
        <v>45688</v>
      </c>
      <c r="B166" t="s">
        <v>353</v>
      </c>
      <c r="C166" t="s">
        <v>740</v>
      </c>
      <c r="D166" t="s">
        <v>741</v>
      </c>
      <c r="E166" t="s">
        <v>5</v>
      </c>
      <c r="F166">
        <v>0</v>
      </c>
      <c r="G166">
        <v>466.08</v>
      </c>
    </row>
    <row r="167" spans="1:7" hidden="1" x14ac:dyDescent="0.3">
      <c r="A167" s="1">
        <v>45688</v>
      </c>
      <c r="B167" t="s">
        <v>355</v>
      </c>
      <c r="C167" t="s">
        <v>742</v>
      </c>
      <c r="D167" t="s">
        <v>743</v>
      </c>
      <c r="E167" t="s">
        <v>5</v>
      </c>
      <c r="F167">
        <v>0</v>
      </c>
      <c r="G167">
        <v>466.08</v>
      </c>
    </row>
    <row r="168" spans="1:7" hidden="1" x14ac:dyDescent="0.3">
      <c r="A168" s="1">
        <v>45688</v>
      </c>
      <c r="B168" t="s">
        <v>357</v>
      </c>
      <c r="C168" t="s">
        <v>744</v>
      </c>
      <c r="D168" t="s">
        <v>745</v>
      </c>
      <c r="E168" t="s">
        <v>3</v>
      </c>
      <c r="F168">
        <v>0</v>
      </c>
      <c r="G168">
        <v>16.079999999999998</v>
      </c>
    </row>
    <row r="169" spans="1:7" hidden="1" x14ac:dyDescent="0.3">
      <c r="A169" s="1">
        <v>45688</v>
      </c>
      <c r="B169" t="s">
        <v>359</v>
      </c>
      <c r="C169" t="s">
        <v>746</v>
      </c>
      <c r="D169" t="s">
        <v>747</v>
      </c>
      <c r="E169" t="s">
        <v>3</v>
      </c>
      <c r="F169">
        <v>0</v>
      </c>
      <c r="G169">
        <v>7.08</v>
      </c>
    </row>
    <row r="170" spans="1:7" hidden="1" x14ac:dyDescent="0.3">
      <c r="A170" s="1">
        <v>45688</v>
      </c>
      <c r="B170" t="s">
        <v>361</v>
      </c>
      <c r="C170" t="s">
        <v>748</v>
      </c>
      <c r="D170" t="s">
        <v>749</v>
      </c>
      <c r="E170" t="s">
        <v>5</v>
      </c>
      <c r="F170">
        <v>0</v>
      </c>
      <c r="G170">
        <v>62.58</v>
      </c>
    </row>
    <row r="171" spans="1:7" hidden="1" x14ac:dyDescent="0.3">
      <c r="A171" s="1">
        <v>45688</v>
      </c>
      <c r="B171" t="s">
        <v>363</v>
      </c>
      <c r="C171" t="s">
        <v>750</v>
      </c>
      <c r="D171" t="s">
        <v>446</v>
      </c>
      <c r="E171" t="s">
        <v>11</v>
      </c>
      <c r="F171">
        <v>0</v>
      </c>
      <c r="G171">
        <v>289.39999999999998</v>
      </c>
    </row>
    <row r="172" spans="1:7" hidden="1" x14ac:dyDescent="0.3">
      <c r="A172" s="1">
        <v>45688</v>
      </c>
      <c r="B172" t="s">
        <v>365</v>
      </c>
      <c r="C172" t="s">
        <v>459</v>
      </c>
      <c r="D172" t="s">
        <v>460</v>
      </c>
      <c r="E172" t="s">
        <v>11</v>
      </c>
      <c r="F172">
        <v>0</v>
      </c>
      <c r="G172">
        <v>1450</v>
      </c>
    </row>
    <row r="173" spans="1:7" hidden="1" x14ac:dyDescent="0.3">
      <c r="A173" s="1">
        <v>45716</v>
      </c>
      <c r="B173" t="s">
        <v>29</v>
      </c>
      <c r="C173" t="s">
        <v>437</v>
      </c>
      <c r="D173" t="s">
        <v>438</v>
      </c>
      <c r="E173" t="s">
        <v>2</v>
      </c>
      <c r="F173">
        <v>295.5</v>
      </c>
      <c r="G173">
        <v>4052.1499999999996</v>
      </c>
    </row>
    <row r="174" spans="1:7" hidden="1" x14ac:dyDescent="0.3">
      <c r="A174" s="1">
        <v>45716</v>
      </c>
      <c r="B174" t="s">
        <v>41</v>
      </c>
      <c r="C174" t="s">
        <v>449</v>
      </c>
      <c r="D174" t="s">
        <v>450</v>
      </c>
      <c r="E174" t="s">
        <v>15</v>
      </c>
      <c r="F174">
        <v>279</v>
      </c>
      <c r="G174">
        <v>6107.7899999999991</v>
      </c>
    </row>
    <row r="175" spans="1:7" hidden="1" x14ac:dyDescent="0.3">
      <c r="A175" s="1">
        <v>45716</v>
      </c>
      <c r="B175" t="s">
        <v>31</v>
      </c>
      <c r="C175" t="s">
        <v>439</v>
      </c>
      <c r="D175" t="s">
        <v>440</v>
      </c>
      <c r="E175" t="s">
        <v>2</v>
      </c>
      <c r="F175">
        <v>144.25</v>
      </c>
      <c r="G175">
        <v>4553.9799999999996</v>
      </c>
    </row>
    <row r="176" spans="1:7" hidden="1" x14ac:dyDescent="0.3">
      <c r="A176" s="1">
        <v>45716</v>
      </c>
      <c r="B176" t="s">
        <v>43</v>
      </c>
      <c r="C176" t="s">
        <v>451</v>
      </c>
      <c r="D176" t="s">
        <v>452</v>
      </c>
      <c r="E176" t="s">
        <v>3</v>
      </c>
      <c r="F176">
        <v>280.25</v>
      </c>
      <c r="G176">
        <v>6187.59</v>
      </c>
    </row>
    <row r="177" spans="1:7" hidden="1" x14ac:dyDescent="0.3">
      <c r="A177" s="1">
        <v>45716</v>
      </c>
      <c r="B177" t="s">
        <v>51</v>
      </c>
      <c r="C177" t="s">
        <v>459</v>
      </c>
      <c r="D177" t="s">
        <v>460</v>
      </c>
      <c r="E177" t="s">
        <v>13</v>
      </c>
      <c r="F177">
        <v>229.5</v>
      </c>
      <c r="G177">
        <v>14497.73</v>
      </c>
    </row>
    <row r="178" spans="1:7" hidden="1" x14ac:dyDescent="0.3">
      <c r="A178" s="1">
        <v>45716</v>
      </c>
      <c r="B178" t="s">
        <v>47</v>
      </c>
      <c r="C178" t="s">
        <v>455</v>
      </c>
      <c r="D178" t="s">
        <v>456</v>
      </c>
      <c r="E178" t="s">
        <v>4</v>
      </c>
      <c r="F178">
        <v>225.25</v>
      </c>
      <c r="G178">
        <v>4820.8100000000004</v>
      </c>
    </row>
    <row r="179" spans="1:7" hidden="1" x14ac:dyDescent="0.3">
      <c r="A179" s="1">
        <v>45716</v>
      </c>
      <c r="B179" t="s">
        <v>55</v>
      </c>
      <c r="C179" t="s">
        <v>463</v>
      </c>
      <c r="D179" t="s">
        <v>464</v>
      </c>
      <c r="E179" t="s">
        <v>11</v>
      </c>
      <c r="F179">
        <v>262.5</v>
      </c>
      <c r="G179">
        <v>6582.170000000001</v>
      </c>
    </row>
    <row r="180" spans="1:7" hidden="1" x14ac:dyDescent="0.3">
      <c r="A180" s="1">
        <v>45716</v>
      </c>
      <c r="B180" t="s">
        <v>45</v>
      </c>
      <c r="C180" t="s">
        <v>453</v>
      </c>
      <c r="D180" t="s">
        <v>454</v>
      </c>
      <c r="E180" t="s">
        <v>3</v>
      </c>
      <c r="F180">
        <v>297.25</v>
      </c>
      <c r="G180">
        <v>5920.2799999999988</v>
      </c>
    </row>
    <row r="181" spans="1:7" hidden="1" x14ac:dyDescent="0.3">
      <c r="A181" s="1">
        <v>45716</v>
      </c>
      <c r="B181" t="s">
        <v>53</v>
      </c>
      <c r="C181" t="s">
        <v>461</v>
      </c>
      <c r="D181" t="s">
        <v>462</v>
      </c>
      <c r="E181" t="s">
        <v>13</v>
      </c>
      <c r="F181">
        <v>239</v>
      </c>
      <c r="G181">
        <v>4643.78</v>
      </c>
    </row>
    <row r="182" spans="1:7" hidden="1" x14ac:dyDescent="0.3">
      <c r="A182" s="1">
        <v>45716</v>
      </c>
      <c r="B182" t="s">
        <v>57</v>
      </c>
      <c r="C182" t="s">
        <v>465</v>
      </c>
      <c r="D182" t="s">
        <v>466</v>
      </c>
      <c r="E182" t="s">
        <v>14</v>
      </c>
      <c r="F182">
        <v>296</v>
      </c>
      <c r="G182">
        <v>19568</v>
      </c>
    </row>
    <row r="183" spans="1:7" hidden="1" x14ac:dyDescent="0.3">
      <c r="A183" s="1">
        <v>45716</v>
      </c>
      <c r="B183" t="s">
        <v>33</v>
      </c>
      <c r="C183" t="s">
        <v>441</v>
      </c>
      <c r="D183" t="s">
        <v>442</v>
      </c>
      <c r="E183" t="s">
        <v>2</v>
      </c>
      <c r="F183">
        <v>174</v>
      </c>
      <c r="G183">
        <v>3465.61</v>
      </c>
    </row>
    <row r="184" spans="1:7" hidden="1" x14ac:dyDescent="0.3">
      <c r="A184" s="1">
        <v>45716</v>
      </c>
      <c r="B184" t="s">
        <v>35</v>
      </c>
      <c r="C184" t="s">
        <v>443</v>
      </c>
      <c r="D184" t="s">
        <v>444</v>
      </c>
      <c r="E184" t="s">
        <v>2</v>
      </c>
      <c r="F184">
        <v>283.5</v>
      </c>
      <c r="G184">
        <v>5669.22</v>
      </c>
    </row>
    <row r="185" spans="1:7" hidden="1" x14ac:dyDescent="0.3">
      <c r="A185" s="1">
        <v>45716</v>
      </c>
      <c r="B185" t="s">
        <v>37</v>
      </c>
      <c r="C185" t="s">
        <v>445</v>
      </c>
      <c r="D185" t="s">
        <v>446</v>
      </c>
      <c r="E185" t="s">
        <v>2</v>
      </c>
      <c r="F185">
        <v>296</v>
      </c>
      <c r="G185">
        <v>5274.8799999999992</v>
      </c>
    </row>
    <row r="186" spans="1:7" hidden="1" x14ac:dyDescent="0.3">
      <c r="A186" s="1">
        <v>45716</v>
      </c>
      <c r="B186" t="s">
        <v>39</v>
      </c>
      <c r="C186" t="s">
        <v>447</v>
      </c>
      <c r="D186" t="s">
        <v>448</v>
      </c>
      <c r="E186" t="s">
        <v>2</v>
      </c>
      <c r="F186">
        <v>249</v>
      </c>
      <c r="G186">
        <v>5530.4299999999994</v>
      </c>
    </row>
    <row r="187" spans="1:7" hidden="1" x14ac:dyDescent="0.3">
      <c r="A187" s="1">
        <v>45716</v>
      </c>
      <c r="B187" t="s">
        <v>49</v>
      </c>
      <c r="C187" t="s">
        <v>457</v>
      </c>
      <c r="D187" t="s">
        <v>458</v>
      </c>
      <c r="E187" t="s">
        <v>4</v>
      </c>
      <c r="F187">
        <v>277.5</v>
      </c>
      <c r="G187">
        <v>4508.34</v>
      </c>
    </row>
    <row r="188" spans="1:7" hidden="1" x14ac:dyDescent="0.3">
      <c r="A188" s="1">
        <v>45716</v>
      </c>
      <c r="B188" t="s">
        <v>59</v>
      </c>
      <c r="C188" t="s">
        <v>467</v>
      </c>
      <c r="D188" t="s">
        <v>468</v>
      </c>
      <c r="E188" t="s">
        <v>13</v>
      </c>
      <c r="F188">
        <v>0</v>
      </c>
      <c r="G188">
        <v>1009.5999999999999</v>
      </c>
    </row>
    <row r="189" spans="1:7" hidden="1" x14ac:dyDescent="0.3">
      <c r="A189" s="1">
        <v>45716</v>
      </c>
      <c r="B189" t="s">
        <v>61</v>
      </c>
      <c r="C189" t="s">
        <v>469</v>
      </c>
      <c r="D189" t="s">
        <v>470</v>
      </c>
      <c r="E189" t="s">
        <v>3</v>
      </c>
      <c r="F189">
        <v>195.75</v>
      </c>
      <c r="G189">
        <v>2885.28</v>
      </c>
    </row>
    <row r="190" spans="1:7" hidden="1" x14ac:dyDescent="0.3">
      <c r="A190" s="1">
        <v>45716</v>
      </c>
      <c r="B190" t="s">
        <v>63</v>
      </c>
      <c r="C190" t="s">
        <v>471</v>
      </c>
      <c r="D190" t="s">
        <v>472</v>
      </c>
      <c r="E190" t="s">
        <v>2</v>
      </c>
      <c r="F190">
        <v>300.75</v>
      </c>
      <c r="G190">
        <v>4305.6500000000005</v>
      </c>
    </row>
    <row r="191" spans="1:7" hidden="1" x14ac:dyDescent="0.3">
      <c r="A191" s="1">
        <v>45716</v>
      </c>
      <c r="B191" t="s">
        <v>65</v>
      </c>
      <c r="C191" t="s">
        <v>473</v>
      </c>
      <c r="D191" t="s">
        <v>474</v>
      </c>
      <c r="E191" t="s">
        <v>2</v>
      </c>
      <c r="F191">
        <v>294.75</v>
      </c>
      <c r="G191">
        <v>3648.49</v>
      </c>
    </row>
    <row r="192" spans="1:7" hidden="1" x14ac:dyDescent="0.3">
      <c r="A192" s="1">
        <v>45716</v>
      </c>
      <c r="B192" t="s">
        <v>67</v>
      </c>
      <c r="C192" t="s">
        <v>475</v>
      </c>
      <c r="D192" t="s">
        <v>476</v>
      </c>
      <c r="E192" t="s">
        <v>2</v>
      </c>
      <c r="F192">
        <v>170.25</v>
      </c>
      <c r="G192">
        <v>3881.48</v>
      </c>
    </row>
    <row r="193" spans="1:7" hidden="1" x14ac:dyDescent="0.3">
      <c r="A193" s="1">
        <v>45716</v>
      </c>
      <c r="B193" t="s">
        <v>69</v>
      </c>
      <c r="C193" t="s">
        <v>477</v>
      </c>
      <c r="D193" t="s">
        <v>478</v>
      </c>
      <c r="E193" t="s">
        <v>2</v>
      </c>
      <c r="F193">
        <v>303.25</v>
      </c>
      <c r="G193">
        <v>5361.99</v>
      </c>
    </row>
    <row r="194" spans="1:7" hidden="1" x14ac:dyDescent="0.3">
      <c r="A194" s="1">
        <v>45716</v>
      </c>
      <c r="B194" t="s">
        <v>71</v>
      </c>
      <c r="C194" t="s">
        <v>479</v>
      </c>
      <c r="D194" t="s">
        <v>480</v>
      </c>
      <c r="E194" t="s">
        <v>2</v>
      </c>
      <c r="F194">
        <v>0</v>
      </c>
      <c r="G194">
        <v>25.550000000000011</v>
      </c>
    </row>
    <row r="195" spans="1:7" hidden="1" x14ac:dyDescent="0.3">
      <c r="A195" s="1">
        <v>45716</v>
      </c>
      <c r="B195" t="s">
        <v>73</v>
      </c>
      <c r="C195" t="s">
        <v>481</v>
      </c>
      <c r="D195" t="s">
        <v>482</v>
      </c>
      <c r="E195" t="s">
        <v>2</v>
      </c>
      <c r="F195">
        <v>247.25</v>
      </c>
      <c r="G195">
        <v>4708.5099999999993</v>
      </c>
    </row>
    <row r="196" spans="1:7" hidden="1" x14ac:dyDescent="0.3">
      <c r="A196" s="1">
        <v>45716</v>
      </c>
      <c r="B196" t="s">
        <v>75</v>
      </c>
      <c r="C196" t="s">
        <v>483</v>
      </c>
      <c r="D196" t="s">
        <v>484</v>
      </c>
      <c r="E196" t="s">
        <v>2</v>
      </c>
      <c r="F196">
        <v>117</v>
      </c>
      <c r="G196">
        <v>2019</v>
      </c>
    </row>
    <row r="197" spans="1:7" hidden="1" x14ac:dyDescent="0.3">
      <c r="A197" s="1">
        <v>45716</v>
      </c>
      <c r="B197" t="s">
        <v>77</v>
      </c>
      <c r="C197" t="s">
        <v>443</v>
      </c>
      <c r="D197" t="s">
        <v>485</v>
      </c>
      <c r="E197" t="s">
        <v>15</v>
      </c>
      <c r="F197">
        <v>214</v>
      </c>
      <c r="G197">
        <v>3331.4500000000007</v>
      </c>
    </row>
    <row r="198" spans="1:7" hidden="1" x14ac:dyDescent="0.3">
      <c r="A198" s="1">
        <v>45716</v>
      </c>
      <c r="B198" t="s">
        <v>79</v>
      </c>
      <c r="C198" t="s">
        <v>486</v>
      </c>
      <c r="D198" t="s">
        <v>487</v>
      </c>
      <c r="E198" t="s">
        <v>2</v>
      </c>
      <c r="F198">
        <v>256.75</v>
      </c>
      <c r="G198">
        <v>5249.4599999999991</v>
      </c>
    </row>
    <row r="199" spans="1:7" hidden="1" x14ac:dyDescent="0.3">
      <c r="A199" s="1">
        <v>45716</v>
      </c>
      <c r="B199" t="s">
        <v>81</v>
      </c>
      <c r="C199" t="s">
        <v>488</v>
      </c>
      <c r="D199" t="s">
        <v>489</v>
      </c>
      <c r="E199" t="s">
        <v>2</v>
      </c>
      <c r="F199">
        <v>262.75</v>
      </c>
      <c r="G199">
        <v>6704.4100000000008</v>
      </c>
    </row>
    <row r="200" spans="1:7" hidden="1" x14ac:dyDescent="0.3">
      <c r="A200" s="1">
        <v>45716</v>
      </c>
      <c r="B200" t="s">
        <v>83</v>
      </c>
      <c r="C200" t="s">
        <v>490</v>
      </c>
      <c r="D200" t="s">
        <v>440</v>
      </c>
      <c r="E200" t="s">
        <v>12</v>
      </c>
      <c r="F200">
        <v>296</v>
      </c>
      <c r="G200">
        <v>10686.829999999998</v>
      </c>
    </row>
    <row r="201" spans="1:7" hidden="1" x14ac:dyDescent="0.3">
      <c r="A201" s="1">
        <v>45716</v>
      </c>
      <c r="B201" t="s">
        <v>85</v>
      </c>
      <c r="C201" t="s">
        <v>491</v>
      </c>
      <c r="D201" t="s">
        <v>492</v>
      </c>
      <c r="E201" t="s">
        <v>2</v>
      </c>
      <c r="F201">
        <v>280.5</v>
      </c>
      <c r="G201">
        <v>4882.3499999999995</v>
      </c>
    </row>
    <row r="202" spans="1:7" hidden="1" x14ac:dyDescent="0.3">
      <c r="A202" s="1">
        <v>45716</v>
      </c>
      <c r="B202" t="s">
        <v>87</v>
      </c>
      <c r="C202" t="s">
        <v>493</v>
      </c>
      <c r="D202" t="s">
        <v>494</v>
      </c>
      <c r="E202" t="s">
        <v>12</v>
      </c>
      <c r="F202">
        <v>267.75</v>
      </c>
      <c r="G202">
        <v>6497.2999999999993</v>
      </c>
    </row>
    <row r="203" spans="1:7" hidden="1" x14ac:dyDescent="0.3">
      <c r="A203" s="1">
        <v>45716</v>
      </c>
      <c r="B203" t="s">
        <v>89</v>
      </c>
      <c r="C203" t="s">
        <v>495</v>
      </c>
      <c r="D203" t="s">
        <v>496</v>
      </c>
      <c r="E203" t="s">
        <v>13</v>
      </c>
      <c r="F203">
        <v>205</v>
      </c>
      <c r="G203">
        <v>14419.16</v>
      </c>
    </row>
    <row r="204" spans="1:7" hidden="1" x14ac:dyDescent="0.3">
      <c r="A204" s="1">
        <v>45716</v>
      </c>
      <c r="B204" t="s">
        <v>91</v>
      </c>
      <c r="C204" t="s">
        <v>497</v>
      </c>
      <c r="D204" t="s">
        <v>498</v>
      </c>
      <c r="E204" t="s">
        <v>5</v>
      </c>
      <c r="F204">
        <v>283.5</v>
      </c>
      <c r="G204">
        <v>3471.35</v>
      </c>
    </row>
    <row r="205" spans="1:7" hidden="1" x14ac:dyDescent="0.3">
      <c r="A205" s="1">
        <v>45716</v>
      </c>
      <c r="B205" t="s">
        <v>93</v>
      </c>
      <c r="C205" t="s">
        <v>499</v>
      </c>
      <c r="D205" t="s">
        <v>500</v>
      </c>
      <c r="E205" t="s">
        <v>2</v>
      </c>
      <c r="F205">
        <v>181.5</v>
      </c>
      <c r="G205">
        <v>3058.44</v>
      </c>
    </row>
    <row r="206" spans="1:7" hidden="1" x14ac:dyDescent="0.3">
      <c r="A206" s="1">
        <v>45716</v>
      </c>
      <c r="B206" t="s">
        <v>95</v>
      </c>
      <c r="C206" t="s">
        <v>501</v>
      </c>
      <c r="D206" t="s">
        <v>502</v>
      </c>
      <c r="E206" t="s">
        <v>3</v>
      </c>
      <c r="F206">
        <v>271</v>
      </c>
      <c r="G206">
        <v>4123.3900000000012</v>
      </c>
    </row>
    <row r="207" spans="1:7" hidden="1" x14ac:dyDescent="0.3">
      <c r="A207" s="1">
        <v>45716</v>
      </c>
      <c r="B207" t="s">
        <v>97</v>
      </c>
      <c r="C207" t="s">
        <v>503</v>
      </c>
      <c r="D207" t="s">
        <v>504</v>
      </c>
      <c r="E207" t="s">
        <v>2</v>
      </c>
      <c r="F207">
        <v>292.5</v>
      </c>
      <c r="G207">
        <v>3856.6899999999996</v>
      </c>
    </row>
    <row r="208" spans="1:7" hidden="1" x14ac:dyDescent="0.3">
      <c r="A208" s="1">
        <v>45716</v>
      </c>
      <c r="B208" t="s">
        <v>99</v>
      </c>
      <c r="C208" t="s">
        <v>505</v>
      </c>
      <c r="D208" t="s">
        <v>506</v>
      </c>
      <c r="E208" t="s">
        <v>2</v>
      </c>
      <c r="F208">
        <v>165.75</v>
      </c>
      <c r="G208">
        <v>3118.03</v>
      </c>
    </row>
    <row r="209" spans="1:7" hidden="1" x14ac:dyDescent="0.3">
      <c r="A209" s="1">
        <v>45716</v>
      </c>
      <c r="B209" t="s">
        <v>101</v>
      </c>
      <c r="C209" t="s">
        <v>507</v>
      </c>
      <c r="D209" t="s">
        <v>508</v>
      </c>
      <c r="E209" t="s">
        <v>13</v>
      </c>
      <c r="F209">
        <v>143.25</v>
      </c>
      <c r="G209">
        <v>2695.08</v>
      </c>
    </row>
    <row r="210" spans="1:7" hidden="1" x14ac:dyDescent="0.3">
      <c r="A210" s="1">
        <v>45716</v>
      </c>
      <c r="B210" t="s">
        <v>103</v>
      </c>
      <c r="C210" t="s">
        <v>509</v>
      </c>
      <c r="D210" t="s">
        <v>510</v>
      </c>
      <c r="E210" t="s">
        <v>2</v>
      </c>
      <c r="F210">
        <v>105</v>
      </c>
      <c r="G210">
        <v>1735.8700000000003</v>
      </c>
    </row>
    <row r="211" spans="1:7" hidden="1" x14ac:dyDescent="0.3">
      <c r="A211" s="1">
        <v>45716</v>
      </c>
      <c r="B211" t="s">
        <v>105</v>
      </c>
      <c r="C211" t="s">
        <v>511</v>
      </c>
      <c r="D211" t="s">
        <v>512</v>
      </c>
      <c r="E211" t="s">
        <v>2</v>
      </c>
      <c r="F211">
        <v>273</v>
      </c>
      <c r="G211">
        <v>3598.89</v>
      </c>
    </row>
    <row r="212" spans="1:7" hidden="1" x14ac:dyDescent="0.3">
      <c r="A212" s="1">
        <v>45716</v>
      </c>
      <c r="B212" t="s">
        <v>107</v>
      </c>
      <c r="C212" t="s">
        <v>513</v>
      </c>
      <c r="D212" t="s">
        <v>514</v>
      </c>
      <c r="E212" t="s">
        <v>2</v>
      </c>
      <c r="F212">
        <v>105</v>
      </c>
      <c r="G212">
        <v>2107.0299999999997</v>
      </c>
    </row>
    <row r="213" spans="1:7" hidden="1" x14ac:dyDescent="0.3">
      <c r="A213" s="1">
        <v>45716</v>
      </c>
      <c r="B213" t="s">
        <v>109</v>
      </c>
      <c r="C213" t="s">
        <v>515</v>
      </c>
      <c r="D213" t="s">
        <v>516</v>
      </c>
      <c r="E213" t="s">
        <v>6</v>
      </c>
      <c r="F213">
        <v>262.75</v>
      </c>
      <c r="G213">
        <v>7966.4399999999987</v>
      </c>
    </row>
    <row r="214" spans="1:7" hidden="1" x14ac:dyDescent="0.3">
      <c r="A214" s="1">
        <v>45716</v>
      </c>
      <c r="B214" t="s">
        <v>111</v>
      </c>
      <c r="C214" t="s">
        <v>517</v>
      </c>
      <c r="D214" t="s">
        <v>496</v>
      </c>
      <c r="E214" t="s">
        <v>14</v>
      </c>
      <c r="F214">
        <v>296</v>
      </c>
      <c r="G214">
        <v>19652.23</v>
      </c>
    </row>
    <row r="215" spans="1:7" hidden="1" x14ac:dyDescent="0.3">
      <c r="A215" s="1">
        <v>45716</v>
      </c>
      <c r="B215" t="s">
        <v>113</v>
      </c>
      <c r="C215" t="s">
        <v>518</v>
      </c>
      <c r="D215" t="s">
        <v>519</v>
      </c>
      <c r="E215" t="s">
        <v>3</v>
      </c>
      <c r="F215">
        <v>227.5</v>
      </c>
      <c r="G215">
        <v>2803.97</v>
      </c>
    </row>
    <row r="216" spans="1:7" hidden="1" x14ac:dyDescent="0.3">
      <c r="A216" s="1">
        <v>45716</v>
      </c>
      <c r="B216" t="s">
        <v>115</v>
      </c>
      <c r="C216" t="s">
        <v>520</v>
      </c>
      <c r="D216" t="s">
        <v>521</v>
      </c>
      <c r="E216" t="s">
        <v>2</v>
      </c>
      <c r="F216">
        <v>167.5</v>
      </c>
      <c r="G216">
        <v>3023.0200000000004</v>
      </c>
    </row>
    <row r="217" spans="1:7" hidden="1" x14ac:dyDescent="0.3">
      <c r="A217" s="1">
        <v>45716</v>
      </c>
      <c r="B217" t="s">
        <v>117</v>
      </c>
      <c r="C217" t="s">
        <v>522</v>
      </c>
      <c r="D217" t="s">
        <v>523</v>
      </c>
      <c r="E217" t="s">
        <v>2</v>
      </c>
      <c r="F217">
        <v>211.75</v>
      </c>
      <c r="G217">
        <v>3766.32</v>
      </c>
    </row>
    <row r="218" spans="1:7" hidden="1" x14ac:dyDescent="0.3">
      <c r="A218" s="1">
        <v>45716</v>
      </c>
      <c r="B218" t="s">
        <v>119</v>
      </c>
      <c r="C218" t="s">
        <v>524</v>
      </c>
      <c r="D218" t="s">
        <v>525</v>
      </c>
      <c r="E218" t="s">
        <v>2</v>
      </c>
      <c r="F218">
        <v>290</v>
      </c>
      <c r="G218">
        <v>5195.88</v>
      </c>
    </row>
    <row r="219" spans="1:7" hidden="1" x14ac:dyDescent="0.3">
      <c r="A219" s="1">
        <v>45716</v>
      </c>
      <c r="B219" t="s">
        <v>121</v>
      </c>
      <c r="C219" t="s">
        <v>526</v>
      </c>
      <c r="D219" t="s">
        <v>527</v>
      </c>
      <c r="E219" t="s">
        <v>3</v>
      </c>
      <c r="F219">
        <v>244.5</v>
      </c>
      <c r="G219">
        <v>5213.7900000000009</v>
      </c>
    </row>
    <row r="220" spans="1:7" hidden="1" x14ac:dyDescent="0.3">
      <c r="A220" s="1">
        <v>45716</v>
      </c>
      <c r="B220" t="s">
        <v>123</v>
      </c>
      <c r="C220" t="s">
        <v>528</v>
      </c>
      <c r="D220" t="s">
        <v>529</v>
      </c>
      <c r="E220" t="s">
        <v>5</v>
      </c>
      <c r="F220">
        <v>166.75</v>
      </c>
      <c r="G220">
        <v>2590.91</v>
      </c>
    </row>
    <row r="221" spans="1:7" hidden="1" x14ac:dyDescent="0.3">
      <c r="A221" s="1">
        <v>45716</v>
      </c>
      <c r="B221" t="s">
        <v>125</v>
      </c>
      <c r="C221" t="s">
        <v>530</v>
      </c>
      <c r="D221" t="s">
        <v>502</v>
      </c>
      <c r="E221" t="s">
        <v>2</v>
      </c>
      <c r="F221">
        <v>272.5</v>
      </c>
      <c r="G221">
        <v>5915.14</v>
      </c>
    </row>
    <row r="222" spans="1:7" hidden="1" x14ac:dyDescent="0.3">
      <c r="A222" s="1">
        <v>45716</v>
      </c>
      <c r="B222" t="s">
        <v>127</v>
      </c>
      <c r="C222" t="s">
        <v>531</v>
      </c>
      <c r="D222" t="s">
        <v>532</v>
      </c>
      <c r="E222" t="s">
        <v>2</v>
      </c>
      <c r="F222">
        <v>289</v>
      </c>
      <c r="G222">
        <v>5035.1000000000004</v>
      </c>
    </row>
    <row r="223" spans="1:7" hidden="1" x14ac:dyDescent="0.3">
      <c r="A223" s="1">
        <v>45716</v>
      </c>
      <c r="B223" t="s">
        <v>129</v>
      </c>
      <c r="C223" t="s">
        <v>533</v>
      </c>
      <c r="D223" t="s">
        <v>534</v>
      </c>
      <c r="E223" t="s">
        <v>11</v>
      </c>
      <c r="F223">
        <v>249.5</v>
      </c>
      <c r="G223">
        <v>11374.84</v>
      </c>
    </row>
    <row r="224" spans="1:7" hidden="1" x14ac:dyDescent="0.3">
      <c r="A224" s="1">
        <v>45716</v>
      </c>
      <c r="B224" t="s">
        <v>131</v>
      </c>
      <c r="C224" t="s">
        <v>535</v>
      </c>
      <c r="D224" t="s">
        <v>536</v>
      </c>
      <c r="E224" t="s">
        <v>2</v>
      </c>
      <c r="F224">
        <v>204.5</v>
      </c>
      <c r="G224">
        <v>4518.7700000000004</v>
      </c>
    </row>
    <row r="225" spans="1:7" hidden="1" x14ac:dyDescent="0.3">
      <c r="A225" s="1">
        <v>45716</v>
      </c>
      <c r="B225" t="s">
        <v>133</v>
      </c>
      <c r="C225" t="s">
        <v>537</v>
      </c>
      <c r="D225" t="s">
        <v>538</v>
      </c>
      <c r="E225" t="s">
        <v>2</v>
      </c>
      <c r="F225">
        <v>105.5</v>
      </c>
      <c r="G225">
        <v>3228.5000000000005</v>
      </c>
    </row>
    <row r="226" spans="1:7" hidden="1" x14ac:dyDescent="0.3">
      <c r="A226" s="1">
        <v>45716</v>
      </c>
      <c r="B226" t="s">
        <v>135</v>
      </c>
      <c r="C226" t="s">
        <v>539</v>
      </c>
      <c r="D226" t="s">
        <v>540</v>
      </c>
      <c r="E226" t="s">
        <v>3</v>
      </c>
      <c r="F226">
        <v>0</v>
      </c>
      <c r="G226">
        <v>962.53000000000009</v>
      </c>
    </row>
    <row r="227" spans="1:7" hidden="1" x14ac:dyDescent="0.3">
      <c r="A227" s="1">
        <v>45716</v>
      </c>
      <c r="B227" t="s">
        <v>137</v>
      </c>
      <c r="C227" t="s">
        <v>541</v>
      </c>
      <c r="D227" t="s">
        <v>542</v>
      </c>
      <c r="E227" t="s">
        <v>2</v>
      </c>
      <c r="F227">
        <v>245</v>
      </c>
      <c r="G227">
        <v>4326.59</v>
      </c>
    </row>
    <row r="228" spans="1:7" hidden="1" x14ac:dyDescent="0.3">
      <c r="A228" s="1">
        <v>45716</v>
      </c>
      <c r="B228" t="s">
        <v>139</v>
      </c>
      <c r="C228" t="s">
        <v>543</v>
      </c>
      <c r="D228" t="s">
        <v>544</v>
      </c>
      <c r="E228" t="s">
        <v>13</v>
      </c>
      <c r="F228">
        <v>303.5</v>
      </c>
      <c r="G228">
        <v>6227.08</v>
      </c>
    </row>
    <row r="229" spans="1:7" hidden="1" x14ac:dyDescent="0.3">
      <c r="A229" s="1">
        <v>45716</v>
      </c>
      <c r="B229" t="s">
        <v>141</v>
      </c>
      <c r="C229" t="s">
        <v>499</v>
      </c>
      <c r="D229" t="s">
        <v>545</v>
      </c>
      <c r="E229" t="s">
        <v>11</v>
      </c>
      <c r="F229">
        <v>145.5</v>
      </c>
      <c r="G229">
        <v>2023.4300000000003</v>
      </c>
    </row>
    <row r="230" spans="1:7" hidden="1" x14ac:dyDescent="0.3">
      <c r="A230" s="1">
        <v>45716</v>
      </c>
      <c r="B230" t="s">
        <v>143</v>
      </c>
      <c r="C230" t="s">
        <v>546</v>
      </c>
      <c r="D230" t="s">
        <v>547</v>
      </c>
      <c r="E230" t="s">
        <v>2</v>
      </c>
      <c r="F230">
        <v>247.25</v>
      </c>
      <c r="G230">
        <v>3086.3299999999995</v>
      </c>
    </row>
    <row r="231" spans="1:7" hidden="1" x14ac:dyDescent="0.3">
      <c r="A231" s="1">
        <v>45716</v>
      </c>
      <c r="B231" t="s">
        <v>145</v>
      </c>
      <c r="C231" t="s">
        <v>548</v>
      </c>
      <c r="D231" t="s">
        <v>549</v>
      </c>
      <c r="E231" t="s">
        <v>6</v>
      </c>
      <c r="F231">
        <v>201</v>
      </c>
      <c r="G231">
        <v>4845.9799999999996</v>
      </c>
    </row>
    <row r="232" spans="1:7" hidden="1" x14ac:dyDescent="0.3">
      <c r="A232" s="1">
        <v>45716</v>
      </c>
      <c r="B232" t="s">
        <v>147</v>
      </c>
      <c r="C232" t="s">
        <v>550</v>
      </c>
      <c r="D232" t="s">
        <v>551</v>
      </c>
      <c r="E232" t="s">
        <v>8</v>
      </c>
      <c r="F232">
        <v>278.25</v>
      </c>
      <c r="G232">
        <v>7186.23</v>
      </c>
    </row>
    <row r="233" spans="1:7" hidden="1" x14ac:dyDescent="0.3">
      <c r="A233" s="1">
        <v>45716</v>
      </c>
      <c r="B233" t="s">
        <v>149</v>
      </c>
      <c r="C233" t="s">
        <v>552</v>
      </c>
      <c r="D233" t="s">
        <v>553</v>
      </c>
      <c r="E233" t="s">
        <v>10</v>
      </c>
      <c r="F233">
        <v>0</v>
      </c>
      <c r="G233">
        <v>6.7200000000000273</v>
      </c>
    </row>
    <row r="234" spans="1:7" hidden="1" x14ac:dyDescent="0.3">
      <c r="A234" s="1">
        <v>45716</v>
      </c>
      <c r="B234" t="s">
        <v>151</v>
      </c>
      <c r="C234" t="s">
        <v>554</v>
      </c>
      <c r="D234" t="s">
        <v>555</v>
      </c>
      <c r="E234" t="s">
        <v>3</v>
      </c>
      <c r="F234">
        <v>241.25</v>
      </c>
      <c r="G234">
        <v>2804.85</v>
      </c>
    </row>
    <row r="235" spans="1:7" hidden="1" x14ac:dyDescent="0.3">
      <c r="A235" s="1">
        <v>45716</v>
      </c>
      <c r="B235" t="s">
        <v>153</v>
      </c>
      <c r="C235" t="s">
        <v>556</v>
      </c>
      <c r="D235" t="s">
        <v>557</v>
      </c>
      <c r="E235" t="s">
        <v>2</v>
      </c>
      <c r="F235">
        <v>285.25</v>
      </c>
      <c r="G235">
        <v>4406.0599999999995</v>
      </c>
    </row>
    <row r="236" spans="1:7" hidden="1" x14ac:dyDescent="0.3">
      <c r="A236" s="1">
        <v>45716</v>
      </c>
      <c r="B236" t="s">
        <v>155</v>
      </c>
      <c r="C236" t="s">
        <v>546</v>
      </c>
      <c r="D236" t="s">
        <v>558</v>
      </c>
      <c r="E236" t="s">
        <v>7</v>
      </c>
      <c r="F236">
        <v>244.25</v>
      </c>
      <c r="G236">
        <v>3585.4599999999996</v>
      </c>
    </row>
    <row r="237" spans="1:7" hidden="1" x14ac:dyDescent="0.3">
      <c r="A237" s="1">
        <v>45716</v>
      </c>
      <c r="B237" t="s">
        <v>157</v>
      </c>
      <c r="C237" t="s">
        <v>559</v>
      </c>
      <c r="D237" t="s">
        <v>560</v>
      </c>
      <c r="E237" t="s">
        <v>3</v>
      </c>
      <c r="F237">
        <v>268.5</v>
      </c>
      <c r="G237">
        <v>4290.1400000000003</v>
      </c>
    </row>
    <row r="238" spans="1:7" hidden="1" x14ac:dyDescent="0.3">
      <c r="A238" s="1">
        <v>45716</v>
      </c>
      <c r="B238" t="s">
        <v>159</v>
      </c>
      <c r="C238" t="s">
        <v>561</v>
      </c>
      <c r="D238" t="s">
        <v>562</v>
      </c>
      <c r="E238" t="s">
        <v>3</v>
      </c>
      <c r="F238">
        <v>265</v>
      </c>
      <c r="G238">
        <v>4553.58</v>
      </c>
    </row>
    <row r="239" spans="1:7" hidden="1" x14ac:dyDescent="0.3">
      <c r="A239" s="1">
        <v>45716</v>
      </c>
      <c r="B239" t="s">
        <v>161</v>
      </c>
      <c r="C239" t="s">
        <v>563</v>
      </c>
      <c r="D239" t="s">
        <v>564</v>
      </c>
      <c r="E239" t="s">
        <v>13</v>
      </c>
      <c r="F239">
        <v>264.25</v>
      </c>
      <c r="G239">
        <v>4312.41</v>
      </c>
    </row>
    <row r="240" spans="1:7" hidden="1" x14ac:dyDescent="0.3">
      <c r="A240" s="1">
        <v>45716</v>
      </c>
      <c r="B240" t="s">
        <v>163</v>
      </c>
      <c r="C240" t="s">
        <v>565</v>
      </c>
      <c r="D240" t="s">
        <v>566</v>
      </c>
      <c r="E240" t="s">
        <v>8</v>
      </c>
      <c r="F240">
        <v>261</v>
      </c>
      <c r="G240">
        <v>6891.9800000000014</v>
      </c>
    </row>
    <row r="241" spans="1:7" hidden="1" x14ac:dyDescent="0.3">
      <c r="A241" s="1">
        <v>45716</v>
      </c>
      <c r="B241" t="s">
        <v>165</v>
      </c>
      <c r="C241" t="s">
        <v>567</v>
      </c>
      <c r="D241" t="s">
        <v>568</v>
      </c>
      <c r="E241" t="s">
        <v>3</v>
      </c>
      <c r="F241">
        <v>224</v>
      </c>
      <c r="G241">
        <v>3423.43</v>
      </c>
    </row>
    <row r="242" spans="1:7" hidden="1" x14ac:dyDescent="0.3">
      <c r="A242" s="1">
        <v>45716</v>
      </c>
      <c r="B242" t="s">
        <v>167</v>
      </c>
      <c r="C242" t="s">
        <v>569</v>
      </c>
      <c r="D242" t="s">
        <v>570</v>
      </c>
      <c r="E242" t="s">
        <v>3</v>
      </c>
      <c r="F242">
        <v>245.25</v>
      </c>
      <c r="G242">
        <v>4217.05</v>
      </c>
    </row>
    <row r="243" spans="1:7" hidden="1" x14ac:dyDescent="0.3">
      <c r="A243" s="1">
        <v>45716</v>
      </c>
      <c r="B243" t="s">
        <v>169</v>
      </c>
      <c r="C243" t="s">
        <v>571</v>
      </c>
      <c r="D243" t="s">
        <v>572</v>
      </c>
      <c r="E243" t="s">
        <v>2</v>
      </c>
      <c r="F243">
        <v>299.75</v>
      </c>
      <c r="G243">
        <v>4081.2299999999996</v>
      </c>
    </row>
    <row r="244" spans="1:7" hidden="1" x14ac:dyDescent="0.3">
      <c r="A244" s="1">
        <v>45716</v>
      </c>
      <c r="B244" t="s">
        <v>171</v>
      </c>
      <c r="C244" t="s">
        <v>573</v>
      </c>
      <c r="D244" t="s">
        <v>574</v>
      </c>
      <c r="E244" t="s">
        <v>3</v>
      </c>
      <c r="F244">
        <v>265.5</v>
      </c>
      <c r="G244">
        <v>3171.23</v>
      </c>
    </row>
    <row r="245" spans="1:7" hidden="1" x14ac:dyDescent="0.3">
      <c r="A245" s="1">
        <v>45716</v>
      </c>
      <c r="B245" t="s">
        <v>173</v>
      </c>
      <c r="C245" t="s">
        <v>575</v>
      </c>
      <c r="D245" t="s">
        <v>576</v>
      </c>
      <c r="E245" t="s">
        <v>3</v>
      </c>
      <c r="F245">
        <v>145</v>
      </c>
      <c r="G245">
        <v>2322.87</v>
      </c>
    </row>
    <row r="246" spans="1:7" hidden="1" x14ac:dyDescent="0.3">
      <c r="A246" s="1">
        <v>45716</v>
      </c>
      <c r="B246" t="s">
        <v>175</v>
      </c>
      <c r="C246" t="s">
        <v>577</v>
      </c>
      <c r="D246" t="s">
        <v>578</v>
      </c>
      <c r="E246" t="s">
        <v>12</v>
      </c>
      <c r="F246">
        <v>265.5</v>
      </c>
      <c r="G246">
        <v>5891.11</v>
      </c>
    </row>
    <row r="247" spans="1:7" hidden="1" x14ac:dyDescent="0.3">
      <c r="A247" s="1">
        <v>45716</v>
      </c>
      <c r="B247" t="s">
        <v>177</v>
      </c>
      <c r="C247" t="s">
        <v>579</v>
      </c>
      <c r="D247" t="s">
        <v>580</v>
      </c>
      <c r="E247" t="s">
        <v>2</v>
      </c>
      <c r="F247">
        <v>0</v>
      </c>
      <c r="G247">
        <v>335.66999999999962</v>
      </c>
    </row>
    <row r="248" spans="1:7" hidden="1" x14ac:dyDescent="0.3">
      <c r="A248" s="1">
        <v>45716</v>
      </c>
      <c r="B248" t="s">
        <v>179</v>
      </c>
      <c r="C248" t="s">
        <v>550</v>
      </c>
      <c r="D248" t="s">
        <v>581</v>
      </c>
      <c r="E248" t="s">
        <v>2</v>
      </c>
      <c r="F248">
        <v>288.5</v>
      </c>
      <c r="G248">
        <v>4614.6299999999992</v>
      </c>
    </row>
    <row r="249" spans="1:7" hidden="1" x14ac:dyDescent="0.3">
      <c r="A249" s="1">
        <v>45716</v>
      </c>
      <c r="B249" t="s">
        <v>181</v>
      </c>
      <c r="C249" t="s">
        <v>582</v>
      </c>
      <c r="D249" t="s">
        <v>583</v>
      </c>
      <c r="E249" t="s">
        <v>2</v>
      </c>
      <c r="F249">
        <v>144</v>
      </c>
      <c r="G249">
        <v>2348.8399999999997</v>
      </c>
    </row>
    <row r="250" spans="1:7" hidden="1" x14ac:dyDescent="0.3">
      <c r="A250" s="1">
        <v>45716</v>
      </c>
      <c r="B250" t="s">
        <v>183</v>
      </c>
      <c r="C250" t="s">
        <v>584</v>
      </c>
      <c r="D250" t="s">
        <v>585</v>
      </c>
      <c r="E250" t="s">
        <v>2</v>
      </c>
      <c r="F250">
        <v>280</v>
      </c>
      <c r="G250">
        <v>5275.91</v>
      </c>
    </row>
    <row r="251" spans="1:7" hidden="1" x14ac:dyDescent="0.3">
      <c r="A251" s="1">
        <v>45716</v>
      </c>
      <c r="B251" t="s">
        <v>185</v>
      </c>
      <c r="C251" t="s">
        <v>586</v>
      </c>
      <c r="D251" t="s">
        <v>587</v>
      </c>
      <c r="E251" t="s">
        <v>10</v>
      </c>
      <c r="F251">
        <v>311</v>
      </c>
      <c r="G251">
        <v>6320.34</v>
      </c>
    </row>
    <row r="252" spans="1:7" hidden="1" x14ac:dyDescent="0.3">
      <c r="A252" s="1">
        <v>45716</v>
      </c>
      <c r="B252" t="s">
        <v>187</v>
      </c>
      <c r="C252" t="s">
        <v>588</v>
      </c>
      <c r="D252" t="s">
        <v>589</v>
      </c>
      <c r="E252" t="s">
        <v>6</v>
      </c>
      <c r="F252">
        <v>331.75</v>
      </c>
      <c r="G252">
        <v>8633.56</v>
      </c>
    </row>
    <row r="253" spans="1:7" hidden="1" x14ac:dyDescent="0.3">
      <c r="A253" s="1">
        <v>45716</v>
      </c>
      <c r="B253" t="s">
        <v>189</v>
      </c>
      <c r="C253" t="s">
        <v>590</v>
      </c>
      <c r="D253" t="s">
        <v>591</v>
      </c>
      <c r="E253" t="s">
        <v>2</v>
      </c>
      <c r="F253">
        <v>265.5</v>
      </c>
      <c r="G253">
        <v>4796.9699999999993</v>
      </c>
    </row>
    <row r="254" spans="1:7" hidden="1" x14ac:dyDescent="0.3">
      <c r="A254" s="1">
        <v>45716</v>
      </c>
      <c r="B254" t="s">
        <v>191</v>
      </c>
      <c r="C254" t="s">
        <v>592</v>
      </c>
      <c r="D254" t="s">
        <v>593</v>
      </c>
      <c r="E254" t="s">
        <v>2</v>
      </c>
      <c r="F254">
        <v>295.75</v>
      </c>
      <c r="G254">
        <v>5415.64</v>
      </c>
    </row>
    <row r="255" spans="1:7" hidden="1" x14ac:dyDescent="0.3">
      <c r="A255" s="1">
        <v>45716</v>
      </c>
      <c r="B255" t="s">
        <v>193</v>
      </c>
      <c r="C255" t="s">
        <v>594</v>
      </c>
      <c r="D255" t="s">
        <v>595</v>
      </c>
      <c r="E255" t="s">
        <v>7</v>
      </c>
      <c r="F255">
        <v>197.5</v>
      </c>
      <c r="G255">
        <v>4191.9799999999996</v>
      </c>
    </row>
    <row r="256" spans="1:7" hidden="1" x14ac:dyDescent="0.3">
      <c r="A256" s="1">
        <v>45716</v>
      </c>
      <c r="B256" t="s">
        <v>195</v>
      </c>
      <c r="C256" t="s">
        <v>596</v>
      </c>
      <c r="D256" t="s">
        <v>597</v>
      </c>
      <c r="E256" t="s">
        <v>8</v>
      </c>
      <c r="F256">
        <v>240.25</v>
      </c>
      <c r="G256">
        <v>8452.19</v>
      </c>
    </row>
    <row r="257" spans="1:7" hidden="1" x14ac:dyDescent="0.3">
      <c r="A257" s="1">
        <v>45716</v>
      </c>
      <c r="B257" t="s">
        <v>197</v>
      </c>
      <c r="C257" t="s">
        <v>598</v>
      </c>
      <c r="D257" t="s">
        <v>599</v>
      </c>
      <c r="E257" t="s">
        <v>3</v>
      </c>
      <c r="F257">
        <v>203</v>
      </c>
      <c r="G257">
        <v>1212.92</v>
      </c>
    </row>
    <row r="258" spans="1:7" hidden="1" x14ac:dyDescent="0.3">
      <c r="A258" s="1">
        <v>45716</v>
      </c>
      <c r="B258" t="s">
        <v>199</v>
      </c>
      <c r="C258" t="s">
        <v>600</v>
      </c>
      <c r="D258" t="s">
        <v>601</v>
      </c>
      <c r="E258" t="s">
        <v>8</v>
      </c>
      <c r="F258">
        <v>168.75</v>
      </c>
      <c r="G258">
        <v>3176.49</v>
      </c>
    </row>
    <row r="259" spans="1:7" hidden="1" x14ac:dyDescent="0.3">
      <c r="A259" s="1">
        <v>45716</v>
      </c>
      <c r="B259" t="s">
        <v>201</v>
      </c>
      <c r="C259" t="s">
        <v>602</v>
      </c>
      <c r="D259" t="s">
        <v>603</v>
      </c>
      <c r="E259" t="s">
        <v>12</v>
      </c>
      <c r="F259">
        <v>296</v>
      </c>
      <c r="G259">
        <v>11515</v>
      </c>
    </row>
    <row r="260" spans="1:7" hidden="1" x14ac:dyDescent="0.3">
      <c r="A260" s="1">
        <v>45716</v>
      </c>
      <c r="B260" t="s">
        <v>203</v>
      </c>
      <c r="C260" t="s">
        <v>604</v>
      </c>
      <c r="D260" t="s">
        <v>605</v>
      </c>
      <c r="E260" t="s">
        <v>3</v>
      </c>
      <c r="F260">
        <v>272.25</v>
      </c>
      <c r="G260">
        <v>5528.69</v>
      </c>
    </row>
    <row r="261" spans="1:7" hidden="1" x14ac:dyDescent="0.3">
      <c r="A261" s="1">
        <v>45716</v>
      </c>
      <c r="B261" t="s">
        <v>205</v>
      </c>
      <c r="C261" t="s">
        <v>606</v>
      </c>
      <c r="D261" t="s">
        <v>607</v>
      </c>
      <c r="E261" t="s">
        <v>2</v>
      </c>
      <c r="F261">
        <v>296</v>
      </c>
      <c r="G261">
        <v>4725.2599999999993</v>
      </c>
    </row>
    <row r="262" spans="1:7" hidden="1" x14ac:dyDescent="0.3">
      <c r="A262" s="1">
        <v>45716</v>
      </c>
      <c r="B262" t="s">
        <v>207</v>
      </c>
      <c r="C262" t="s">
        <v>608</v>
      </c>
      <c r="D262" t="s">
        <v>609</v>
      </c>
      <c r="E262" t="s">
        <v>12</v>
      </c>
      <c r="F262">
        <v>147</v>
      </c>
      <c r="G262">
        <v>2230.8699999999994</v>
      </c>
    </row>
    <row r="263" spans="1:7" hidden="1" x14ac:dyDescent="0.3">
      <c r="A263" s="1">
        <v>45716</v>
      </c>
      <c r="B263" t="s">
        <v>209</v>
      </c>
      <c r="C263" t="s">
        <v>610</v>
      </c>
      <c r="D263" t="s">
        <v>536</v>
      </c>
      <c r="E263" t="s">
        <v>2</v>
      </c>
      <c r="F263">
        <v>216</v>
      </c>
      <c r="G263">
        <v>3675.76</v>
      </c>
    </row>
    <row r="264" spans="1:7" hidden="1" x14ac:dyDescent="0.3">
      <c r="A264" s="1">
        <v>45716</v>
      </c>
      <c r="B264" t="s">
        <v>211</v>
      </c>
      <c r="C264" t="s">
        <v>611</v>
      </c>
      <c r="D264" t="s">
        <v>612</v>
      </c>
      <c r="E264" t="s">
        <v>9</v>
      </c>
      <c r="F264">
        <v>296</v>
      </c>
      <c r="G264">
        <v>10209.89</v>
      </c>
    </row>
    <row r="265" spans="1:7" hidden="1" x14ac:dyDescent="0.3">
      <c r="A265" s="1">
        <v>45716</v>
      </c>
      <c r="B265" t="s">
        <v>213</v>
      </c>
      <c r="C265" t="s">
        <v>613</v>
      </c>
      <c r="D265" t="s">
        <v>614</v>
      </c>
      <c r="E265" t="s">
        <v>8</v>
      </c>
      <c r="F265">
        <v>292</v>
      </c>
      <c r="G265">
        <v>6670.6</v>
      </c>
    </row>
    <row r="266" spans="1:7" hidden="1" x14ac:dyDescent="0.3">
      <c r="A266" s="1">
        <v>45716</v>
      </c>
      <c r="B266" t="s">
        <v>215</v>
      </c>
      <c r="C266" t="s">
        <v>445</v>
      </c>
      <c r="D266" t="s">
        <v>615</v>
      </c>
      <c r="E266" t="s">
        <v>7</v>
      </c>
      <c r="F266">
        <v>281.75</v>
      </c>
      <c r="G266">
        <v>4167.59</v>
      </c>
    </row>
    <row r="267" spans="1:7" hidden="1" x14ac:dyDescent="0.3">
      <c r="A267" s="1">
        <v>45716</v>
      </c>
      <c r="B267" t="s">
        <v>217</v>
      </c>
      <c r="C267" t="s">
        <v>616</v>
      </c>
      <c r="D267" t="s">
        <v>617</v>
      </c>
      <c r="E267" t="s">
        <v>2</v>
      </c>
      <c r="F267">
        <v>210.5</v>
      </c>
      <c r="G267">
        <v>4275.9800000000005</v>
      </c>
    </row>
    <row r="268" spans="1:7" hidden="1" x14ac:dyDescent="0.3">
      <c r="A268" s="1">
        <v>45716</v>
      </c>
      <c r="B268" t="s">
        <v>219</v>
      </c>
      <c r="C268" t="s">
        <v>618</v>
      </c>
      <c r="D268" t="s">
        <v>619</v>
      </c>
      <c r="E268" t="s">
        <v>15</v>
      </c>
      <c r="F268">
        <v>295.5</v>
      </c>
      <c r="G268">
        <v>4046.41</v>
      </c>
    </row>
    <row r="269" spans="1:7" hidden="1" x14ac:dyDescent="0.3">
      <c r="A269" s="1">
        <v>45716</v>
      </c>
      <c r="B269" t="s">
        <v>221</v>
      </c>
      <c r="C269" t="s">
        <v>620</v>
      </c>
      <c r="D269" t="s">
        <v>621</v>
      </c>
      <c r="E269" t="s">
        <v>2</v>
      </c>
      <c r="F269">
        <v>225.25</v>
      </c>
      <c r="G269">
        <v>3949.3599999999997</v>
      </c>
    </row>
    <row r="270" spans="1:7" hidden="1" x14ac:dyDescent="0.3">
      <c r="A270" s="1">
        <v>45716</v>
      </c>
      <c r="B270" t="s">
        <v>223</v>
      </c>
      <c r="C270" t="s">
        <v>622</v>
      </c>
      <c r="D270" t="s">
        <v>623</v>
      </c>
      <c r="E270" t="s">
        <v>14</v>
      </c>
      <c r="F270">
        <v>296</v>
      </c>
      <c r="G270">
        <v>7684.38</v>
      </c>
    </row>
    <row r="271" spans="1:7" hidden="1" x14ac:dyDescent="0.3">
      <c r="A271" s="1">
        <v>45716</v>
      </c>
      <c r="B271" t="s">
        <v>225</v>
      </c>
      <c r="C271" t="s">
        <v>624</v>
      </c>
      <c r="D271" t="s">
        <v>625</v>
      </c>
      <c r="E271" t="s">
        <v>3</v>
      </c>
      <c r="F271">
        <v>131.25</v>
      </c>
      <c r="G271">
        <v>1897</v>
      </c>
    </row>
    <row r="272" spans="1:7" hidden="1" x14ac:dyDescent="0.3">
      <c r="A272" s="1">
        <v>45716</v>
      </c>
      <c r="B272" t="s">
        <v>227</v>
      </c>
      <c r="C272" t="s">
        <v>626</v>
      </c>
      <c r="D272" t="s">
        <v>627</v>
      </c>
      <c r="E272" t="s">
        <v>7</v>
      </c>
      <c r="F272">
        <v>220</v>
      </c>
      <c r="G272">
        <v>6121.9000000000015</v>
      </c>
    </row>
    <row r="273" spans="1:7" hidden="1" x14ac:dyDescent="0.3">
      <c r="A273" s="1">
        <v>45716</v>
      </c>
      <c r="B273" t="s">
        <v>229</v>
      </c>
      <c r="C273" t="s">
        <v>628</v>
      </c>
      <c r="D273" t="s">
        <v>629</v>
      </c>
      <c r="E273" t="s">
        <v>2</v>
      </c>
      <c r="F273">
        <v>253.5</v>
      </c>
      <c r="G273">
        <v>3314.54</v>
      </c>
    </row>
    <row r="274" spans="1:7" hidden="1" x14ac:dyDescent="0.3">
      <c r="A274" s="1">
        <v>45716</v>
      </c>
      <c r="B274" t="s">
        <v>231</v>
      </c>
      <c r="C274" t="s">
        <v>630</v>
      </c>
      <c r="D274" t="s">
        <v>631</v>
      </c>
      <c r="E274" t="s">
        <v>2</v>
      </c>
      <c r="F274">
        <v>286.5</v>
      </c>
      <c r="G274">
        <v>3897.03</v>
      </c>
    </row>
    <row r="275" spans="1:7" hidden="1" x14ac:dyDescent="0.3">
      <c r="A275" s="1">
        <v>45716</v>
      </c>
      <c r="B275" t="s">
        <v>233</v>
      </c>
      <c r="C275" t="s">
        <v>632</v>
      </c>
      <c r="D275" t="s">
        <v>633</v>
      </c>
      <c r="E275" t="s">
        <v>2</v>
      </c>
      <c r="F275">
        <v>176.75</v>
      </c>
      <c r="G275">
        <v>2463.62</v>
      </c>
    </row>
    <row r="276" spans="1:7" hidden="1" x14ac:dyDescent="0.3">
      <c r="A276" s="1">
        <v>45716</v>
      </c>
      <c r="B276" t="s">
        <v>235</v>
      </c>
      <c r="C276" t="s">
        <v>634</v>
      </c>
      <c r="D276" t="s">
        <v>635</v>
      </c>
      <c r="E276" t="s">
        <v>3</v>
      </c>
      <c r="F276">
        <v>38</v>
      </c>
      <c r="G276">
        <v>2342.59</v>
      </c>
    </row>
    <row r="277" spans="1:7" hidden="1" x14ac:dyDescent="0.3">
      <c r="A277" s="1">
        <v>45716</v>
      </c>
      <c r="B277" t="s">
        <v>237</v>
      </c>
      <c r="C277" t="s">
        <v>636</v>
      </c>
      <c r="D277" t="s">
        <v>637</v>
      </c>
      <c r="E277" t="s">
        <v>5</v>
      </c>
      <c r="F277">
        <v>63</v>
      </c>
      <c r="G277">
        <v>2552.0299999999997</v>
      </c>
    </row>
    <row r="278" spans="1:7" hidden="1" x14ac:dyDescent="0.3">
      <c r="A278" s="1">
        <v>45716</v>
      </c>
      <c r="B278" t="s">
        <v>239</v>
      </c>
      <c r="C278" t="s">
        <v>638</v>
      </c>
      <c r="D278" t="s">
        <v>639</v>
      </c>
      <c r="E278" t="s">
        <v>12</v>
      </c>
      <c r="F278">
        <v>301.5</v>
      </c>
      <c r="G278">
        <v>4793.97</v>
      </c>
    </row>
    <row r="279" spans="1:7" hidden="1" x14ac:dyDescent="0.3">
      <c r="A279" s="1">
        <v>45716</v>
      </c>
      <c r="B279" t="s">
        <v>241</v>
      </c>
      <c r="C279" t="s">
        <v>640</v>
      </c>
      <c r="D279" t="s">
        <v>641</v>
      </c>
      <c r="E279" t="s">
        <v>13</v>
      </c>
      <c r="F279">
        <v>294.25</v>
      </c>
      <c r="G279">
        <v>10131.130000000001</v>
      </c>
    </row>
    <row r="280" spans="1:7" hidden="1" x14ac:dyDescent="0.3">
      <c r="A280" s="1">
        <v>45716</v>
      </c>
      <c r="B280" t="s">
        <v>243</v>
      </c>
      <c r="C280" t="s">
        <v>642</v>
      </c>
      <c r="D280" t="s">
        <v>643</v>
      </c>
      <c r="E280" t="s">
        <v>5</v>
      </c>
      <c r="F280">
        <v>272.5</v>
      </c>
      <c r="G280">
        <v>3339.78</v>
      </c>
    </row>
    <row r="281" spans="1:7" hidden="1" x14ac:dyDescent="0.3">
      <c r="A281" s="1">
        <v>45716</v>
      </c>
      <c r="B281" t="s">
        <v>245</v>
      </c>
      <c r="C281" t="s">
        <v>644</v>
      </c>
      <c r="D281" t="s">
        <v>555</v>
      </c>
      <c r="E281" t="s">
        <v>3</v>
      </c>
      <c r="F281">
        <v>129.5</v>
      </c>
      <c r="G281">
        <v>1663.74</v>
      </c>
    </row>
    <row r="282" spans="1:7" hidden="1" x14ac:dyDescent="0.3">
      <c r="A282" s="1">
        <v>45716</v>
      </c>
      <c r="B282" t="s">
        <v>247</v>
      </c>
      <c r="C282" t="s">
        <v>645</v>
      </c>
      <c r="D282" t="s">
        <v>646</v>
      </c>
      <c r="E282" t="s">
        <v>2</v>
      </c>
      <c r="F282">
        <v>255</v>
      </c>
      <c r="G282">
        <v>3497.2</v>
      </c>
    </row>
    <row r="283" spans="1:7" hidden="1" x14ac:dyDescent="0.3">
      <c r="A283" s="1">
        <v>45716</v>
      </c>
      <c r="B283" t="s">
        <v>249</v>
      </c>
      <c r="C283" t="s">
        <v>647</v>
      </c>
      <c r="D283" t="s">
        <v>648</v>
      </c>
      <c r="E283" t="s">
        <v>2</v>
      </c>
      <c r="F283">
        <v>311</v>
      </c>
      <c r="G283">
        <v>4199.84</v>
      </c>
    </row>
    <row r="284" spans="1:7" hidden="1" x14ac:dyDescent="0.3">
      <c r="A284" s="1">
        <v>45716</v>
      </c>
      <c r="B284" t="s">
        <v>251</v>
      </c>
      <c r="C284" t="s">
        <v>649</v>
      </c>
      <c r="D284" t="s">
        <v>460</v>
      </c>
      <c r="E284" t="s">
        <v>2</v>
      </c>
      <c r="F284">
        <v>22.75</v>
      </c>
      <c r="G284">
        <v>1141.96</v>
      </c>
    </row>
    <row r="285" spans="1:7" hidden="1" x14ac:dyDescent="0.3">
      <c r="A285" s="1">
        <v>45716</v>
      </c>
      <c r="B285" t="s">
        <v>253</v>
      </c>
      <c r="C285" t="s">
        <v>650</v>
      </c>
      <c r="D285" t="s">
        <v>651</v>
      </c>
      <c r="E285" t="s">
        <v>5</v>
      </c>
      <c r="F285">
        <v>277</v>
      </c>
      <c r="G285">
        <v>3244.95</v>
      </c>
    </row>
    <row r="286" spans="1:7" hidden="1" x14ac:dyDescent="0.3">
      <c r="A286" s="1">
        <v>45716</v>
      </c>
      <c r="B286" t="s">
        <v>255</v>
      </c>
      <c r="C286" t="s">
        <v>652</v>
      </c>
      <c r="D286" t="s">
        <v>653</v>
      </c>
      <c r="E286" t="s">
        <v>5</v>
      </c>
      <c r="F286">
        <v>126</v>
      </c>
      <c r="G286">
        <v>1528.4600000000003</v>
      </c>
    </row>
    <row r="287" spans="1:7" hidden="1" x14ac:dyDescent="0.3">
      <c r="A287" s="1">
        <v>45716</v>
      </c>
      <c r="B287" t="s">
        <v>257</v>
      </c>
      <c r="C287" t="s">
        <v>654</v>
      </c>
      <c r="D287" t="s">
        <v>655</v>
      </c>
      <c r="E287" t="s">
        <v>5</v>
      </c>
      <c r="F287">
        <v>0</v>
      </c>
      <c r="G287">
        <v>1.7400000000000091</v>
      </c>
    </row>
    <row r="288" spans="1:7" hidden="1" x14ac:dyDescent="0.3">
      <c r="A288" s="1">
        <v>45716</v>
      </c>
      <c r="B288" t="s">
        <v>259</v>
      </c>
      <c r="C288" t="s">
        <v>656</v>
      </c>
      <c r="D288" t="s">
        <v>657</v>
      </c>
      <c r="E288" t="s">
        <v>2</v>
      </c>
      <c r="F288">
        <v>225.25</v>
      </c>
      <c r="G288">
        <v>3340.7</v>
      </c>
    </row>
    <row r="289" spans="1:7" hidden="1" x14ac:dyDescent="0.3">
      <c r="A289" s="1">
        <v>45716</v>
      </c>
      <c r="B289" t="s">
        <v>261</v>
      </c>
      <c r="C289" t="s">
        <v>658</v>
      </c>
      <c r="D289" t="s">
        <v>659</v>
      </c>
      <c r="E289" t="s">
        <v>13</v>
      </c>
      <c r="F289">
        <v>136.5</v>
      </c>
      <c r="G289">
        <v>2509.25</v>
      </c>
    </row>
    <row r="290" spans="1:7" hidden="1" x14ac:dyDescent="0.3">
      <c r="A290" s="1">
        <v>45716</v>
      </c>
      <c r="B290" t="s">
        <v>263</v>
      </c>
      <c r="C290" t="s">
        <v>660</v>
      </c>
      <c r="D290" t="s">
        <v>661</v>
      </c>
      <c r="E290" t="s">
        <v>2</v>
      </c>
      <c r="F290">
        <v>221</v>
      </c>
      <c r="G290">
        <v>2627.98</v>
      </c>
    </row>
    <row r="291" spans="1:7" hidden="1" x14ac:dyDescent="0.3">
      <c r="A291" s="1">
        <v>45716</v>
      </c>
      <c r="B291" t="s">
        <v>265</v>
      </c>
      <c r="C291" t="s">
        <v>662</v>
      </c>
      <c r="D291" t="s">
        <v>646</v>
      </c>
      <c r="E291" t="s">
        <v>7</v>
      </c>
      <c r="F291">
        <v>281</v>
      </c>
      <c r="G291">
        <v>10968.16</v>
      </c>
    </row>
    <row r="292" spans="1:7" hidden="1" x14ac:dyDescent="0.3">
      <c r="A292" s="1">
        <v>45716</v>
      </c>
      <c r="B292" t="s">
        <v>267</v>
      </c>
      <c r="C292" t="s">
        <v>663</v>
      </c>
      <c r="D292" t="s">
        <v>664</v>
      </c>
      <c r="E292" t="s">
        <v>10</v>
      </c>
      <c r="F292">
        <v>243</v>
      </c>
      <c r="G292">
        <v>4335.6100000000006</v>
      </c>
    </row>
    <row r="293" spans="1:7" hidden="1" x14ac:dyDescent="0.3">
      <c r="A293" s="1">
        <v>45716</v>
      </c>
      <c r="B293" t="s">
        <v>269</v>
      </c>
      <c r="C293" t="s">
        <v>665</v>
      </c>
      <c r="D293" t="s">
        <v>666</v>
      </c>
      <c r="E293" t="s">
        <v>2</v>
      </c>
      <c r="F293">
        <v>257</v>
      </c>
      <c r="G293">
        <v>3867.29</v>
      </c>
    </row>
    <row r="294" spans="1:7" hidden="1" x14ac:dyDescent="0.3">
      <c r="A294" s="1">
        <v>45716</v>
      </c>
      <c r="B294" t="s">
        <v>271</v>
      </c>
      <c r="C294" t="s">
        <v>667</v>
      </c>
      <c r="D294" t="s">
        <v>668</v>
      </c>
      <c r="E294" t="s">
        <v>2</v>
      </c>
      <c r="F294">
        <v>259.5</v>
      </c>
      <c r="G294">
        <v>3059.86</v>
      </c>
    </row>
    <row r="295" spans="1:7" hidden="1" x14ac:dyDescent="0.3">
      <c r="A295" s="1">
        <v>45716</v>
      </c>
      <c r="B295" t="s">
        <v>273</v>
      </c>
      <c r="C295" t="s">
        <v>669</v>
      </c>
      <c r="D295" t="s">
        <v>670</v>
      </c>
      <c r="E295" t="s">
        <v>3</v>
      </c>
      <c r="F295">
        <v>230.75</v>
      </c>
      <c r="G295">
        <v>2990.75</v>
      </c>
    </row>
    <row r="296" spans="1:7" hidden="1" x14ac:dyDescent="0.3">
      <c r="A296" s="1">
        <v>45716</v>
      </c>
      <c r="B296" t="s">
        <v>275</v>
      </c>
      <c r="C296" t="s">
        <v>671</v>
      </c>
      <c r="D296" t="s">
        <v>672</v>
      </c>
      <c r="E296" t="s">
        <v>13</v>
      </c>
      <c r="F296">
        <v>191.5</v>
      </c>
      <c r="G296">
        <v>3139.11</v>
      </c>
    </row>
    <row r="297" spans="1:7" hidden="1" x14ac:dyDescent="0.3">
      <c r="A297" s="1">
        <v>45716</v>
      </c>
      <c r="B297" t="s">
        <v>277</v>
      </c>
      <c r="C297" t="s">
        <v>673</v>
      </c>
      <c r="D297" t="s">
        <v>674</v>
      </c>
      <c r="E297" t="s">
        <v>3</v>
      </c>
      <c r="F297">
        <v>290.75</v>
      </c>
      <c r="G297">
        <v>3359.7</v>
      </c>
    </row>
    <row r="298" spans="1:7" hidden="1" x14ac:dyDescent="0.3">
      <c r="A298" s="1">
        <v>45716</v>
      </c>
      <c r="B298" t="s">
        <v>279</v>
      </c>
      <c r="C298" t="s">
        <v>675</v>
      </c>
      <c r="D298" t="s">
        <v>676</v>
      </c>
      <c r="E298" t="s">
        <v>13</v>
      </c>
      <c r="F298">
        <v>257</v>
      </c>
      <c r="G298">
        <v>4199.58</v>
      </c>
    </row>
    <row r="299" spans="1:7" hidden="1" x14ac:dyDescent="0.3">
      <c r="A299" s="1">
        <v>45716</v>
      </c>
      <c r="B299" t="s">
        <v>281</v>
      </c>
      <c r="C299" t="s">
        <v>677</v>
      </c>
      <c r="D299" t="s">
        <v>678</v>
      </c>
      <c r="E299" t="s">
        <v>7</v>
      </c>
      <c r="F299">
        <v>258.25</v>
      </c>
      <c r="G299">
        <v>6793.2999999999993</v>
      </c>
    </row>
    <row r="300" spans="1:7" hidden="1" x14ac:dyDescent="0.3">
      <c r="A300" s="1">
        <v>45716</v>
      </c>
      <c r="B300" t="s">
        <v>283</v>
      </c>
      <c r="C300" t="s">
        <v>679</v>
      </c>
      <c r="D300" t="s">
        <v>680</v>
      </c>
      <c r="E300" t="s">
        <v>3</v>
      </c>
      <c r="F300">
        <v>200</v>
      </c>
      <c r="G300">
        <v>2293.6</v>
      </c>
    </row>
    <row r="301" spans="1:7" hidden="1" x14ac:dyDescent="0.3">
      <c r="A301" s="1">
        <v>45716</v>
      </c>
      <c r="B301" t="s">
        <v>285</v>
      </c>
      <c r="C301" t="s">
        <v>681</v>
      </c>
      <c r="D301" t="s">
        <v>504</v>
      </c>
      <c r="E301" t="s">
        <v>5</v>
      </c>
      <c r="F301">
        <v>285.25</v>
      </c>
      <c r="G301">
        <v>3322.48</v>
      </c>
    </row>
    <row r="302" spans="1:7" hidden="1" x14ac:dyDescent="0.3">
      <c r="A302" s="1">
        <v>45716</v>
      </c>
      <c r="B302" t="s">
        <v>287</v>
      </c>
      <c r="C302" t="s">
        <v>682</v>
      </c>
      <c r="D302" t="s">
        <v>683</v>
      </c>
      <c r="E302" t="s">
        <v>5</v>
      </c>
      <c r="F302">
        <v>272.5</v>
      </c>
      <c r="G302">
        <v>3055.64</v>
      </c>
    </row>
    <row r="303" spans="1:7" hidden="1" x14ac:dyDescent="0.3">
      <c r="A303" s="1">
        <v>45716</v>
      </c>
      <c r="B303" t="s">
        <v>289</v>
      </c>
      <c r="C303" t="s">
        <v>684</v>
      </c>
      <c r="D303" t="s">
        <v>685</v>
      </c>
      <c r="E303" t="s">
        <v>5</v>
      </c>
      <c r="F303">
        <v>281</v>
      </c>
      <c r="G303">
        <v>3283.97</v>
      </c>
    </row>
    <row r="304" spans="1:7" hidden="1" x14ac:dyDescent="0.3">
      <c r="A304" s="1">
        <v>45716</v>
      </c>
      <c r="B304" t="s">
        <v>291</v>
      </c>
      <c r="C304" t="s">
        <v>686</v>
      </c>
      <c r="D304" t="s">
        <v>534</v>
      </c>
      <c r="E304" t="s">
        <v>14</v>
      </c>
      <c r="F304">
        <v>296</v>
      </c>
      <c r="G304">
        <v>5700.83</v>
      </c>
    </row>
    <row r="305" spans="1:7" hidden="1" x14ac:dyDescent="0.3">
      <c r="A305" s="1">
        <v>45716</v>
      </c>
      <c r="B305" t="s">
        <v>293</v>
      </c>
      <c r="C305" t="s">
        <v>687</v>
      </c>
      <c r="D305" t="s">
        <v>688</v>
      </c>
      <c r="E305" t="s">
        <v>2</v>
      </c>
      <c r="F305">
        <v>307.5</v>
      </c>
      <c r="G305">
        <v>4591.91</v>
      </c>
    </row>
    <row r="306" spans="1:7" hidden="1" x14ac:dyDescent="0.3">
      <c r="A306" s="1">
        <v>45716</v>
      </c>
      <c r="B306" t="s">
        <v>295</v>
      </c>
      <c r="C306" t="s">
        <v>689</v>
      </c>
      <c r="D306" t="s">
        <v>690</v>
      </c>
      <c r="E306" t="s">
        <v>5</v>
      </c>
      <c r="F306">
        <v>225.75</v>
      </c>
      <c r="G306">
        <v>2977.79</v>
      </c>
    </row>
    <row r="307" spans="1:7" hidden="1" x14ac:dyDescent="0.3">
      <c r="A307" s="1">
        <v>45716</v>
      </c>
      <c r="B307" t="s">
        <v>297</v>
      </c>
      <c r="C307" t="s">
        <v>691</v>
      </c>
      <c r="D307" t="s">
        <v>648</v>
      </c>
      <c r="E307" t="s">
        <v>2</v>
      </c>
      <c r="F307">
        <v>251.5</v>
      </c>
      <c r="G307">
        <v>4002.0499999999993</v>
      </c>
    </row>
    <row r="308" spans="1:7" hidden="1" x14ac:dyDescent="0.3">
      <c r="A308" s="1">
        <v>45716</v>
      </c>
      <c r="B308" t="s">
        <v>299</v>
      </c>
      <c r="C308" t="s">
        <v>692</v>
      </c>
      <c r="D308" t="s">
        <v>551</v>
      </c>
      <c r="E308" t="s">
        <v>10</v>
      </c>
      <c r="F308">
        <v>217</v>
      </c>
      <c r="G308">
        <v>4031.4200000000005</v>
      </c>
    </row>
    <row r="309" spans="1:7" hidden="1" x14ac:dyDescent="0.3">
      <c r="A309" s="1">
        <v>45716</v>
      </c>
      <c r="B309" t="s">
        <v>301</v>
      </c>
      <c r="C309" t="s">
        <v>693</v>
      </c>
      <c r="D309" t="s">
        <v>694</v>
      </c>
      <c r="E309" t="s">
        <v>5</v>
      </c>
      <c r="F309">
        <v>167</v>
      </c>
      <c r="G309">
        <v>2407.0300000000002</v>
      </c>
    </row>
    <row r="310" spans="1:7" hidden="1" x14ac:dyDescent="0.3">
      <c r="A310" s="1">
        <v>45716</v>
      </c>
      <c r="B310" t="s">
        <v>303</v>
      </c>
      <c r="C310" t="s">
        <v>695</v>
      </c>
      <c r="D310" t="s">
        <v>696</v>
      </c>
      <c r="E310" t="s">
        <v>13</v>
      </c>
      <c r="F310">
        <v>217</v>
      </c>
      <c r="G310">
        <v>3607.95</v>
      </c>
    </row>
    <row r="311" spans="1:7" hidden="1" x14ac:dyDescent="0.3">
      <c r="A311" s="1">
        <v>45716</v>
      </c>
      <c r="B311" t="s">
        <v>305</v>
      </c>
      <c r="C311" t="s">
        <v>697</v>
      </c>
      <c r="D311" t="s">
        <v>698</v>
      </c>
      <c r="E311" t="s">
        <v>5</v>
      </c>
      <c r="F311">
        <v>285</v>
      </c>
      <c r="G311">
        <v>3316.2100000000005</v>
      </c>
    </row>
    <row r="312" spans="1:7" hidden="1" x14ac:dyDescent="0.3">
      <c r="A312" s="1">
        <v>45716</v>
      </c>
      <c r="B312" t="s">
        <v>307</v>
      </c>
      <c r="C312" t="s">
        <v>699</v>
      </c>
      <c r="D312" t="s">
        <v>456</v>
      </c>
      <c r="E312" t="s">
        <v>13</v>
      </c>
      <c r="F312">
        <v>155.75</v>
      </c>
      <c r="G312">
        <v>2847.86</v>
      </c>
    </row>
    <row r="313" spans="1:7" hidden="1" x14ac:dyDescent="0.3">
      <c r="A313" s="1">
        <v>45716</v>
      </c>
      <c r="B313" t="s">
        <v>309</v>
      </c>
      <c r="C313" t="s">
        <v>700</v>
      </c>
      <c r="D313" t="s">
        <v>701</v>
      </c>
      <c r="E313" t="s">
        <v>10</v>
      </c>
      <c r="F313">
        <v>308.5</v>
      </c>
      <c r="G313">
        <v>6561.63</v>
      </c>
    </row>
    <row r="314" spans="1:7" hidden="1" x14ac:dyDescent="0.3">
      <c r="A314" s="1">
        <v>45716</v>
      </c>
      <c r="B314" t="s">
        <v>311</v>
      </c>
      <c r="C314" t="s">
        <v>702</v>
      </c>
      <c r="D314" t="s">
        <v>703</v>
      </c>
      <c r="E314" t="s">
        <v>5</v>
      </c>
      <c r="F314">
        <v>242.25</v>
      </c>
      <c r="G314">
        <v>3162.5</v>
      </c>
    </row>
    <row r="315" spans="1:7" hidden="1" x14ac:dyDescent="0.3">
      <c r="A315" s="1">
        <v>45716</v>
      </c>
      <c r="B315" t="s">
        <v>313</v>
      </c>
      <c r="C315" t="s">
        <v>704</v>
      </c>
      <c r="D315" t="s">
        <v>705</v>
      </c>
      <c r="E315" t="s">
        <v>13</v>
      </c>
      <c r="F315">
        <v>203.5</v>
      </c>
      <c r="G315">
        <v>3200.9199999999996</v>
      </c>
    </row>
    <row r="316" spans="1:7" hidden="1" x14ac:dyDescent="0.3">
      <c r="A316" s="1">
        <v>45716</v>
      </c>
      <c r="B316" t="s">
        <v>315</v>
      </c>
      <c r="C316" t="s">
        <v>706</v>
      </c>
      <c r="D316" t="s">
        <v>707</v>
      </c>
      <c r="E316" t="s">
        <v>6</v>
      </c>
      <c r="F316">
        <v>309.75</v>
      </c>
      <c r="G316">
        <v>3613.52</v>
      </c>
    </row>
    <row r="317" spans="1:7" hidden="1" x14ac:dyDescent="0.3">
      <c r="A317" s="1">
        <v>45716</v>
      </c>
      <c r="B317" t="s">
        <v>317</v>
      </c>
      <c r="C317" t="s">
        <v>708</v>
      </c>
      <c r="D317" t="s">
        <v>709</v>
      </c>
      <c r="E317" t="s">
        <v>3</v>
      </c>
      <c r="F317">
        <v>45</v>
      </c>
      <c r="G317">
        <v>1701.22</v>
      </c>
    </row>
    <row r="318" spans="1:7" hidden="1" x14ac:dyDescent="0.3">
      <c r="A318" s="1">
        <v>45716</v>
      </c>
      <c r="B318" t="s">
        <v>319</v>
      </c>
      <c r="C318" t="s">
        <v>710</v>
      </c>
      <c r="D318" t="s">
        <v>711</v>
      </c>
      <c r="E318" t="s">
        <v>2</v>
      </c>
      <c r="F318">
        <v>289</v>
      </c>
      <c r="G318">
        <v>4606.59</v>
      </c>
    </row>
    <row r="319" spans="1:7" hidden="1" x14ac:dyDescent="0.3">
      <c r="A319" s="1">
        <v>45716</v>
      </c>
      <c r="B319" t="s">
        <v>321</v>
      </c>
      <c r="C319" t="s">
        <v>712</v>
      </c>
      <c r="D319" t="s">
        <v>713</v>
      </c>
      <c r="E319" t="s">
        <v>2</v>
      </c>
      <c r="F319">
        <v>296</v>
      </c>
      <c r="G319">
        <v>4681.46</v>
      </c>
    </row>
    <row r="320" spans="1:7" hidden="1" x14ac:dyDescent="0.3">
      <c r="A320" s="1">
        <v>45716</v>
      </c>
      <c r="B320" t="s">
        <v>323</v>
      </c>
      <c r="C320" t="s">
        <v>714</v>
      </c>
      <c r="D320" t="s">
        <v>715</v>
      </c>
      <c r="E320" t="s">
        <v>13</v>
      </c>
      <c r="F320">
        <v>210</v>
      </c>
      <c r="G320">
        <v>3475.53</v>
      </c>
    </row>
    <row r="321" spans="1:7" hidden="1" x14ac:dyDescent="0.3">
      <c r="A321" s="1">
        <v>45716</v>
      </c>
      <c r="B321" t="s">
        <v>325</v>
      </c>
      <c r="C321" t="s">
        <v>716</v>
      </c>
      <c r="D321" t="s">
        <v>717</v>
      </c>
      <c r="E321" t="s">
        <v>13</v>
      </c>
      <c r="F321">
        <v>168</v>
      </c>
      <c r="G321">
        <v>2270.1999999999998</v>
      </c>
    </row>
    <row r="322" spans="1:7" hidden="1" x14ac:dyDescent="0.3">
      <c r="A322" s="1">
        <v>45716</v>
      </c>
      <c r="B322" t="s">
        <v>327</v>
      </c>
      <c r="C322" t="s">
        <v>718</v>
      </c>
      <c r="D322" t="s">
        <v>719</v>
      </c>
      <c r="E322" t="s">
        <v>5</v>
      </c>
      <c r="F322">
        <v>220</v>
      </c>
      <c r="G322">
        <v>2919.9100000000003</v>
      </c>
    </row>
    <row r="323" spans="1:7" hidden="1" x14ac:dyDescent="0.3">
      <c r="A323" s="1">
        <v>45716</v>
      </c>
      <c r="B323" t="s">
        <v>329</v>
      </c>
      <c r="C323" t="s">
        <v>720</v>
      </c>
      <c r="D323" t="s">
        <v>721</v>
      </c>
      <c r="E323" t="s">
        <v>6</v>
      </c>
      <c r="F323">
        <v>228</v>
      </c>
      <c r="G323">
        <v>2976.6200000000003</v>
      </c>
    </row>
    <row r="324" spans="1:7" hidden="1" x14ac:dyDescent="0.3">
      <c r="A324" s="1">
        <v>45716</v>
      </c>
      <c r="B324" t="s">
        <v>331</v>
      </c>
      <c r="C324" t="s">
        <v>722</v>
      </c>
      <c r="D324" t="s">
        <v>723</v>
      </c>
      <c r="E324" t="s">
        <v>3</v>
      </c>
      <c r="F324">
        <v>104</v>
      </c>
      <c r="G324">
        <v>1090.3399999999999</v>
      </c>
    </row>
    <row r="325" spans="1:7" hidden="1" x14ac:dyDescent="0.3">
      <c r="A325" s="1">
        <v>45716</v>
      </c>
      <c r="B325" t="s">
        <v>333</v>
      </c>
      <c r="C325" t="s">
        <v>724</v>
      </c>
      <c r="D325" t="s">
        <v>725</v>
      </c>
      <c r="E325" t="s">
        <v>14</v>
      </c>
      <c r="F325">
        <v>100</v>
      </c>
      <c r="G325">
        <v>1625.13</v>
      </c>
    </row>
    <row r="326" spans="1:7" hidden="1" x14ac:dyDescent="0.3">
      <c r="A326" s="1">
        <v>45716</v>
      </c>
      <c r="B326" t="s">
        <v>366</v>
      </c>
      <c r="C326" t="s">
        <v>751</v>
      </c>
      <c r="D326" t="s">
        <v>601</v>
      </c>
      <c r="E326" t="s">
        <v>5</v>
      </c>
      <c r="F326">
        <v>105.25</v>
      </c>
      <c r="G326">
        <v>1363.4</v>
      </c>
    </row>
    <row r="327" spans="1:7" hidden="1" x14ac:dyDescent="0.3">
      <c r="A327" s="1">
        <v>45716</v>
      </c>
      <c r="B327" t="s">
        <v>335</v>
      </c>
      <c r="C327" t="s">
        <v>726</v>
      </c>
      <c r="D327" t="s">
        <v>551</v>
      </c>
      <c r="E327" t="s">
        <v>2</v>
      </c>
      <c r="F327">
        <v>120.75</v>
      </c>
      <c r="G327">
        <v>2097.98</v>
      </c>
    </row>
    <row r="328" spans="1:7" hidden="1" x14ac:dyDescent="0.3">
      <c r="A328" s="1">
        <v>45716</v>
      </c>
      <c r="B328" t="s">
        <v>368</v>
      </c>
      <c r="C328" t="s">
        <v>752</v>
      </c>
      <c r="D328" t="s">
        <v>753</v>
      </c>
      <c r="E328" t="s">
        <v>13</v>
      </c>
      <c r="F328">
        <v>90</v>
      </c>
      <c r="G328">
        <v>1379.55</v>
      </c>
    </row>
    <row r="329" spans="1:7" hidden="1" x14ac:dyDescent="0.3">
      <c r="A329" s="1">
        <v>45716</v>
      </c>
      <c r="B329" t="s">
        <v>370</v>
      </c>
      <c r="C329" t="s">
        <v>727</v>
      </c>
      <c r="D329" t="s">
        <v>728</v>
      </c>
      <c r="E329" t="s">
        <v>5</v>
      </c>
      <c r="F329">
        <v>120</v>
      </c>
      <c r="G329">
        <v>1482.66</v>
      </c>
    </row>
    <row r="330" spans="1:7" hidden="1" x14ac:dyDescent="0.3">
      <c r="A330" s="1">
        <v>45716</v>
      </c>
      <c r="B330" t="s">
        <v>371</v>
      </c>
      <c r="C330" t="s">
        <v>754</v>
      </c>
      <c r="D330" t="s">
        <v>755</v>
      </c>
      <c r="E330" t="s">
        <v>11</v>
      </c>
      <c r="F330">
        <v>31</v>
      </c>
      <c r="G330">
        <v>2850.92</v>
      </c>
    </row>
    <row r="331" spans="1:7" hidden="1" x14ac:dyDescent="0.3">
      <c r="A331" s="1">
        <v>45716</v>
      </c>
      <c r="B331" t="s">
        <v>373</v>
      </c>
      <c r="C331" t="s">
        <v>756</v>
      </c>
      <c r="D331" t="s">
        <v>757</v>
      </c>
      <c r="E331" t="s">
        <v>13</v>
      </c>
      <c r="F331">
        <v>76</v>
      </c>
      <c r="G331">
        <v>1208.42</v>
      </c>
    </row>
    <row r="332" spans="1:7" hidden="1" x14ac:dyDescent="0.3">
      <c r="A332" s="1">
        <v>45716</v>
      </c>
      <c r="B332" t="s">
        <v>375</v>
      </c>
      <c r="C332" t="s">
        <v>758</v>
      </c>
      <c r="D332" t="s">
        <v>759</v>
      </c>
      <c r="E332" t="s">
        <v>13</v>
      </c>
      <c r="F332">
        <v>30</v>
      </c>
      <c r="G332">
        <v>355.66</v>
      </c>
    </row>
    <row r="333" spans="1:7" hidden="1" x14ac:dyDescent="0.3">
      <c r="A333" s="1">
        <v>45716</v>
      </c>
      <c r="B333" t="s">
        <v>377</v>
      </c>
      <c r="C333" t="s">
        <v>760</v>
      </c>
      <c r="D333" t="s">
        <v>761</v>
      </c>
      <c r="E333" t="s">
        <v>2</v>
      </c>
      <c r="F333">
        <v>38.5</v>
      </c>
      <c r="G333">
        <v>317.36</v>
      </c>
    </row>
    <row r="334" spans="1:7" x14ac:dyDescent="0.3">
      <c r="A334" s="1">
        <v>45716</v>
      </c>
      <c r="B334" t="s">
        <v>379</v>
      </c>
      <c r="C334" t="s">
        <v>739</v>
      </c>
      <c r="D334" t="s">
        <v>519</v>
      </c>
      <c r="E334" t="s">
        <v>2</v>
      </c>
      <c r="F334">
        <v>33</v>
      </c>
      <c r="G334">
        <v>272.04000000000002</v>
      </c>
    </row>
    <row r="335" spans="1:7" hidden="1" x14ac:dyDescent="0.3">
      <c r="A335" s="1">
        <v>45716</v>
      </c>
      <c r="B335" t="s">
        <v>337</v>
      </c>
      <c r="C335" t="s">
        <v>727</v>
      </c>
      <c r="D335" t="s">
        <v>728</v>
      </c>
      <c r="E335" t="s">
        <v>5</v>
      </c>
      <c r="F335">
        <v>0</v>
      </c>
      <c r="G335">
        <v>566.08000000000004</v>
      </c>
    </row>
    <row r="336" spans="1:7" hidden="1" x14ac:dyDescent="0.3">
      <c r="A336" s="1">
        <v>45716</v>
      </c>
      <c r="B336" t="s">
        <v>339</v>
      </c>
      <c r="C336" t="s">
        <v>729</v>
      </c>
      <c r="D336" t="s">
        <v>641</v>
      </c>
      <c r="E336" t="s">
        <v>8</v>
      </c>
      <c r="F336">
        <v>0</v>
      </c>
      <c r="G336">
        <v>932.16</v>
      </c>
    </row>
    <row r="337" spans="1:7" hidden="1" x14ac:dyDescent="0.3">
      <c r="A337" s="1">
        <v>45716</v>
      </c>
      <c r="B337" t="s">
        <v>341</v>
      </c>
      <c r="C337" t="s">
        <v>730</v>
      </c>
      <c r="D337" t="s">
        <v>731</v>
      </c>
      <c r="E337" t="s">
        <v>13</v>
      </c>
      <c r="F337">
        <v>0</v>
      </c>
      <c r="G337">
        <v>1338.19</v>
      </c>
    </row>
    <row r="338" spans="1:7" hidden="1" x14ac:dyDescent="0.3">
      <c r="A338" s="1">
        <v>45716</v>
      </c>
      <c r="B338" t="s">
        <v>343</v>
      </c>
      <c r="C338" t="s">
        <v>726</v>
      </c>
      <c r="D338" t="s">
        <v>551</v>
      </c>
      <c r="E338" t="s">
        <v>2</v>
      </c>
      <c r="F338">
        <v>0</v>
      </c>
      <c r="G338">
        <v>11.58</v>
      </c>
    </row>
    <row r="339" spans="1:7" hidden="1" x14ac:dyDescent="0.3">
      <c r="A339" s="1">
        <v>45716</v>
      </c>
      <c r="B339" t="s">
        <v>344</v>
      </c>
      <c r="C339" t="s">
        <v>732</v>
      </c>
      <c r="D339" t="s">
        <v>733</v>
      </c>
      <c r="E339" t="s">
        <v>5</v>
      </c>
      <c r="F339">
        <v>0</v>
      </c>
      <c r="G339">
        <v>1032.1600000000001</v>
      </c>
    </row>
    <row r="340" spans="1:7" hidden="1" x14ac:dyDescent="0.3">
      <c r="A340" s="1">
        <v>45716</v>
      </c>
      <c r="B340" t="s">
        <v>346</v>
      </c>
      <c r="C340" t="s">
        <v>734</v>
      </c>
      <c r="D340" t="s">
        <v>440</v>
      </c>
      <c r="E340" t="s">
        <v>5</v>
      </c>
      <c r="F340">
        <v>0</v>
      </c>
      <c r="G340">
        <v>1032.1600000000001</v>
      </c>
    </row>
    <row r="341" spans="1:7" hidden="1" x14ac:dyDescent="0.3">
      <c r="A341" s="1">
        <v>45716</v>
      </c>
      <c r="B341" t="s">
        <v>426</v>
      </c>
      <c r="C341" t="s">
        <v>735</v>
      </c>
      <c r="D341" t="s">
        <v>736</v>
      </c>
      <c r="E341" t="s">
        <v>5</v>
      </c>
      <c r="F341">
        <v>0</v>
      </c>
      <c r="G341">
        <v>0</v>
      </c>
    </row>
    <row r="342" spans="1:7" hidden="1" x14ac:dyDescent="0.3">
      <c r="A342" s="1">
        <v>45716</v>
      </c>
      <c r="B342" t="s">
        <v>348</v>
      </c>
      <c r="C342" t="s">
        <v>720</v>
      </c>
      <c r="D342" t="s">
        <v>721</v>
      </c>
      <c r="E342" t="s">
        <v>6</v>
      </c>
      <c r="F342">
        <v>0</v>
      </c>
      <c r="G342">
        <v>23.91</v>
      </c>
    </row>
    <row r="343" spans="1:7" hidden="1" x14ac:dyDescent="0.3">
      <c r="A343" s="1">
        <v>45716</v>
      </c>
      <c r="B343" t="s">
        <v>349</v>
      </c>
      <c r="C343" t="s">
        <v>737</v>
      </c>
      <c r="D343" t="s">
        <v>738</v>
      </c>
      <c r="E343" t="s">
        <v>5</v>
      </c>
      <c r="F343">
        <v>0</v>
      </c>
      <c r="G343">
        <v>931.52</v>
      </c>
    </row>
    <row r="344" spans="1:7" x14ac:dyDescent="0.3">
      <c r="A344" s="1">
        <v>45716</v>
      </c>
      <c r="B344" t="s">
        <v>351</v>
      </c>
      <c r="C344" t="s">
        <v>739</v>
      </c>
      <c r="D344" t="s">
        <v>519</v>
      </c>
      <c r="E344" t="s">
        <v>2</v>
      </c>
      <c r="F344">
        <v>0</v>
      </c>
      <c r="G344">
        <v>27.02</v>
      </c>
    </row>
    <row r="345" spans="1:7" hidden="1" x14ac:dyDescent="0.3">
      <c r="A345" s="1">
        <v>45716</v>
      </c>
      <c r="B345" t="s">
        <v>353</v>
      </c>
      <c r="C345" t="s">
        <v>740</v>
      </c>
      <c r="D345" t="s">
        <v>741</v>
      </c>
      <c r="E345" t="s">
        <v>5</v>
      </c>
      <c r="F345">
        <v>0</v>
      </c>
      <c r="G345">
        <v>932.16</v>
      </c>
    </row>
    <row r="346" spans="1:7" hidden="1" x14ac:dyDescent="0.3">
      <c r="A346" s="1">
        <v>45716</v>
      </c>
      <c r="B346" t="s">
        <v>355</v>
      </c>
      <c r="C346" t="s">
        <v>742</v>
      </c>
      <c r="D346" t="s">
        <v>743</v>
      </c>
      <c r="E346" t="s">
        <v>5</v>
      </c>
      <c r="F346">
        <v>0</v>
      </c>
      <c r="G346">
        <v>932.16</v>
      </c>
    </row>
    <row r="347" spans="1:7" hidden="1" x14ac:dyDescent="0.3">
      <c r="A347" s="1">
        <v>45716</v>
      </c>
      <c r="B347" t="s">
        <v>357</v>
      </c>
      <c r="C347" t="s">
        <v>744</v>
      </c>
      <c r="D347" t="s">
        <v>745</v>
      </c>
      <c r="E347" t="s">
        <v>3</v>
      </c>
      <c r="F347">
        <v>0</v>
      </c>
      <c r="G347">
        <v>32.159999999999997</v>
      </c>
    </row>
    <row r="348" spans="1:7" hidden="1" x14ac:dyDescent="0.3">
      <c r="A348" s="1">
        <v>45716</v>
      </c>
      <c r="B348" t="s">
        <v>359</v>
      </c>
      <c r="C348" t="s">
        <v>746</v>
      </c>
      <c r="D348" t="s">
        <v>747</v>
      </c>
      <c r="E348" t="s">
        <v>3</v>
      </c>
      <c r="F348">
        <v>0</v>
      </c>
      <c r="G348">
        <v>23.16</v>
      </c>
    </row>
    <row r="349" spans="1:7" hidden="1" x14ac:dyDescent="0.3">
      <c r="A349" s="1">
        <v>45716</v>
      </c>
      <c r="B349" t="s">
        <v>361</v>
      </c>
      <c r="C349" t="s">
        <v>748</v>
      </c>
      <c r="D349" t="s">
        <v>749</v>
      </c>
      <c r="E349" t="s">
        <v>5</v>
      </c>
      <c r="F349">
        <v>0</v>
      </c>
      <c r="G349">
        <v>249.01</v>
      </c>
    </row>
    <row r="350" spans="1:7" hidden="1" x14ac:dyDescent="0.3">
      <c r="A350" s="1">
        <v>45716</v>
      </c>
      <c r="B350" t="s">
        <v>363</v>
      </c>
      <c r="C350" t="s">
        <v>750</v>
      </c>
      <c r="D350" t="s">
        <v>446</v>
      </c>
      <c r="E350" t="s">
        <v>11</v>
      </c>
      <c r="F350">
        <v>0</v>
      </c>
      <c r="G350">
        <v>745.87</v>
      </c>
    </row>
    <row r="351" spans="1:7" hidden="1" x14ac:dyDescent="0.3">
      <c r="A351" s="1">
        <v>45716</v>
      </c>
      <c r="B351" t="s">
        <v>365</v>
      </c>
      <c r="C351" t="s">
        <v>459</v>
      </c>
      <c r="D351" t="s">
        <v>460</v>
      </c>
      <c r="E351" t="s">
        <v>11</v>
      </c>
      <c r="F351">
        <v>0</v>
      </c>
      <c r="G351">
        <v>2900</v>
      </c>
    </row>
    <row r="352" spans="1:7" hidden="1" x14ac:dyDescent="0.3">
      <c r="A352" s="1">
        <v>45747</v>
      </c>
      <c r="B352" t="s">
        <v>29</v>
      </c>
      <c r="C352" t="s">
        <v>437</v>
      </c>
      <c r="D352" t="s">
        <v>438</v>
      </c>
      <c r="E352" t="s">
        <v>2</v>
      </c>
      <c r="F352">
        <v>437.5</v>
      </c>
      <c r="G352">
        <v>5926.71</v>
      </c>
    </row>
    <row r="353" spans="1:7" hidden="1" x14ac:dyDescent="0.3">
      <c r="A353" s="1">
        <v>45747</v>
      </c>
      <c r="B353" t="s">
        <v>41</v>
      </c>
      <c r="C353" t="s">
        <v>449</v>
      </c>
      <c r="D353" t="s">
        <v>450</v>
      </c>
      <c r="E353" t="s">
        <v>15</v>
      </c>
      <c r="F353">
        <v>431.75</v>
      </c>
      <c r="G353">
        <v>9420.68</v>
      </c>
    </row>
    <row r="354" spans="1:7" hidden="1" x14ac:dyDescent="0.3">
      <c r="A354" s="1">
        <v>45747</v>
      </c>
      <c r="B354" t="s">
        <v>31</v>
      </c>
      <c r="C354" t="s">
        <v>439</v>
      </c>
      <c r="D354" t="s">
        <v>440</v>
      </c>
      <c r="E354" t="s">
        <v>2</v>
      </c>
      <c r="F354">
        <v>161.75</v>
      </c>
      <c r="G354">
        <v>5637.12</v>
      </c>
    </row>
    <row r="355" spans="1:7" hidden="1" x14ac:dyDescent="0.3">
      <c r="A355" s="1">
        <v>45747</v>
      </c>
      <c r="B355" t="s">
        <v>43</v>
      </c>
      <c r="C355" t="s">
        <v>451</v>
      </c>
      <c r="D355" t="s">
        <v>452</v>
      </c>
      <c r="E355" t="s">
        <v>3</v>
      </c>
      <c r="F355">
        <v>429</v>
      </c>
      <c r="G355">
        <v>9294.4</v>
      </c>
    </row>
    <row r="356" spans="1:7" hidden="1" x14ac:dyDescent="0.3">
      <c r="A356" s="1">
        <v>45747</v>
      </c>
      <c r="B356" t="s">
        <v>51</v>
      </c>
      <c r="C356" t="s">
        <v>459</v>
      </c>
      <c r="D356" t="s">
        <v>460</v>
      </c>
      <c r="E356" t="s">
        <v>13</v>
      </c>
      <c r="F356">
        <v>347.5</v>
      </c>
      <c r="G356">
        <v>21266.640000000003</v>
      </c>
    </row>
    <row r="357" spans="1:7" hidden="1" x14ac:dyDescent="0.3">
      <c r="A357" s="1">
        <v>45747</v>
      </c>
      <c r="B357" t="s">
        <v>47</v>
      </c>
      <c r="C357" t="s">
        <v>455</v>
      </c>
      <c r="D357" t="s">
        <v>456</v>
      </c>
      <c r="E357" t="s">
        <v>4</v>
      </c>
      <c r="F357">
        <v>367.25</v>
      </c>
      <c r="G357">
        <v>7261.65</v>
      </c>
    </row>
    <row r="358" spans="1:7" hidden="1" x14ac:dyDescent="0.3">
      <c r="A358" s="1">
        <v>45747</v>
      </c>
      <c r="B358" t="s">
        <v>55</v>
      </c>
      <c r="C358" t="s">
        <v>463</v>
      </c>
      <c r="D358" t="s">
        <v>464</v>
      </c>
      <c r="E358" t="s">
        <v>11</v>
      </c>
      <c r="F358">
        <v>404.25</v>
      </c>
      <c r="G358">
        <v>9959.32</v>
      </c>
    </row>
    <row r="359" spans="1:7" hidden="1" x14ac:dyDescent="0.3">
      <c r="A359" s="1">
        <v>45747</v>
      </c>
      <c r="B359" t="s">
        <v>45</v>
      </c>
      <c r="C359" t="s">
        <v>453</v>
      </c>
      <c r="D359" t="s">
        <v>454</v>
      </c>
      <c r="E359" t="s">
        <v>3</v>
      </c>
      <c r="F359">
        <v>449.75</v>
      </c>
      <c r="G359">
        <v>8664.1299999999992</v>
      </c>
    </row>
    <row r="360" spans="1:7" hidden="1" x14ac:dyDescent="0.3">
      <c r="A360" s="1">
        <v>45747</v>
      </c>
      <c r="B360" t="s">
        <v>53</v>
      </c>
      <c r="C360" t="s">
        <v>461</v>
      </c>
      <c r="D360" t="s">
        <v>462</v>
      </c>
      <c r="E360" t="s">
        <v>13</v>
      </c>
      <c r="F360">
        <v>239</v>
      </c>
      <c r="G360">
        <v>4643.78</v>
      </c>
    </row>
    <row r="361" spans="1:7" hidden="1" x14ac:dyDescent="0.3">
      <c r="A361" s="1">
        <v>45747</v>
      </c>
      <c r="B361" t="s">
        <v>57</v>
      </c>
      <c r="C361" t="s">
        <v>465</v>
      </c>
      <c r="D361" t="s">
        <v>466</v>
      </c>
      <c r="E361" t="s">
        <v>14</v>
      </c>
      <c r="F361">
        <v>456</v>
      </c>
      <c r="G361">
        <v>25612.499999999996</v>
      </c>
    </row>
    <row r="362" spans="1:7" hidden="1" x14ac:dyDescent="0.3">
      <c r="A362" s="1">
        <v>45747</v>
      </c>
      <c r="B362" t="s">
        <v>33</v>
      </c>
      <c r="C362" t="s">
        <v>441</v>
      </c>
      <c r="D362" t="s">
        <v>442</v>
      </c>
      <c r="E362" t="s">
        <v>2</v>
      </c>
      <c r="F362">
        <v>307</v>
      </c>
      <c r="G362">
        <v>5458.14</v>
      </c>
    </row>
    <row r="363" spans="1:7" hidden="1" x14ac:dyDescent="0.3">
      <c r="A363" s="1">
        <v>45747</v>
      </c>
      <c r="B363" t="s">
        <v>35</v>
      </c>
      <c r="C363" t="s">
        <v>443</v>
      </c>
      <c r="D363" t="s">
        <v>444</v>
      </c>
      <c r="E363" t="s">
        <v>2</v>
      </c>
      <c r="F363">
        <v>443.5</v>
      </c>
      <c r="G363">
        <v>8619.91</v>
      </c>
    </row>
    <row r="364" spans="1:7" hidden="1" x14ac:dyDescent="0.3">
      <c r="A364" s="1">
        <v>45747</v>
      </c>
      <c r="B364" t="s">
        <v>37</v>
      </c>
      <c r="C364" t="s">
        <v>445</v>
      </c>
      <c r="D364" t="s">
        <v>446</v>
      </c>
      <c r="E364" t="s">
        <v>2</v>
      </c>
      <c r="F364">
        <v>452</v>
      </c>
      <c r="G364">
        <v>7967.75</v>
      </c>
    </row>
    <row r="365" spans="1:7" hidden="1" x14ac:dyDescent="0.3">
      <c r="A365" s="1">
        <v>45747</v>
      </c>
      <c r="B365" t="s">
        <v>39</v>
      </c>
      <c r="C365" t="s">
        <v>447</v>
      </c>
      <c r="D365" t="s">
        <v>448</v>
      </c>
      <c r="E365" t="s">
        <v>2</v>
      </c>
      <c r="F365">
        <v>310</v>
      </c>
      <c r="G365">
        <v>7686.89</v>
      </c>
    </row>
    <row r="366" spans="1:7" hidden="1" x14ac:dyDescent="0.3">
      <c r="A366" s="1">
        <v>45747</v>
      </c>
      <c r="B366" t="s">
        <v>49</v>
      </c>
      <c r="C366" t="s">
        <v>457</v>
      </c>
      <c r="D366" t="s">
        <v>458</v>
      </c>
      <c r="E366" t="s">
        <v>4</v>
      </c>
      <c r="F366">
        <v>425.5</v>
      </c>
      <c r="G366">
        <v>6714.6299999999992</v>
      </c>
    </row>
    <row r="367" spans="1:7" hidden="1" x14ac:dyDescent="0.3">
      <c r="A367" s="1">
        <v>45747</v>
      </c>
      <c r="B367" t="s">
        <v>59</v>
      </c>
      <c r="C367" t="s">
        <v>467</v>
      </c>
      <c r="D367" t="s">
        <v>468</v>
      </c>
      <c r="E367" t="s">
        <v>13</v>
      </c>
      <c r="F367">
        <v>0</v>
      </c>
      <c r="G367">
        <v>1530.8300000000004</v>
      </c>
    </row>
    <row r="368" spans="1:7" hidden="1" x14ac:dyDescent="0.3">
      <c r="A368" s="1">
        <v>45747</v>
      </c>
      <c r="B368" t="s">
        <v>61</v>
      </c>
      <c r="C368" t="s">
        <v>469</v>
      </c>
      <c r="D368" t="s">
        <v>470</v>
      </c>
      <c r="E368" t="s">
        <v>3</v>
      </c>
      <c r="F368">
        <v>341.75</v>
      </c>
      <c r="G368">
        <v>4676.1499999999996</v>
      </c>
    </row>
    <row r="369" spans="1:7" hidden="1" x14ac:dyDescent="0.3">
      <c r="A369" s="1">
        <v>45747</v>
      </c>
      <c r="B369" t="s">
        <v>63</v>
      </c>
      <c r="C369" t="s">
        <v>471</v>
      </c>
      <c r="D369" t="s">
        <v>472</v>
      </c>
      <c r="E369" t="s">
        <v>2</v>
      </c>
      <c r="F369">
        <v>456.25</v>
      </c>
      <c r="G369">
        <v>6356.13</v>
      </c>
    </row>
    <row r="370" spans="1:7" hidden="1" x14ac:dyDescent="0.3">
      <c r="A370" s="1">
        <v>45747</v>
      </c>
      <c r="B370" t="s">
        <v>65</v>
      </c>
      <c r="C370" t="s">
        <v>473</v>
      </c>
      <c r="D370" t="s">
        <v>474</v>
      </c>
      <c r="E370" t="s">
        <v>2</v>
      </c>
      <c r="F370">
        <v>442.5</v>
      </c>
      <c r="G370">
        <v>5429.39</v>
      </c>
    </row>
    <row r="371" spans="1:7" hidden="1" x14ac:dyDescent="0.3">
      <c r="A371" s="1">
        <v>45747</v>
      </c>
      <c r="B371" t="s">
        <v>67</v>
      </c>
      <c r="C371" t="s">
        <v>475</v>
      </c>
      <c r="D371" t="s">
        <v>476</v>
      </c>
      <c r="E371" t="s">
        <v>2</v>
      </c>
      <c r="F371">
        <v>208.25</v>
      </c>
      <c r="G371">
        <v>4142.1500000000005</v>
      </c>
    </row>
    <row r="372" spans="1:7" hidden="1" x14ac:dyDescent="0.3">
      <c r="A372" s="1">
        <v>45747</v>
      </c>
      <c r="B372" t="s">
        <v>69</v>
      </c>
      <c r="C372" t="s">
        <v>477</v>
      </c>
      <c r="D372" t="s">
        <v>478</v>
      </c>
      <c r="E372" t="s">
        <v>2</v>
      </c>
      <c r="F372">
        <v>441.25</v>
      </c>
      <c r="G372">
        <v>7872.4900000000007</v>
      </c>
    </row>
    <row r="373" spans="1:7" hidden="1" x14ac:dyDescent="0.3">
      <c r="A373" s="1">
        <v>45747</v>
      </c>
      <c r="B373" t="s">
        <v>71</v>
      </c>
      <c r="C373" t="s">
        <v>479</v>
      </c>
      <c r="D373" t="s">
        <v>480</v>
      </c>
      <c r="E373" t="s">
        <v>2</v>
      </c>
      <c r="F373">
        <v>0</v>
      </c>
      <c r="G373">
        <v>36.840000000000003</v>
      </c>
    </row>
    <row r="374" spans="1:7" hidden="1" x14ac:dyDescent="0.3">
      <c r="A374" s="1">
        <v>45747</v>
      </c>
      <c r="B374" t="s">
        <v>73</v>
      </c>
      <c r="C374" t="s">
        <v>481</v>
      </c>
      <c r="D374" t="s">
        <v>482</v>
      </c>
      <c r="E374" t="s">
        <v>2</v>
      </c>
      <c r="F374">
        <v>404.25</v>
      </c>
      <c r="G374">
        <v>7082.73</v>
      </c>
    </row>
    <row r="375" spans="1:7" hidden="1" x14ac:dyDescent="0.3">
      <c r="A375" s="1">
        <v>45747</v>
      </c>
      <c r="B375" t="s">
        <v>75</v>
      </c>
      <c r="C375" t="s">
        <v>483</v>
      </c>
      <c r="D375" t="s">
        <v>484</v>
      </c>
      <c r="E375" t="s">
        <v>2</v>
      </c>
      <c r="F375">
        <v>185.5</v>
      </c>
      <c r="G375">
        <v>3089.43</v>
      </c>
    </row>
    <row r="376" spans="1:7" hidden="1" x14ac:dyDescent="0.3">
      <c r="A376" s="1">
        <v>45747</v>
      </c>
      <c r="B376" t="s">
        <v>77</v>
      </c>
      <c r="C376" t="s">
        <v>443</v>
      </c>
      <c r="D376" t="s">
        <v>485</v>
      </c>
      <c r="E376" t="s">
        <v>15</v>
      </c>
      <c r="F376">
        <v>359.5</v>
      </c>
      <c r="G376">
        <v>5097.91</v>
      </c>
    </row>
    <row r="377" spans="1:7" hidden="1" x14ac:dyDescent="0.3">
      <c r="A377" s="1">
        <v>45747</v>
      </c>
      <c r="B377" t="s">
        <v>79</v>
      </c>
      <c r="C377" t="s">
        <v>486</v>
      </c>
      <c r="D377" t="s">
        <v>487</v>
      </c>
      <c r="E377" t="s">
        <v>2</v>
      </c>
      <c r="F377">
        <v>287.25</v>
      </c>
      <c r="G377">
        <v>7066.0600000000013</v>
      </c>
    </row>
    <row r="378" spans="1:7" hidden="1" x14ac:dyDescent="0.3">
      <c r="A378" s="1">
        <v>45747</v>
      </c>
      <c r="B378" t="s">
        <v>81</v>
      </c>
      <c r="C378" t="s">
        <v>488</v>
      </c>
      <c r="D378" t="s">
        <v>489</v>
      </c>
      <c r="E378" t="s">
        <v>2</v>
      </c>
      <c r="F378">
        <v>353.25</v>
      </c>
      <c r="G378">
        <v>9087.73</v>
      </c>
    </row>
    <row r="379" spans="1:7" hidden="1" x14ac:dyDescent="0.3">
      <c r="A379" s="1">
        <v>45747</v>
      </c>
      <c r="B379" t="s">
        <v>83</v>
      </c>
      <c r="C379" t="s">
        <v>490</v>
      </c>
      <c r="D379" t="s">
        <v>440</v>
      </c>
      <c r="E379" t="s">
        <v>12</v>
      </c>
      <c r="F379">
        <v>456</v>
      </c>
      <c r="G379">
        <v>16181.710000000003</v>
      </c>
    </row>
    <row r="380" spans="1:7" hidden="1" x14ac:dyDescent="0.3">
      <c r="A380" s="1">
        <v>45747</v>
      </c>
      <c r="B380" t="s">
        <v>85</v>
      </c>
      <c r="C380" t="s">
        <v>491</v>
      </c>
      <c r="D380" t="s">
        <v>492</v>
      </c>
      <c r="E380" t="s">
        <v>2</v>
      </c>
      <c r="F380">
        <v>437.5</v>
      </c>
      <c r="G380">
        <v>7266.3400000000011</v>
      </c>
    </row>
    <row r="381" spans="1:7" hidden="1" x14ac:dyDescent="0.3">
      <c r="A381" s="1">
        <v>45747</v>
      </c>
      <c r="B381" t="s">
        <v>87</v>
      </c>
      <c r="C381" t="s">
        <v>493</v>
      </c>
      <c r="D381" t="s">
        <v>494</v>
      </c>
      <c r="E381" t="s">
        <v>12</v>
      </c>
      <c r="F381">
        <v>401</v>
      </c>
      <c r="G381">
        <v>9843.76</v>
      </c>
    </row>
    <row r="382" spans="1:7" hidden="1" x14ac:dyDescent="0.3">
      <c r="A382" s="1">
        <v>45747</v>
      </c>
      <c r="B382" t="s">
        <v>89</v>
      </c>
      <c r="C382" t="s">
        <v>495</v>
      </c>
      <c r="D382" t="s">
        <v>496</v>
      </c>
      <c r="E382" t="s">
        <v>13</v>
      </c>
      <c r="F382">
        <v>365</v>
      </c>
      <c r="G382">
        <v>20109.3</v>
      </c>
    </row>
    <row r="383" spans="1:7" hidden="1" x14ac:dyDescent="0.3">
      <c r="A383" s="1">
        <v>45747</v>
      </c>
      <c r="B383" t="s">
        <v>91</v>
      </c>
      <c r="C383" t="s">
        <v>497</v>
      </c>
      <c r="D383" t="s">
        <v>498</v>
      </c>
      <c r="E383" t="s">
        <v>5</v>
      </c>
      <c r="F383">
        <v>423</v>
      </c>
      <c r="G383">
        <v>5134.7099999999991</v>
      </c>
    </row>
    <row r="384" spans="1:7" hidden="1" x14ac:dyDescent="0.3">
      <c r="A384" s="1">
        <v>45747</v>
      </c>
      <c r="B384" t="s">
        <v>93</v>
      </c>
      <c r="C384" t="s">
        <v>499</v>
      </c>
      <c r="D384" t="s">
        <v>500</v>
      </c>
      <c r="E384" t="s">
        <v>2</v>
      </c>
      <c r="F384">
        <v>293</v>
      </c>
      <c r="G384">
        <v>4471.66</v>
      </c>
    </row>
    <row r="385" spans="1:7" hidden="1" x14ac:dyDescent="0.3">
      <c r="A385" s="1">
        <v>45747</v>
      </c>
      <c r="B385" t="s">
        <v>95</v>
      </c>
      <c r="C385" t="s">
        <v>501</v>
      </c>
      <c r="D385" t="s">
        <v>502</v>
      </c>
      <c r="E385" t="s">
        <v>3</v>
      </c>
      <c r="F385">
        <v>429.75</v>
      </c>
      <c r="G385">
        <v>6242.49</v>
      </c>
    </row>
    <row r="386" spans="1:7" hidden="1" x14ac:dyDescent="0.3">
      <c r="A386" s="1">
        <v>45747</v>
      </c>
      <c r="B386" t="s">
        <v>97</v>
      </c>
      <c r="C386" t="s">
        <v>503</v>
      </c>
      <c r="D386" t="s">
        <v>504</v>
      </c>
      <c r="E386" t="s">
        <v>2</v>
      </c>
      <c r="F386">
        <v>436</v>
      </c>
      <c r="G386">
        <v>5650.84</v>
      </c>
    </row>
    <row r="387" spans="1:7" hidden="1" x14ac:dyDescent="0.3">
      <c r="A387" s="1">
        <v>45747</v>
      </c>
      <c r="B387" t="s">
        <v>99</v>
      </c>
      <c r="C387" t="s">
        <v>505</v>
      </c>
      <c r="D387" t="s">
        <v>506</v>
      </c>
      <c r="E387" t="s">
        <v>2</v>
      </c>
      <c r="F387">
        <v>258.25</v>
      </c>
      <c r="G387">
        <v>4684.5399999999991</v>
      </c>
    </row>
    <row r="388" spans="1:7" hidden="1" x14ac:dyDescent="0.3">
      <c r="A388" s="1">
        <v>45747</v>
      </c>
      <c r="B388" t="s">
        <v>101</v>
      </c>
      <c r="C388" t="s">
        <v>507</v>
      </c>
      <c r="D388" t="s">
        <v>508</v>
      </c>
      <c r="E388" t="s">
        <v>13</v>
      </c>
      <c r="F388">
        <v>244</v>
      </c>
      <c r="G388">
        <v>4056.43</v>
      </c>
    </row>
    <row r="389" spans="1:7" hidden="1" x14ac:dyDescent="0.3">
      <c r="A389" s="1">
        <v>45747</v>
      </c>
      <c r="B389" t="s">
        <v>103</v>
      </c>
      <c r="C389" t="s">
        <v>509</v>
      </c>
      <c r="D389" t="s">
        <v>510</v>
      </c>
      <c r="E389" t="s">
        <v>2</v>
      </c>
      <c r="F389">
        <v>189</v>
      </c>
      <c r="G389">
        <v>2810.49</v>
      </c>
    </row>
    <row r="390" spans="1:7" hidden="1" x14ac:dyDescent="0.3">
      <c r="A390" s="1">
        <v>45747</v>
      </c>
      <c r="B390" t="s">
        <v>105</v>
      </c>
      <c r="C390" t="s">
        <v>511</v>
      </c>
      <c r="D390" t="s">
        <v>512</v>
      </c>
      <c r="E390" t="s">
        <v>2</v>
      </c>
      <c r="F390">
        <v>421.75</v>
      </c>
      <c r="G390">
        <v>5429.15</v>
      </c>
    </row>
    <row r="391" spans="1:7" hidden="1" x14ac:dyDescent="0.3">
      <c r="A391" s="1">
        <v>45747</v>
      </c>
      <c r="B391" t="s">
        <v>107</v>
      </c>
      <c r="C391" t="s">
        <v>513</v>
      </c>
      <c r="D391" t="s">
        <v>514</v>
      </c>
      <c r="E391" t="s">
        <v>2</v>
      </c>
      <c r="F391">
        <v>180.75</v>
      </c>
      <c r="G391">
        <v>3211.06</v>
      </c>
    </row>
    <row r="392" spans="1:7" hidden="1" x14ac:dyDescent="0.3">
      <c r="A392" s="1">
        <v>45747</v>
      </c>
      <c r="B392" t="s">
        <v>109</v>
      </c>
      <c r="C392" t="s">
        <v>515</v>
      </c>
      <c r="D392" t="s">
        <v>516</v>
      </c>
      <c r="E392" t="s">
        <v>6</v>
      </c>
      <c r="F392">
        <v>422</v>
      </c>
      <c r="G392">
        <v>12427.82</v>
      </c>
    </row>
    <row r="393" spans="1:7" hidden="1" x14ac:dyDescent="0.3">
      <c r="A393" s="1">
        <v>45747</v>
      </c>
      <c r="B393" t="s">
        <v>111</v>
      </c>
      <c r="C393" t="s">
        <v>517</v>
      </c>
      <c r="D393" t="s">
        <v>496</v>
      </c>
      <c r="E393" t="s">
        <v>14</v>
      </c>
      <c r="F393">
        <v>456</v>
      </c>
      <c r="G393">
        <v>25738.449999999997</v>
      </c>
    </row>
    <row r="394" spans="1:7" hidden="1" x14ac:dyDescent="0.3">
      <c r="A394" s="1">
        <v>45747</v>
      </c>
      <c r="B394" t="s">
        <v>113</v>
      </c>
      <c r="C394" t="s">
        <v>518</v>
      </c>
      <c r="D394" t="s">
        <v>519</v>
      </c>
      <c r="E394" t="s">
        <v>3</v>
      </c>
      <c r="F394">
        <v>345.25</v>
      </c>
      <c r="G394">
        <v>4156.97</v>
      </c>
    </row>
    <row r="395" spans="1:7" hidden="1" x14ac:dyDescent="0.3">
      <c r="A395" s="1">
        <v>45747</v>
      </c>
      <c r="B395" t="s">
        <v>115</v>
      </c>
      <c r="C395" t="s">
        <v>520</v>
      </c>
      <c r="D395" t="s">
        <v>521</v>
      </c>
      <c r="E395" t="s">
        <v>2</v>
      </c>
      <c r="F395">
        <v>264.75</v>
      </c>
      <c r="G395">
        <v>4680.6000000000004</v>
      </c>
    </row>
    <row r="396" spans="1:7" hidden="1" x14ac:dyDescent="0.3">
      <c r="A396" s="1">
        <v>45747</v>
      </c>
      <c r="B396" t="s">
        <v>117</v>
      </c>
      <c r="C396" t="s">
        <v>522</v>
      </c>
      <c r="D396" t="s">
        <v>523</v>
      </c>
      <c r="E396" t="s">
        <v>2</v>
      </c>
      <c r="F396">
        <v>331.75</v>
      </c>
      <c r="G396">
        <v>5602.37</v>
      </c>
    </row>
    <row r="397" spans="1:7" hidden="1" x14ac:dyDescent="0.3">
      <c r="A397" s="1">
        <v>45747</v>
      </c>
      <c r="B397" t="s">
        <v>119</v>
      </c>
      <c r="C397" t="s">
        <v>524</v>
      </c>
      <c r="D397" t="s">
        <v>525</v>
      </c>
      <c r="E397" t="s">
        <v>2</v>
      </c>
      <c r="F397">
        <v>447</v>
      </c>
      <c r="G397">
        <v>7873.8200000000006</v>
      </c>
    </row>
    <row r="398" spans="1:7" hidden="1" x14ac:dyDescent="0.3">
      <c r="A398" s="1">
        <v>45747</v>
      </c>
      <c r="B398" t="s">
        <v>121</v>
      </c>
      <c r="C398" t="s">
        <v>526</v>
      </c>
      <c r="D398" t="s">
        <v>527</v>
      </c>
      <c r="E398" t="s">
        <v>3</v>
      </c>
      <c r="F398">
        <v>386</v>
      </c>
      <c r="G398">
        <v>7668.4600000000009</v>
      </c>
    </row>
    <row r="399" spans="1:7" hidden="1" x14ac:dyDescent="0.3">
      <c r="A399" s="1">
        <v>45747</v>
      </c>
      <c r="B399" t="s">
        <v>123</v>
      </c>
      <c r="C399" t="s">
        <v>528</v>
      </c>
      <c r="D399" t="s">
        <v>529</v>
      </c>
      <c r="E399" t="s">
        <v>5</v>
      </c>
      <c r="F399">
        <v>266.5</v>
      </c>
      <c r="G399">
        <v>3930.11</v>
      </c>
    </row>
    <row r="400" spans="1:7" hidden="1" x14ac:dyDescent="0.3">
      <c r="A400" s="1">
        <v>45747</v>
      </c>
      <c r="B400" t="s">
        <v>125</v>
      </c>
      <c r="C400" t="s">
        <v>530</v>
      </c>
      <c r="D400" t="s">
        <v>502</v>
      </c>
      <c r="E400" t="s">
        <v>2</v>
      </c>
      <c r="F400">
        <v>424</v>
      </c>
      <c r="G400">
        <v>8754.4700000000012</v>
      </c>
    </row>
    <row r="401" spans="1:7" hidden="1" x14ac:dyDescent="0.3">
      <c r="A401" s="1">
        <v>45747</v>
      </c>
      <c r="B401" t="s">
        <v>127</v>
      </c>
      <c r="C401" t="s">
        <v>531</v>
      </c>
      <c r="D401" t="s">
        <v>532</v>
      </c>
      <c r="E401" t="s">
        <v>2</v>
      </c>
      <c r="F401">
        <v>408</v>
      </c>
      <c r="G401">
        <v>7354.6299999999992</v>
      </c>
    </row>
    <row r="402" spans="1:7" hidden="1" x14ac:dyDescent="0.3">
      <c r="A402" s="1">
        <v>45747</v>
      </c>
      <c r="B402" t="s">
        <v>129</v>
      </c>
      <c r="C402" t="s">
        <v>533</v>
      </c>
      <c r="D402" t="s">
        <v>534</v>
      </c>
      <c r="E402" t="s">
        <v>11</v>
      </c>
      <c r="F402">
        <v>410</v>
      </c>
      <c r="G402">
        <v>16765.25</v>
      </c>
    </row>
    <row r="403" spans="1:7" hidden="1" x14ac:dyDescent="0.3">
      <c r="A403" s="1">
        <v>45747</v>
      </c>
      <c r="B403" t="s">
        <v>131</v>
      </c>
      <c r="C403" t="s">
        <v>535</v>
      </c>
      <c r="D403" t="s">
        <v>536</v>
      </c>
      <c r="E403" t="s">
        <v>2</v>
      </c>
      <c r="F403">
        <v>235</v>
      </c>
      <c r="G403">
        <v>6084.44</v>
      </c>
    </row>
    <row r="404" spans="1:7" hidden="1" x14ac:dyDescent="0.3">
      <c r="A404" s="1">
        <v>45747</v>
      </c>
      <c r="B404" t="s">
        <v>133</v>
      </c>
      <c r="C404" t="s">
        <v>537</v>
      </c>
      <c r="D404" t="s">
        <v>538</v>
      </c>
      <c r="E404" t="s">
        <v>2</v>
      </c>
      <c r="F404">
        <v>147</v>
      </c>
      <c r="G404">
        <v>4310.2199999999993</v>
      </c>
    </row>
    <row r="405" spans="1:7" hidden="1" x14ac:dyDescent="0.3">
      <c r="A405" s="1">
        <v>45747</v>
      </c>
      <c r="B405" t="s">
        <v>135</v>
      </c>
      <c r="C405" t="s">
        <v>539</v>
      </c>
      <c r="D405" t="s">
        <v>540</v>
      </c>
      <c r="E405" t="s">
        <v>3</v>
      </c>
      <c r="F405">
        <v>0</v>
      </c>
      <c r="G405">
        <v>1433.8399999999997</v>
      </c>
    </row>
    <row r="406" spans="1:7" hidden="1" x14ac:dyDescent="0.3">
      <c r="A406" s="1">
        <v>45747</v>
      </c>
      <c r="B406" t="s">
        <v>137</v>
      </c>
      <c r="C406" t="s">
        <v>541</v>
      </c>
      <c r="D406" t="s">
        <v>542</v>
      </c>
      <c r="E406" t="s">
        <v>2</v>
      </c>
      <c r="F406">
        <v>317.75</v>
      </c>
      <c r="G406">
        <v>6335.14</v>
      </c>
    </row>
    <row r="407" spans="1:7" hidden="1" x14ac:dyDescent="0.3">
      <c r="A407" s="1">
        <v>45747</v>
      </c>
      <c r="B407" t="s">
        <v>139</v>
      </c>
      <c r="C407" t="s">
        <v>543</v>
      </c>
      <c r="D407" t="s">
        <v>544</v>
      </c>
      <c r="E407" t="s">
        <v>13</v>
      </c>
      <c r="F407">
        <v>473.5</v>
      </c>
      <c r="G407">
        <v>9595.630000000001</v>
      </c>
    </row>
    <row r="408" spans="1:7" hidden="1" x14ac:dyDescent="0.3">
      <c r="A408" s="1">
        <v>45747</v>
      </c>
      <c r="B408" t="s">
        <v>141</v>
      </c>
      <c r="C408" t="s">
        <v>499</v>
      </c>
      <c r="D408" t="s">
        <v>545</v>
      </c>
      <c r="E408" t="s">
        <v>11</v>
      </c>
      <c r="F408">
        <v>205.75</v>
      </c>
      <c r="G408">
        <v>2965.41</v>
      </c>
    </row>
    <row r="409" spans="1:7" hidden="1" x14ac:dyDescent="0.3">
      <c r="A409" s="1">
        <v>45747</v>
      </c>
      <c r="B409" t="s">
        <v>143</v>
      </c>
      <c r="C409" t="s">
        <v>546</v>
      </c>
      <c r="D409" t="s">
        <v>547</v>
      </c>
      <c r="E409" t="s">
        <v>2</v>
      </c>
      <c r="F409">
        <v>363.5</v>
      </c>
      <c r="G409">
        <v>4527.16</v>
      </c>
    </row>
    <row r="410" spans="1:7" hidden="1" x14ac:dyDescent="0.3">
      <c r="A410" s="1">
        <v>45747</v>
      </c>
      <c r="B410" t="s">
        <v>145</v>
      </c>
      <c r="C410" t="s">
        <v>548</v>
      </c>
      <c r="D410" t="s">
        <v>549</v>
      </c>
      <c r="E410" t="s">
        <v>6</v>
      </c>
      <c r="F410">
        <v>316</v>
      </c>
      <c r="G410">
        <v>7200.91</v>
      </c>
    </row>
    <row r="411" spans="1:7" hidden="1" x14ac:dyDescent="0.3">
      <c r="A411" s="1">
        <v>45747</v>
      </c>
      <c r="B411" t="s">
        <v>147</v>
      </c>
      <c r="C411" t="s">
        <v>550</v>
      </c>
      <c r="D411" t="s">
        <v>551</v>
      </c>
      <c r="E411" t="s">
        <v>8</v>
      </c>
      <c r="F411">
        <v>430.25</v>
      </c>
      <c r="G411">
        <v>10006.960000000001</v>
      </c>
    </row>
    <row r="412" spans="1:7" hidden="1" x14ac:dyDescent="0.3">
      <c r="A412" s="1">
        <v>45747</v>
      </c>
      <c r="B412" t="s">
        <v>149</v>
      </c>
      <c r="C412" t="s">
        <v>552</v>
      </c>
      <c r="D412" t="s">
        <v>553</v>
      </c>
      <c r="E412" t="s">
        <v>10</v>
      </c>
      <c r="F412">
        <v>0</v>
      </c>
      <c r="G412">
        <v>6.7200000000000273</v>
      </c>
    </row>
    <row r="413" spans="1:7" hidden="1" x14ac:dyDescent="0.3">
      <c r="A413" s="1">
        <v>45747</v>
      </c>
      <c r="B413" t="s">
        <v>151</v>
      </c>
      <c r="C413" t="s">
        <v>554</v>
      </c>
      <c r="D413" t="s">
        <v>555</v>
      </c>
      <c r="E413" t="s">
        <v>3</v>
      </c>
      <c r="F413">
        <v>357.25</v>
      </c>
      <c r="G413">
        <v>4187.3599999999997</v>
      </c>
    </row>
    <row r="414" spans="1:7" hidden="1" x14ac:dyDescent="0.3">
      <c r="A414" s="1">
        <v>45747</v>
      </c>
      <c r="B414" t="s">
        <v>153</v>
      </c>
      <c r="C414" t="s">
        <v>556</v>
      </c>
      <c r="D414" t="s">
        <v>557</v>
      </c>
      <c r="E414" t="s">
        <v>2</v>
      </c>
      <c r="F414">
        <v>393</v>
      </c>
      <c r="G414">
        <v>6378.53</v>
      </c>
    </row>
    <row r="415" spans="1:7" hidden="1" x14ac:dyDescent="0.3">
      <c r="A415" s="1">
        <v>45747</v>
      </c>
      <c r="B415" t="s">
        <v>155</v>
      </c>
      <c r="C415" t="s">
        <v>546</v>
      </c>
      <c r="D415" t="s">
        <v>558</v>
      </c>
      <c r="E415" t="s">
        <v>7</v>
      </c>
      <c r="F415">
        <v>359.5</v>
      </c>
      <c r="G415">
        <v>5280.2100000000009</v>
      </c>
    </row>
    <row r="416" spans="1:7" hidden="1" x14ac:dyDescent="0.3">
      <c r="A416" s="1">
        <v>45747</v>
      </c>
      <c r="B416" t="s">
        <v>157</v>
      </c>
      <c r="C416" t="s">
        <v>559</v>
      </c>
      <c r="D416" t="s">
        <v>560</v>
      </c>
      <c r="E416" t="s">
        <v>3</v>
      </c>
      <c r="F416">
        <v>393.5</v>
      </c>
      <c r="G416">
        <v>6447.89</v>
      </c>
    </row>
    <row r="417" spans="1:7" hidden="1" x14ac:dyDescent="0.3">
      <c r="A417" s="1">
        <v>45747</v>
      </c>
      <c r="B417" t="s">
        <v>159</v>
      </c>
      <c r="C417" t="s">
        <v>561</v>
      </c>
      <c r="D417" t="s">
        <v>562</v>
      </c>
      <c r="E417" t="s">
        <v>3</v>
      </c>
      <c r="F417">
        <v>399</v>
      </c>
      <c r="G417">
        <v>6723.84</v>
      </c>
    </row>
    <row r="418" spans="1:7" hidden="1" x14ac:dyDescent="0.3">
      <c r="A418" s="1">
        <v>45747</v>
      </c>
      <c r="B418" t="s">
        <v>161</v>
      </c>
      <c r="C418" t="s">
        <v>563</v>
      </c>
      <c r="D418" t="s">
        <v>564</v>
      </c>
      <c r="E418" t="s">
        <v>13</v>
      </c>
      <c r="F418">
        <v>420.25</v>
      </c>
      <c r="G418">
        <v>6593.2100000000009</v>
      </c>
    </row>
    <row r="419" spans="1:7" hidden="1" x14ac:dyDescent="0.3">
      <c r="A419" s="1">
        <v>45747</v>
      </c>
      <c r="B419" t="s">
        <v>163</v>
      </c>
      <c r="C419" t="s">
        <v>565</v>
      </c>
      <c r="D419" t="s">
        <v>566</v>
      </c>
      <c r="E419" t="s">
        <v>8</v>
      </c>
      <c r="F419">
        <v>421</v>
      </c>
      <c r="G419">
        <v>9899.630000000001</v>
      </c>
    </row>
    <row r="420" spans="1:7" hidden="1" x14ac:dyDescent="0.3">
      <c r="A420" s="1">
        <v>45747</v>
      </c>
      <c r="B420" t="s">
        <v>165</v>
      </c>
      <c r="C420" t="s">
        <v>567</v>
      </c>
      <c r="D420" t="s">
        <v>568</v>
      </c>
      <c r="E420" t="s">
        <v>3</v>
      </c>
      <c r="F420">
        <v>348.25</v>
      </c>
      <c r="G420">
        <v>5251.06</v>
      </c>
    </row>
    <row r="421" spans="1:7" hidden="1" x14ac:dyDescent="0.3">
      <c r="A421" s="1">
        <v>45747</v>
      </c>
      <c r="B421" t="s">
        <v>167</v>
      </c>
      <c r="C421" t="s">
        <v>569</v>
      </c>
      <c r="D421" t="s">
        <v>570</v>
      </c>
      <c r="E421" t="s">
        <v>3</v>
      </c>
      <c r="F421">
        <v>361.25</v>
      </c>
      <c r="G421">
        <v>6264.6</v>
      </c>
    </row>
    <row r="422" spans="1:7" hidden="1" x14ac:dyDescent="0.3">
      <c r="A422" s="1">
        <v>45747</v>
      </c>
      <c r="B422" t="s">
        <v>169</v>
      </c>
      <c r="C422" t="s">
        <v>571</v>
      </c>
      <c r="D422" t="s">
        <v>572</v>
      </c>
      <c r="E422" t="s">
        <v>2</v>
      </c>
      <c r="F422">
        <v>452.25</v>
      </c>
      <c r="G422">
        <v>6070.1</v>
      </c>
    </row>
    <row r="423" spans="1:7" hidden="1" x14ac:dyDescent="0.3">
      <c r="A423" s="1">
        <v>45747</v>
      </c>
      <c r="B423" t="s">
        <v>171</v>
      </c>
      <c r="C423" t="s">
        <v>573</v>
      </c>
      <c r="D423" t="s">
        <v>574</v>
      </c>
      <c r="E423" t="s">
        <v>3</v>
      </c>
      <c r="F423">
        <v>414.5</v>
      </c>
      <c r="G423">
        <v>4837.0400000000009</v>
      </c>
    </row>
    <row r="424" spans="1:7" hidden="1" x14ac:dyDescent="0.3">
      <c r="A424" s="1">
        <v>45747</v>
      </c>
      <c r="B424" t="s">
        <v>173</v>
      </c>
      <c r="C424" t="s">
        <v>575</v>
      </c>
      <c r="D424" t="s">
        <v>576</v>
      </c>
      <c r="E424" t="s">
        <v>3</v>
      </c>
      <c r="F424">
        <v>224.75</v>
      </c>
      <c r="G424">
        <v>3514.9800000000005</v>
      </c>
    </row>
    <row r="425" spans="1:7" hidden="1" x14ac:dyDescent="0.3">
      <c r="A425" s="1">
        <v>45747</v>
      </c>
      <c r="B425" t="s">
        <v>175</v>
      </c>
      <c r="C425" t="s">
        <v>577</v>
      </c>
      <c r="D425" t="s">
        <v>578</v>
      </c>
      <c r="E425" t="s">
        <v>12</v>
      </c>
      <c r="F425">
        <v>410</v>
      </c>
      <c r="G425">
        <v>8848.06</v>
      </c>
    </row>
    <row r="426" spans="1:7" hidden="1" x14ac:dyDescent="0.3">
      <c r="A426" s="1">
        <v>45747</v>
      </c>
      <c r="B426" t="s">
        <v>177</v>
      </c>
      <c r="C426" t="s">
        <v>579</v>
      </c>
      <c r="D426" t="s">
        <v>580</v>
      </c>
      <c r="E426" t="s">
        <v>2</v>
      </c>
      <c r="F426">
        <v>0</v>
      </c>
      <c r="G426">
        <v>494.07999999999993</v>
      </c>
    </row>
    <row r="427" spans="1:7" hidden="1" x14ac:dyDescent="0.3">
      <c r="A427" s="1">
        <v>45747</v>
      </c>
      <c r="B427" t="s">
        <v>179</v>
      </c>
      <c r="C427" t="s">
        <v>550</v>
      </c>
      <c r="D427" t="s">
        <v>581</v>
      </c>
      <c r="E427" t="s">
        <v>2</v>
      </c>
      <c r="F427">
        <v>429.75</v>
      </c>
      <c r="G427">
        <v>6822.73</v>
      </c>
    </row>
    <row r="428" spans="1:7" hidden="1" x14ac:dyDescent="0.3">
      <c r="A428" s="1">
        <v>45747</v>
      </c>
      <c r="B428" t="s">
        <v>181</v>
      </c>
      <c r="C428" t="s">
        <v>582</v>
      </c>
      <c r="D428" t="s">
        <v>583</v>
      </c>
      <c r="E428" t="s">
        <v>2</v>
      </c>
      <c r="F428">
        <v>262</v>
      </c>
      <c r="G428">
        <v>3674.6500000000005</v>
      </c>
    </row>
    <row r="429" spans="1:7" hidden="1" x14ac:dyDescent="0.3">
      <c r="A429" s="1">
        <v>45747</v>
      </c>
      <c r="B429" t="s">
        <v>183</v>
      </c>
      <c r="C429" t="s">
        <v>584</v>
      </c>
      <c r="D429" t="s">
        <v>585</v>
      </c>
      <c r="E429" t="s">
        <v>2</v>
      </c>
      <c r="F429">
        <v>430.75</v>
      </c>
      <c r="G429">
        <v>7679.84</v>
      </c>
    </row>
    <row r="430" spans="1:7" hidden="1" x14ac:dyDescent="0.3">
      <c r="A430" s="1">
        <v>45747</v>
      </c>
      <c r="B430" t="s">
        <v>185</v>
      </c>
      <c r="C430" t="s">
        <v>586</v>
      </c>
      <c r="D430" t="s">
        <v>587</v>
      </c>
      <c r="E430" t="s">
        <v>10</v>
      </c>
      <c r="F430">
        <v>471</v>
      </c>
      <c r="G430">
        <v>9427.869999999999</v>
      </c>
    </row>
    <row r="431" spans="1:7" hidden="1" x14ac:dyDescent="0.3">
      <c r="A431" s="1">
        <v>45747</v>
      </c>
      <c r="B431" t="s">
        <v>187</v>
      </c>
      <c r="C431" t="s">
        <v>588</v>
      </c>
      <c r="D431" t="s">
        <v>589</v>
      </c>
      <c r="E431" t="s">
        <v>6</v>
      </c>
      <c r="F431">
        <v>411.5</v>
      </c>
      <c r="G431">
        <v>12792.939999999999</v>
      </c>
    </row>
    <row r="432" spans="1:7" hidden="1" x14ac:dyDescent="0.3">
      <c r="A432" s="1">
        <v>45747</v>
      </c>
      <c r="B432" t="s">
        <v>189</v>
      </c>
      <c r="C432" t="s">
        <v>590</v>
      </c>
      <c r="D432" t="s">
        <v>591</v>
      </c>
      <c r="E432" t="s">
        <v>2</v>
      </c>
      <c r="F432">
        <v>412.25</v>
      </c>
      <c r="G432">
        <v>7349.45</v>
      </c>
    </row>
    <row r="433" spans="1:7" hidden="1" x14ac:dyDescent="0.3">
      <c r="A433" s="1">
        <v>45747</v>
      </c>
      <c r="B433" t="s">
        <v>191</v>
      </c>
      <c r="C433" t="s">
        <v>592</v>
      </c>
      <c r="D433" t="s">
        <v>593</v>
      </c>
      <c r="E433" t="s">
        <v>2</v>
      </c>
      <c r="F433">
        <v>451.25</v>
      </c>
      <c r="G433">
        <v>8124.7000000000007</v>
      </c>
    </row>
    <row r="434" spans="1:7" hidden="1" x14ac:dyDescent="0.3">
      <c r="A434" s="1">
        <v>45747</v>
      </c>
      <c r="B434" t="s">
        <v>193</v>
      </c>
      <c r="C434" t="s">
        <v>594</v>
      </c>
      <c r="D434" t="s">
        <v>595</v>
      </c>
      <c r="E434" t="s">
        <v>7</v>
      </c>
      <c r="F434">
        <v>301</v>
      </c>
      <c r="G434">
        <v>6160.65</v>
      </c>
    </row>
    <row r="435" spans="1:7" hidden="1" x14ac:dyDescent="0.3">
      <c r="A435" s="1">
        <v>45747</v>
      </c>
      <c r="B435" t="s">
        <v>195</v>
      </c>
      <c r="C435" t="s">
        <v>596</v>
      </c>
      <c r="D435" t="s">
        <v>597</v>
      </c>
      <c r="E435" t="s">
        <v>8</v>
      </c>
      <c r="F435">
        <v>398.75</v>
      </c>
      <c r="G435">
        <v>12945.83</v>
      </c>
    </row>
    <row r="436" spans="1:7" hidden="1" x14ac:dyDescent="0.3">
      <c r="A436" s="1">
        <v>45747</v>
      </c>
      <c r="B436" t="s">
        <v>197</v>
      </c>
      <c r="C436" t="s">
        <v>598</v>
      </c>
      <c r="D436" t="s">
        <v>599</v>
      </c>
      <c r="E436" t="s">
        <v>3</v>
      </c>
      <c r="F436">
        <v>298.75</v>
      </c>
      <c r="G436">
        <v>1737.5000000000005</v>
      </c>
    </row>
    <row r="437" spans="1:7" hidden="1" x14ac:dyDescent="0.3">
      <c r="A437" s="1">
        <v>45747</v>
      </c>
      <c r="B437" t="s">
        <v>199</v>
      </c>
      <c r="C437" t="s">
        <v>600</v>
      </c>
      <c r="D437" t="s">
        <v>601</v>
      </c>
      <c r="E437" t="s">
        <v>8</v>
      </c>
      <c r="F437">
        <v>220</v>
      </c>
      <c r="G437">
        <v>4182.63</v>
      </c>
    </row>
    <row r="438" spans="1:7" hidden="1" x14ac:dyDescent="0.3">
      <c r="A438" s="1">
        <v>45747</v>
      </c>
      <c r="B438" t="s">
        <v>201</v>
      </c>
      <c r="C438" t="s">
        <v>602</v>
      </c>
      <c r="D438" t="s">
        <v>603</v>
      </c>
      <c r="E438" t="s">
        <v>12</v>
      </c>
      <c r="F438">
        <v>441</v>
      </c>
      <c r="G438">
        <v>17038.879999999997</v>
      </c>
    </row>
    <row r="439" spans="1:7" hidden="1" x14ac:dyDescent="0.3">
      <c r="A439" s="1">
        <v>45747</v>
      </c>
      <c r="B439" t="s">
        <v>203</v>
      </c>
      <c r="C439" t="s">
        <v>604</v>
      </c>
      <c r="D439" t="s">
        <v>605</v>
      </c>
      <c r="E439" t="s">
        <v>3</v>
      </c>
      <c r="F439">
        <v>428</v>
      </c>
      <c r="G439">
        <v>8177.9999999999991</v>
      </c>
    </row>
    <row r="440" spans="1:7" hidden="1" x14ac:dyDescent="0.3">
      <c r="A440" s="1">
        <v>45747</v>
      </c>
      <c r="B440" t="s">
        <v>205</v>
      </c>
      <c r="C440" t="s">
        <v>606</v>
      </c>
      <c r="D440" t="s">
        <v>607</v>
      </c>
      <c r="E440" t="s">
        <v>2</v>
      </c>
      <c r="F440">
        <v>452</v>
      </c>
      <c r="G440">
        <v>7098.6</v>
      </c>
    </row>
    <row r="441" spans="1:7" hidden="1" x14ac:dyDescent="0.3">
      <c r="A441" s="1">
        <v>45747</v>
      </c>
      <c r="B441" t="s">
        <v>207</v>
      </c>
      <c r="C441" t="s">
        <v>608</v>
      </c>
      <c r="D441" t="s">
        <v>609</v>
      </c>
      <c r="E441" t="s">
        <v>12</v>
      </c>
      <c r="F441">
        <v>223</v>
      </c>
      <c r="G441">
        <v>3452.3</v>
      </c>
    </row>
    <row r="442" spans="1:7" hidden="1" x14ac:dyDescent="0.3">
      <c r="A442" s="1">
        <v>45747</v>
      </c>
      <c r="B442" t="s">
        <v>209</v>
      </c>
      <c r="C442" t="s">
        <v>610</v>
      </c>
      <c r="D442" t="s">
        <v>536</v>
      </c>
      <c r="E442" t="s">
        <v>2</v>
      </c>
      <c r="F442">
        <v>334.5</v>
      </c>
      <c r="G442">
        <v>5509.54</v>
      </c>
    </row>
    <row r="443" spans="1:7" hidden="1" x14ac:dyDescent="0.3">
      <c r="A443" s="1">
        <v>45747</v>
      </c>
      <c r="B443" t="s">
        <v>211</v>
      </c>
      <c r="C443" t="s">
        <v>611</v>
      </c>
      <c r="D443" t="s">
        <v>612</v>
      </c>
      <c r="E443" t="s">
        <v>9</v>
      </c>
      <c r="F443">
        <v>456</v>
      </c>
      <c r="G443">
        <v>14456.15</v>
      </c>
    </row>
    <row r="444" spans="1:7" hidden="1" x14ac:dyDescent="0.3">
      <c r="A444" s="1">
        <v>45747</v>
      </c>
      <c r="B444" t="s">
        <v>213</v>
      </c>
      <c r="C444" t="s">
        <v>613</v>
      </c>
      <c r="D444" t="s">
        <v>614</v>
      </c>
      <c r="E444" t="s">
        <v>8</v>
      </c>
      <c r="F444">
        <v>373</v>
      </c>
      <c r="G444">
        <v>9263.25</v>
      </c>
    </row>
    <row r="445" spans="1:7" hidden="1" x14ac:dyDescent="0.3">
      <c r="A445" s="1">
        <v>45747</v>
      </c>
      <c r="B445" t="s">
        <v>215</v>
      </c>
      <c r="C445" t="s">
        <v>445</v>
      </c>
      <c r="D445" t="s">
        <v>615</v>
      </c>
      <c r="E445" t="s">
        <v>7</v>
      </c>
      <c r="F445">
        <v>411.75</v>
      </c>
      <c r="G445">
        <v>6078.99</v>
      </c>
    </row>
    <row r="446" spans="1:7" hidden="1" x14ac:dyDescent="0.3">
      <c r="A446" s="1">
        <v>45747</v>
      </c>
      <c r="B446" t="s">
        <v>217</v>
      </c>
      <c r="C446" t="s">
        <v>616</v>
      </c>
      <c r="D446" t="s">
        <v>617</v>
      </c>
      <c r="E446" t="s">
        <v>2</v>
      </c>
      <c r="F446">
        <v>329.5</v>
      </c>
      <c r="G446">
        <v>6159.35</v>
      </c>
    </row>
    <row r="447" spans="1:7" hidden="1" x14ac:dyDescent="0.3">
      <c r="A447" s="1">
        <v>45747</v>
      </c>
      <c r="B447" t="s">
        <v>219</v>
      </c>
      <c r="C447" t="s">
        <v>618</v>
      </c>
      <c r="D447" t="s">
        <v>619</v>
      </c>
      <c r="E447" t="s">
        <v>15</v>
      </c>
      <c r="F447">
        <v>427.25</v>
      </c>
      <c r="G447">
        <v>6066.5099999999993</v>
      </c>
    </row>
    <row r="448" spans="1:7" hidden="1" x14ac:dyDescent="0.3">
      <c r="A448" s="1">
        <v>45747</v>
      </c>
      <c r="B448" t="s">
        <v>221</v>
      </c>
      <c r="C448" t="s">
        <v>620</v>
      </c>
      <c r="D448" t="s">
        <v>621</v>
      </c>
      <c r="E448" t="s">
        <v>2</v>
      </c>
      <c r="F448">
        <v>375.25</v>
      </c>
      <c r="G448">
        <v>6117.4299999999994</v>
      </c>
    </row>
    <row r="449" spans="1:7" hidden="1" x14ac:dyDescent="0.3">
      <c r="A449" s="1">
        <v>45747</v>
      </c>
      <c r="B449" t="s">
        <v>223</v>
      </c>
      <c r="C449" t="s">
        <v>622</v>
      </c>
      <c r="D449" t="s">
        <v>623</v>
      </c>
      <c r="E449" t="s">
        <v>14</v>
      </c>
      <c r="F449">
        <v>456</v>
      </c>
      <c r="G449">
        <v>10694.04</v>
      </c>
    </row>
    <row r="450" spans="1:7" hidden="1" x14ac:dyDescent="0.3">
      <c r="A450" s="1">
        <v>45747</v>
      </c>
      <c r="B450" t="s">
        <v>225</v>
      </c>
      <c r="C450" t="s">
        <v>624</v>
      </c>
      <c r="D450" t="s">
        <v>625</v>
      </c>
      <c r="E450" t="s">
        <v>3</v>
      </c>
      <c r="F450">
        <v>246.5</v>
      </c>
      <c r="G450">
        <v>3274.91</v>
      </c>
    </row>
    <row r="451" spans="1:7" hidden="1" x14ac:dyDescent="0.3">
      <c r="A451" s="1">
        <v>45747</v>
      </c>
      <c r="B451" t="s">
        <v>227</v>
      </c>
      <c r="C451" t="s">
        <v>626</v>
      </c>
      <c r="D451" t="s">
        <v>627</v>
      </c>
      <c r="E451" t="s">
        <v>7</v>
      </c>
      <c r="F451">
        <v>359.5</v>
      </c>
      <c r="G451">
        <v>10162.09</v>
      </c>
    </row>
    <row r="452" spans="1:7" hidden="1" x14ac:dyDescent="0.3">
      <c r="A452" s="1">
        <v>45747</v>
      </c>
      <c r="B452" t="s">
        <v>229</v>
      </c>
      <c r="C452" t="s">
        <v>628</v>
      </c>
      <c r="D452" t="s">
        <v>629</v>
      </c>
      <c r="E452" t="s">
        <v>2</v>
      </c>
      <c r="F452">
        <v>335.75</v>
      </c>
      <c r="G452">
        <v>4773.0000000000009</v>
      </c>
    </row>
    <row r="453" spans="1:7" hidden="1" x14ac:dyDescent="0.3">
      <c r="A453" s="1">
        <v>45747</v>
      </c>
      <c r="B453" t="s">
        <v>231</v>
      </c>
      <c r="C453" t="s">
        <v>630</v>
      </c>
      <c r="D453" t="s">
        <v>631</v>
      </c>
      <c r="E453" t="s">
        <v>2</v>
      </c>
      <c r="F453">
        <v>420.5</v>
      </c>
      <c r="G453">
        <v>6164.0099999999993</v>
      </c>
    </row>
    <row r="454" spans="1:7" hidden="1" x14ac:dyDescent="0.3">
      <c r="A454" s="1">
        <v>45747</v>
      </c>
      <c r="B454" t="s">
        <v>233</v>
      </c>
      <c r="C454" t="s">
        <v>632</v>
      </c>
      <c r="D454" t="s">
        <v>633</v>
      </c>
      <c r="E454" t="s">
        <v>2</v>
      </c>
      <c r="F454">
        <v>271.5</v>
      </c>
      <c r="G454">
        <v>3758.3300000000004</v>
      </c>
    </row>
    <row r="455" spans="1:7" hidden="1" x14ac:dyDescent="0.3">
      <c r="A455" s="1">
        <v>45747</v>
      </c>
      <c r="B455" t="s">
        <v>235</v>
      </c>
      <c r="C455" t="s">
        <v>634</v>
      </c>
      <c r="D455" t="s">
        <v>635</v>
      </c>
      <c r="E455" t="s">
        <v>3</v>
      </c>
      <c r="F455">
        <v>187</v>
      </c>
      <c r="G455">
        <v>4523.04</v>
      </c>
    </row>
    <row r="456" spans="1:7" hidden="1" x14ac:dyDescent="0.3">
      <c r="A456" s="1">
        <v>45747</v>
      </c>
      <c r="B456" t="s">
        <v>237</v>
      </c>
      <c r="C456" t="s">
        <v>636</v>
      </c>
      <c r="D456" t="s">
        <v>637</v>
      </c>
      <c r="E456" t="s">
        <v>5</v>
      </c>
      <c r="F456">
        <v>63</v>
      </c>
      <c r="G456">
        <v>2552.0299999999997</v>
      </c>
    </row>
    <row r="457" spans="1:7" hidden="1" x14ac:dyDescent="0.3">
      <c r="A457" s="1">
        <v>45747</v>
      </c>
      <c r="B457" t="s">
        <v>239</v>
      </c>
      <c r="C457" t="s">
        <v>638</v>
      </c>
      <c r="D457" t="s">
        <v>639</v>
      </c>
      <c r="E457" t="s">
        <v>12</v>
      </c>
      <c r="F457">
        <v>459.5</v>
      </c>
      <c r="G457">
        <v>7136.6</v>
      </c>
    </row>
    <row r="458" spans="1:7" hidden="1" x14ac:dyDescent="0.3">
      <c r="A458" s="1">
        <v>45747</v>
      </c>
      <c r="B458" t="s">
        <v>241</v>
      </c>
      <c r="C458" t="s">
        <v>640</v>
      </c>
      <c r="D458" t="s">
        <v>641</v>
      </c>
      <c r="E458" t="s">
        <v>13</v>
      </c>
      <c r="F458">
        <v>446.25</v>
      </c>
      <c r="G458">
        <v>15223.349999999999</v>
      </c>
    </row>
    <row r="459" spans="1:7" hidden="1" x14ac:dyDescent="0.3">
      <c r="A459" s="1">
        <v>45747</v>
      </c>
      <c r="B459" t="s">
        <v>243</v>
      </c>
      <c r="C459" t="s">
        <v>642</v>
      </c>
      <c r="D459" t="s">
        <v>643</v>
      </c>
      <c r="E459" t="s">
        <v>5</v>
      </c>
      <c r="F459">
        <v>408.75</v>
      </c>
      <c r="G459">
        <v>4902.1600000000008</v>
      </c>
    </row>
    <row r="460" spans="1:7" hidden="1" x14ac:dyDescent="0.3">
      <c r="A460" s="1">
        <v>45747</v>
      </c>
      <c r="B460" t="s">
        <v>245</v>
      </c>
      <c r="C460" t="s">
        <v>644</v>
      </c>
      <c r="D460" t="s">
        <v>555</v>
      </c>
      <c r="E460" t="s">
        <v>3</v>
      </c>
      <c r="F460">
        <v>204.5</v>
      </c>
      <c r="G460">
        <v>2511.38</v>
      </c>
    </row>
    <row r="461" spans="1:7" hidden="1" x14ac:dyDescent="0.3">
      <c r="A461" s="1">
        <v>45747</v>
      </c>
      <c r="B461" t="s">
        <v>247</v>
      </c>
      <c r="C461" t="s">
        <v>645</v>
      </c>
      <c r="D461" t="s">
        <v>646</v>
      </c>
      <c r="E461" t="s">
        <v>2</v>
      </c>
      <c r="F461">
        <v>394.5</v>
      </c>
      <c r="G461">
        <v>5216.05</v>
      </c>
    </row>
    <row r="462" spans="1:7" hidden="1" x14ac:dyDescent="0.3">
      <c r="A462" s="1">
        <v>45747</v>
      </c>
      <c r="B462" t="s">
        <v>249</v>
      </c>
      <c r="C462" t="s">
        <v>647</v>
      </c>
      <c r="D462" t="s">
        <v>648</v>
      </c>
      <c r="E462" t="s">
        <v>2</v>
      </c>
      <c r="F462">
        <v>468</v>
      </c>
      <c r="G462">
        <v>6671.38</v>
      </c>
    </row>
    <row r="463" spans="1:7" hidden="1" x14ac:dyDescent="0.3">
      <c r="A463" s="1">
        <v>45747</v>
      </c>
      <c r="B463" t="s">
        <v>251</v>
      </c>
      <c r="C463" t="s">
        <v>649</v>
      </c>
      <c r="D463" t="s">
        <v>460</v>
      </c>
      <c r="E463" t="s">
        <v>2</v>
      </c>
      <c r="F463">
        <v>69.75</v>
      </c>
      <c r="G463">
        <v>1831.37</v>
      </c>
    </row>
    <row r="464" spans="1:7" hidden="1" x14ac:dyDescent="0.3">
      <c r="A464" s="1">
        <v>45747</v>
      </c>
      <c r="B464" t="s">
        <v>253</v>
      </c>
      <c r="C464" t="s">
        <v>650</v>
      </c>
      <c r="D464" t="s">
        <v>651</v>
      </c>
      <c r="E464" t="s">
        <v>5</v>
      </c>
      <c r="F464">
        <v>395.5</v>
      </c>
      <c r="G464">
        <v>4653.04</v>
      </c>
    </row>
    <row r="465" spans="1:7" hidden="1" x14ac:dyDescent="0.3">
      <c r="A465" s="1">
        <v>45747</v>
      </c>
      <c r="B465" t="s">
        <v>255</v>
      </c>
      <c r="C465" t="s">
        <v>652</v>
      </c>
      <c r="D465" t="s">
        <v>653</v>
      </c>
      <c r="E465" t="s">
        <v>5</v>
      </c>
      <c r="F465">
        <v>126</v>
      </c>
      <c r="G465">
        <v>1528.4600000000003</v>
      </c>
    </row>
    <row r="466" spans="1:7" hidden="1" x14ac:dyDescent="0.3">
      <c r="A466" s="1">
        <v>45747</v>
      </c>
      <c r="B466" t="s">
        <v>257</v>
      </c>
      <c r="C466" t="s">
        <v>654</v>
      </c>
      <c r="D466" t="s">
        <v>655</v>
      </c>
      <c r="E466" t="s">
        <v>5</v>
      </c>
      <c r="F466">
        <v>0</v>
      </c>
      <c r="G466">
        <v>2.2400000000000091</v>
      </c>
    </row>
    <row r="467" spans="1:7" hidden="1" x14ac:dyDescent="0.3">
      <c r="A467" s="1">
        <v>45747</v>
      </c>
      <c r="B467" t="s">
        <v>259</v>
      </c>
      <c r="C467" t="s">
        <v>656</v>
      </c>
      <c r="D467" t="s">
        <v>657</v>
      </c>
      <c r="E467" t="s">
        <v>2</v>
      </c>
      <c r="F467">
        <v>327.75</v>
      </c>
      <c r="G467">
        <v>4982.74</v>
      </c>
    </row>
    <row r="468" spans="1:7" hidden="1" x14ac:dyDescent="0.3">
      <c r="A468" s="1">
        <v>45747</v>
      </c>
      <c r="B468" t="s">
        <v>261</v>
      </c>
      <c r="C468" t="s">
        <v>658</v>
      </c>
      <c r="D468" t="s">
        <v>659</v>
      </c>
      <c r="E468" t="s">
        <v>13</v>
      </c>
      <c r="F468">
        <v>136.5</v>
      </c>
      <c r="G468">
        <v>2509.25</v>
      </c>
    </row>
    <row r="469" spans="1:7" hidden="1" x14ac:dyDescent="0.3">
      <c r="A469" s="1">
        <v>45747</v>
      </c>
      <c r="B469" t="s">
        <v>263</v>
      </c>
      <c r="C469" t="s">
        <v>660</v>
      </c>
      <c r="D469" t="s">
        <v>661</v>
      </c>
      <c r="E469" t="s">
        <v>2</v>
      </c>
      <c r="F469">
        <v>343</v>
      </c>
      <c r="G469">
        <v>3967.6600000000003</v>
      </c>
    </row>
    <row r="470" spans="1:7" hidden="1" x14ac:dyDescent="0.3">
      <c r="A470" s="1">
        <v>45747</v>
      </c>
      <c r="B470" t="s">
        <v>265</v>
      </c>
      <c r="C470" t="s">
        <v>662</v>
      </c>
      <c r="D470" t="s">
        <v>646</v>
      </c>
      <c r="E470" t="s">
        <v>7</v>
      </c>
      <c r="F470">
        <v>414</v>
      </c>
      <c r="G470">
        <v>16112.259999999998</v>
      </c>
    </row>
    <row r="471" spans="1:7" hidden="1" x14ac:dyDescent="0.3">
      <c r="A471" s="1">
        <v>45747</v>
      </c>
      <c r="B471" t="s">
        <v>267</v>
      </c>
      <c r="C471" t="s">
        <v>663</v>
      </c>
      <c r="D471" t="s">
        <v>664</v>
      </c>
      <c r="E471" t="s">
        <v>10</v>
      </c>
      <c r="F471">
        <v>403</v>
      </c>
      <c r="G471">
        <v>6959.41</v>
      </c>
    </row>
    <row r="472" spans="1:7" hidden="1" x14ac:dyDescent="0.3">
      <c r="A472" s="1">
        <v>45747</v>
      </c>
      <c r="B472" t="s">
        <v>269</v>
      </c>
      <c r="C472" t="s">
        <v>665</v>
      </c>
      <c r="D472" t="s">
        <v>666</v>
      </c>
      <c r="E472" t="s">
        <v>2</v>
      </c>
      <c r="F472">
        <v>397.75</v>
      </c>
      <c r="G472">
        <v>6036.87</v>
      </c>
    </row>
    <row r="473" spans="1:7" hidden="1" x14ac:dyDescent="0.3">
      <c r="A473" s="1">
        <v>45747</v>
      </c>
      <c r="B473" t="s">
        <v>271</v>
      </c>
      <c r="C473" t="s">
        <v>667</v>
      </c>
      <c r="D473" t="s">
        <v>668</v>
      </c>
      <c r="E473" t="s">
        <v>2</v>
      </c>
      <c r="F473">
        <v>387</v>
      </c>
      <c r="G473">
        <v>4501.84</v>
      </c>
    </row>
    <row r="474" spans="1:7" hidden="1" x14ac:dyDescent="0.3">
      <c r="A474" s="1">
        <v>45747</v>
      </c>
      <c r="B474" t="s">
        <v>273</v>
      </c>
      <c r="C474" t="s">
        <v>669</v>
      </c>
      <c r="D474" t="s">
        <v>670</v>
      </c>
      <c r="E474" t="s">
        <v>3</v>
      </c>
      <c r="F474">
        <v>375.75</v>
      </c>
      <c r="G474">
        <v>4591.24</v>
      </c>
    </row>
    <row r="475" spans="1:7" hidden="1" x14ac:dyDescent="0.3">
      <c r="A475" s="1">
        <v>45747</v>
      </c>
      <c r="B475" t="s">
        <v>275</v>
      </c>
      <c r="C475" t="s">
        <v>671</v>
      </c>
      <c r="D475" t="s">
        <v>672</v>
      </c>
      <c r="E475" t="s">
        <v>13</v>
      </c>
      <c r="F475">
        <v>329</v>
      </c>
      <c r="G475">
        <v>5535.71</v>
      </c>
    </row>
    <row r="476" spans="1:7" hidden="1" x14ac:dyDescent="0.3">
      <c r="A476" s="1">
        <v>45747</v>
      </c>
      <c r="B476" t="s">
        <v>277</v>
      </c>
      <c r="C476" t="s">
        <v>673</v>
      </c>
      <c r="D476" t="s">
        <v>674</v>
      </c>
      <c r="E476" t="s">
        <v>3</v>
      </c>
      <c r="F476">
        <v>430.25</v>
      </c>
      <c r="G476">
        <v>4956</v>
      </c>
    </row>
    <row r="477" spans="1:7" hidden="1" x14ac:dyDescent="0.3">
      <c r="A477" s="1">
        <v>45747</v>
      </c>
      <c r="B477" t="s">
        <v>279</v>
      </c>
      <c r="C477" t="s">
        <v>675</v>
      </c>
      <c r="D477" t="s">
        <v>676</v>
      </c>
      <c r="E477" t="s">
        <v>13</v>
      </c>
      <c r="F477">
        <v>416.25</v>
      </c>
      <c r="G477">
        <v>6130.65</v>
      </c>
    </row>
    <row r="478" spans="1:7" hidden="1" x14ac:dyDescent="0.3">
      <c r="A478" s="1">
        <v>45747</v>
      </c>
      <c r="B478" t="s">
        <v>281</v>
      </c>
      <c r="C478" t="s">
        <v>677</v>
      </c>
      <c r="D478" t="s">
        <v>678</v>
      </c>
      <c r="E478" t="s">
        <v>7</v>
      </c>
      <c r="F478">
        <v>408</v>
      </c>
      <c r="G478">
        <v>10342.299999999999</v>
      </c>
    </row>
    <row r="479" spans="1:7" hidden="1" x14ac:dyDescent="0.3">
      <c r="A479" s="1">
        <v>45747</v>
      </c>
      <c r="B479" t="s">
        <v>283</v>
      </c>
      <c r="C479" t="s">
        <v>679</v>
      </c>
      <c r="D479" t="s">
        <v>680</v>
      </c>
      <c r="E479" t="s">
        <v>3</v>
      </c>
      <c r="F479">
        <v>306</v>
      </c>
      <c r="G479">
        <v>3469.78</v>
      </c>
    </row>
    <row r="480" spans="1:7" hidden="1" x14ac:dyDescent="0.3">
      <c r="A480" s="1">
        <v>45747</v>
      </c>
      <c r="B480" t="s">
        <v>285</v>
      </c>
      <c r="C480" t="s">
        <v>681</v>
      </c>
      <c r="D480" t="s">
        <v>504</v>
      </c>
      <c r="E480" t="s">
        <v>5</v>
      </c>
      <c r="F480">
        <v>429.25</v>
      </c>
      <c r="G480">
        <v>4962.67</v>
      </c>
    </row>
    <row r="481" spans="1:7" hidden="1" x14ac:dyDescent="0.3">
      <c r="A481" s="1">
        <v>45747</v>
      </c>
      <c r="B481" t="s">
        <v>287</v>
      </c>
      <c r="C481" t="s">
        <v>682</v>
      </c>
      <c r="D481" t="s">
        <v>683</v>
      </c>
      <c r="E481" t="s">
        <v>5</v>
      </c>
      <c r="F481">
        <v>404</v>
      </c>
      <c r="G481">
        <v>4487.12</v>
      </c>
    </row>
    <row r="482" spans="1:7" hidden="1" x14ac:dyDescent="0.3">
      <c r="A482" s="1">
        <v>45747</v>
      </c>
      <c r="B482" t="s">
        <v>289</v>
      </c>
      <c r="C482" t="s">
        <v>684</v>
      </c>
      <c r="D482" t="s">
        <v>685</v>
      </c>
      <c r="E482" t="s">
        <v>5</v>
      </c>
      <c r="F482">
        <v>417</v>
      </c>
      <c r="G482">
        <v>4857.17</v>
      </c>
    </row>
    <row r="483" spans="1:7" hidden="1" x14ac:dyDescent="0.3">
      <c r="A483" s="1">
        <v>45747</v>
      </c>
      <c r="B483" t="s">
        <v>291</v>
      </c>
      <c r="C483" t="s">
        <v>686</v>
      </c>
      <c r="D483" t="s">
        <v>534</v>
      </c>
      <c r="E483" t="s">
        <v>14</v>
      </c>
      <c r="F483">
        <v>456</v>
      </c>
      <c r="G483">
        <v>8378.65</v>
      </c>
    </row>
    <row r="484" spans="1:7" hidden="1" x14ac:dyDescent="0.3">
      <c r="A484" s="1">
        <v>45747</v>
      </c>
      <c r="B484" t="s">
        <v>293</v>
      </c>
      <c r="C484" t="s">
        <v>687</v>
      </c>
      <c r="D484" t="s">
        <v>688</v>
      </c>
      <c r="E484" t="s">
        <v>2</v>
      </c>
      <c r="F484">
        <v>444.5</v>
      </c>
      <c r="G484">
        <v>6704.35</v>
      </c>
    </row>
    <row r="485" spans="1:7" hidden="1" x14ac:dyDescent="0.3">
      <c r="A485" s="1">
        <v>45747</v>
      </c>
      <c r="B485" t="s">
        <v>295</v>
      </c>
      <c r="C485" t="s">
        <v>689</v>
      </c>
      <c r="D485" t="s">
        <v>690</v>
      </c>
      <c r="E485" t="s">
        <v>5</v>
      </c>
      <c r="F485">
        <v>312.25</v>
      </c>
      <c r="G485">
        <v>4063.3100000000004</v>
      </c>
    </row>
    <row r="486" spans="1:7" hidden="1" x14ac:dyDescent="0.3">
      <c r="A486" s="1">
        <v>45747</v>
      </c>
      <c r="B486" t="s">
        <v>297</v>
      </c>
      <c r="C486" t="s">
        <v>691</v>
      </c>
      <c r="D486" t="s">
        <v>648</v>
      </c>
      <c r="E486" t="s">
        <v>2</v>
      </c>
      <c r="F486">
        <v>399.75</v>
      </c>
      <c r="G486">
        <v>6151.8</v>
      </c>
    </row>
    <row r="487" spans="1:7" hidden="1" x14ac:dyDescent="0.3">
      <c r="A487" s="1">
        <v>45747</v>
      </c>
      <c r="B487" t="s">
        <v>299</v>
      </c>
      <c r="C487" t="s">
        <v>692</v>
      </c>
      <c r="D487" t="s">
        <v>551</v>
      </c>
      <c r="E487" t="s">
        <v>10</v>
      </c>
      <c r="F487">
        <v>329.5</v>
      </c>
      <c r="G487">
        <v>5838.77</v>
      </c>
    </row>
    <row r="488" spans="1:7" hidden="1" x14ac:dyDescent="0.3">
      <c r="A488" s="1">
        <v>45747</v>
      </c>
      <c r="B488" t="s">
        <v>301</v>
      </c>
      <c r="C488" t="s">
        <v>693</v>
      </c>
      <c r="D488" t="s">
        <v>694</v>
      </c>
      <c r="E488" t="s">
        <v>5</v>
      </c>
      <c r="F488">
        <v>290</v>
      </c>
      <c r="G488">
        <v>3988.5</v>
      </c>
    </row>
    <row r="489" spans="1:7" hidden="1" x14ac:dyDescent="0.3">
      <c r="A489" s="1">
        <v>45747</v>
      </c>
      <c r="B489" t="s">
        <v>303</v>
      </c>
      <c r="C489" t="s">
        <v>695</v>
      </c>
      <c r="D489" t="s">
        <v>696</v>
      </c>
      <c r="E489" t="s">
        <v>13</v>
      </c>
      <c r="F489">
        <v>325.45</v>
      </c>
      <c r="G489">
        <v>5658.61</v>
      </c>
    </row>
    <row r="490" spans="1:7" hidden="1" x14ac:dyDescent="0.3">
      <c r="A490" s="1">
        <v>45747</v>
      </c>
      <c r="B490" t="s">
        <v>305</v>
      </c>
      <c r="C490" t="s">
        <v>697</v>
      </c>
      <c r="D490" t="s">
        <v>698</v>
      </c>
      <c r="E490" t="s">
        <v>5</v>
      </c>
      <c r="F490">
        <v>430</v>
      </c>
      <c r="G490">
        <v>4964.4799999999996</v>
      </c>
    </row>
    <row r="491" spans="1:7" hidden="1" x14ac:dyDescent="0.3">
      <c r="A491" s="1">
        <v>45747</v>
      </c>
      <c r="B491" t="s">
        <v>307</v>
      </c>
      <c r="C491" t="s">
        <v>699</v>
      </c>
      <c r="D491" t="s">
        <v>456</v>
      </c>
      <c r="E491" t="s">
        <v>13</v>
      </c>
      <c r="F491">
        <v>267</v>
      </c>
      <c r="G491">
        <v>4878.78</v>
      </c>
    </row>
    <row r="492" spans="1:7" hidden="1" x14ac:dyDescent="0.3">
      <c r="A492" s="1">
        <v>45747</v>
      </c>
      <c r="B492" t="s">
        <v>309</v>
      </c>
      <c r="C492" t="s">
        <v>700</v>
      </c>
      <c r="D492" t="s">
        <v>701</v>
      </c>
      <c r="E492" t="s">
        <v>10</v>
      </c>
      <c r="F492">
        <v>467.5</v>
      </c>
      <c r="G492">
        <v>9792.369999999999</v>
      </c>
    </row>
    <row r="493" spans="1:7" hidden="1" x14ac:dyDescent="0.3">
      <c r="A493" s="1">
        <v>45747</v>
      </c>
      <c r="B493" t="s">
        <v>311</v>
      </c>
      <c r="C493" t="s">
        <v>702</v>
      </c>
      <c r="D493" t="s">
        <v>703</v>
      </c>
      <c r="E493" t="s">
        <v>5</v>
      </c>
      <c r="F493">
        <v>375.25</v>
      </c>
      <c r="G493">
        <v>4710.54</v>
      </c>
    </row>
    <row r="494" spans="1:7" hidden="1" x14ac:dyDescent="0.3">
      <c r="A494" s="1">
        <v>45747</v>
      </c>
      <c r="B494" t="s">
        <v>313</v>
      </c>
      <c r="C494" t="s">
        <v>704</v>
      </c>
      <c r="D494" t="s">
        <v>705</v>
      </c>
      <c r="E494" t="s">
        <v>13</v>
      </c>
      <c r="F494">
        <v>325</v>
      </c>
      <c r="G494">
        <v>5245.94</v>
      </c>
    </row>
    <row r="495" spans="1:7" hidden="1" x14ac:dyDescent="0.3">
      <c r="A495" s="1">
        <v>45747</v>
      </c>
      <c r="B495" t="s">
        <v>315</v>
      </c>
      <c r="C495" t="s">
        <v>706</v>
      </c>
      <c r="D495" t="s">
        <v>707</v>
      </c>
      <c r="E495" t="s">
        <v>6</v>
      </c>
      <c r="F495">
        <v>467</v>
      </c>
      <c r="G495">
        <v>5408.68</v>
      </c>
    </row>
    <row r="496" spans="1:7" hidden="1" x14ac:dyDescent="0.3">
      <c r="A496" s="1">
        <v>45747</v>
      </c>
      <c r="B496" t="s">
        <v>317</v>
      </c>
      <c r="C496" t="s">
        <v>708</v>
      </c>
      <c r="D496" t="s">
        <v>709</v>
      </c>
      <c r="E496" t="s">
        <v>3</v>
      </c>
      <c r="F496">
        <v>45</v>
      </c>
      <c r="G496">
        <v>1701.22</v>
      </c>
    </row>
    <row r="497" spans="1:7" hidden="1" x14ac:dyDescent="0.3">
      <c r="A497" s="1">
        <v>45747</v>
      </c>
      <c r="B497" t="s">
        <v>319</v>
      </c>
      <c r="C497" t="s">
        <v>710</v>
      </c>
      <c r="D497" t="s">
        <v>711</v>
      </c>
      <c r="E497" t="s">
        <v>2</v>
      </c>
      <c r="F497">
        <v>431</v>
      </c>
      <c r="G497">
        <v>6939.2</v>
      </c>
    </row>
    <row r="498" spans="1:7" hidden="1" x14ac:dyDescent="0.3">
      <c r="A498" s="1">
        <v>45747</v>
      </c>
      <c r="B498" t="s">
        <v>321</v>
      </c>
      <c r="C498" t="s">
        <v>712</v>
      </c>
      <c r="D498" t="s">
        <v>713</v>
      </c>
      <c r="E498" t="s">
        <v>2</v>
      </c>
      <c r="F498">
        <v>406</v>
      </c>
      <c r="G498">
        <v>7132.4</v>
      </c>
    </row>
    <row r="499" spans="1:7" hidden="1" x14ac:dyDescent="0.3">
      <c r="A499" s="1">
        <v>45747</v>
      </c>
      <c r="B499" t="s">
        <v>323</v>
      </c>
      <c r="C499" t="s">
        <v>714</v>
      </c>
      <c r="D499" t="s">
        <v>715</v>
      </c>
      <c r="E499" t="s">
        <v>13</v>
      </c>
      <c r="F499">
        <v>287.5</v>
      </c>
      <c r="G499">
        <v>4822</v>
      </c>
    </row>
    <row r="500" spans="1:7" hidden="1" x14ac:dyDescent="0.3">
      <c r="A500" s="1">
        <v>45747</v>
      </c>
      <c r="B500" t="s">
        <v>325</v>
      </c>
      <c r="C500" t="s">
        <v>716</v>
      </c>
      <c r="D500" t="s">
        <v>717</v>
      </c>
      <c r="E500" t="s">
        <v>13</v>
      </c>
      <c r="F500">
        <v>254.75</v>
      </c>
      <c r="G500">
        <v>3437.09</v>
      </c>
    </row>
    <row r="501" spans="1:7" hidden="1" x14ac:dyDescent="0.3">
      <c r="A501" s="1">
        <v>45747</v>
      </c>
      <c r="B501" t="s">
        <v>327</v>
      </c>
      <c r="C501" t="s">
        <v>718</v>
      </c>
      <c r="D501" t="s">
        <v>719</v>
      </c>
      <c r="E501" t="s">
        <v>5</v>
      </c>
      <c r="F501">
        <v>332.25</v>
      </c>
      <c r="G501">
        <v>4271.4400000000005</v>
      </c>
    </row>
    <row r="502" spans="1:7" hidden="1" x14ac:dyDescent="0.3">
      <c r="A502" s="1">
        <v>45747</v>
      </c>
      <c r="B502" t="s">
        <v>329</v>
      </c>
      <c r="C502" t="s">
        <v>720</v>
      </c>
      <c r="D502" t="s">
        <v>721</v>
      </c>
      <c r="E502" t="s">
        <v>6</v>
      </c>
      <c r="F502">
        <v>355</v>
      </c>
      <c r="G502">
        <v>4486.75</v>
      </c>
    </row>
    <row r="503" spans="1:7" hidden="1" x14ac:dyDescent="0.3">
      <c r="A503" s="1">
        <v>45747</v>
      </c>
      <c r="B503" t="s">
        <v>331</v>
      </c>
      <c r="C503" t="s">
        <v>722</v>
      </c>
      <c r="D503" t="s">
        <v>723</v>
      </c>
      <c r="E503" t="s">
        <v>3</v>
      </c>
      <c r="F503">
        <v>180</v>
      </c>
      <c r="G503">
        <v>1949.81</v>
      </c>
    </row>
    <row r="504" spans="1:7" hidden="1" x14ac:dyDescent="0.3">
      <c r="A504" s="1">
        <v>45747</v>
      </c>
      <c r="B504" t="s">
        <v>333</v>
      </c>
      <c r="C504" t="s">
        <v>724</v>
      </c>
      <c r="D504" t="s">
        <v>725</v>
      </c>
      <c r="E504" t="s">
        <v>14</v>
      </c>
      <c r="F504">
        <v>184</v>
      </c>
      <c r="G504">
        <v>3730.66</v>
      </c>
    </row>
    <row r="505" spans="1:7" hidden="1" x14ac:dyDescent="0.3">
      <c r="A505" s="1">
        <v>45747</v>
      </c>
      <c r="B505" t="s">
        <v>366</v>
      </c>
      <c r="C505" t="s">
        <v>751</v>
      </c>
      <c r="D505" t="s">
        <v>601</v>
      </c>
      <c r="E505" t="s">
        <v>5</v>
      </c>
      <c r="F505">
        <v>187.25</v>
      </c>
      <c r="G505">
        <v>2421.29</v>
      </c>
    </row>
    <row r="506" spans="1:7" hidden="1" x14ac:dyDescent="0.3">
      <c r="A506" s="1">
        <v>45747</v>
      </c>
      <c r="B506" t="s">
        <v>335</v>
      </c>
      <c r="C506" t="s">
        <v>726</v>
      </c>
      <c r="D506" t="s">
        <v>551</v>
      </c>
      <c r="E506" t="s">
        <v>2</v>
      </c>
      <c r="F506">
        <v>216.5</v>
      </c>
      <c r="G506">
        <v>3692.28</v>
      </c>
    </row>
    <row r="507" spans="1:7" hidden="1" x14ac:dyDescent="0.3">
      <c r="A507" s="1">
        <v>45747</v>
      </c>
      <c r="B507" t="s">
        <v>368</v>
      </c>
      <c r="C507" t="s">
        <v>752</v>
      </c>
      <c r="D507" t="s">
        <v>753</v>
      </c>
      <c r="E507" t="s">
        <v>13</v>
      </c>
      <c r="F507">
        <v>202</v>
      </c>
      <c r="G507">
        <v>2939.2</v>
      </c>
    </row>
    <row r="508" spans="1:7" hidden="1" x14ac:dyDescent="0.3">
      <c r="A508" s="1">
        <v>45747</v>
      </c>
      <c r="B508" t="s">
        <v>370</v>
      </c>
      <c r="C508" t="s">
        <v>727</v>
      </c>
      <c r="D508" t="s">
        <v>728</v>
      </c>
      <c r="E508" t="s">
        <v>5</v>
      </c>
      <c r="F508">
        <v>237.75</v>
      </c>
      <c r="G508">
        <v>2889.85</v>
      </c>
    </row>
    <row r="509" spans="1:7" hidden="1" x14ac:dyDescent="0.3">
      <c r="A509" s="1">
        <v>45747</v>
      </c>
      <c r="B509" t="s">
        <v>371</v>
      </c>
      <c r="C509" t="s">
        <v>754</v>
      </c>
      <c r="D509" t="s">
        <v>755</v>
      </c>
      <c r="E509" t="s">
        <v>11</v>
      </c>
      <c r="F509">
        <v>74</v>
      </c>
      <c r="G509">
        <v>5581.45</v>
      </c>
    </row>
    <row r="510" spans="1:7" hidden="1" x14ac:dyDescent="0.3">
      <c r="A510" s="1">
        <v>45747</v>
      </c>
      <c r="B510" t="s">
        <v>373</v>
      </c>
      <c r="C510" t="s">
        <v>756</v>
      </c>
      <c r="D510" t="s">
        <v>757</v>
      </c>
      <c r="E510" t="s">
        <v>13</v>
      </c>
      <c r="F510">
        <v>235.5</v>
      </c>
      <c r="G510">
        <v>4609.71</v>
      </c>
    </row>
    <row r="511" spans="1:7" hidden="1" x14ac:dyDescent="0.3">
      <c r="A511" s="1">
        <v>45747</v>
      </c>
      <c r="B511" t="s">
        <v>375</v>
      </c>
      <c r="C511" t="s">
        <v>758</v>
      </c>
      <c r="D511" t="s">
        <v>759</v>
      </c>
      <c r="E511" t="s">
        <v>13</v>
      </c>
      <c r="F511">
        <v>108.5</v>
      </c>
      <c r="G511">
        <v>1638.32</v>
      </c>
    </row>
    <row r="512" spans="1:7" hidden="1" x14ac:dyDescent="0.3">
      <c r="A512" s="1">
        <v>45747</v>
      </c>
      <c r="B512" t="s">
        <v>377</v>
      </c>
      <c r="C512" t="s">
        <v>760</v>
      </c>
      <c r="D512" t="s">
        <v>761</v>
      </c>
      <c r="E512" t="s">
        <v>2</v>
      </c>
      <c r="F512">
        <v>140.5</v>
      </c>
      <c r="G512">
        <v>1589.71</v>
      </c>
    </row>
    <row r="513" spans="1:7" x14ac:dyDescent="0.3">
      <c r="A513" s="1">
        <v>45747</v>
      </c>
      <c r="B513" t="s">
        <v>379</v>
      </c>
      <c r="C513" t="s">
        <v>739</v>
      </c>
      <c r="D513" t="s">
        <v>519</v>
      </c>
      <c r="E513" t="s">
        <v>2</v>
      </c>
      <c r="F513">
        <v>145.75</v>
      </c>
      <c r="G513">
        <v>1500.89</v>
      </c>
    </row>
    <row r="514" spans="1:7" hidden="1" x14ac:dyDescent="0.3">
      <c r="A514" s="1">
        <v>45747</v>
      </c>
      <c r="B514" t="s">
        <v>380</v>
      </c>
      <c r="C514" t="s">
        <v>730</v>
      </c>
      <c r="D514" t="s">
        <v>731</v>
      </c>
      <c r="E514" t="s">
        <v>13</v>
      </c>
      <c r="F514">
        <v>165.25</v>
      </c>
      <c r="G514">
        <v>2044.67</v>
      </c>
    </row>
    <row r="515" spans="1:7" hidden="1" x14ac:dyDescent="0.3">
      <c r="A515" s="1">
        <v>45747</v>
      </c>
      <c r="B515" t="s">
        <v>381</v>
      </c>
      <c r="C515" t="s">
        <v>762</v>
      </c>
      <c r="D515" t="s">
        <v>763</v>
      </c>
      <c r="E515" t="s">
        <v>7</v>
      </c>
      <c r="F515">
        <v>121.75</v>
      </c>
      <c r="G515">
        <v>3408.99</v>
      </c>
    </row>
    <row r="516" spans="1:7" hidden="1" x14ac:dyDescent="0.3">
      <c r="A516" s="1">
        <v>45747</v>
      </c>
      <c r="B516" t="s">
        <v>383</v>
      </c>
      <c r="C516" t="s">
        <v>729</v>
      </c>
      <c r="D516" t="s">
        <v>641</v>
      </c>
      <c r="E516" t="s">
        <v>8</v>
      </c>
      <c r="F516">
        <v>122</v>
      </c>
      <c r="G516">
        <v>1633.9</v>
      </c>
    </row>
    <row r="517" spans="1:7" hidden="1" x14ac:dyDescent="0.3">
      <c r="A517" s="1">
        <v>45747</v>
      </c>
      <c r="B517" t="s">
        <v>384</v>
      </c>
      <c r="C517" t="s">
        <v>764</v>
      </c>
      <c r="D517" t="s">
        <v>581</v>
      </c>
      <c r="E517" t="s">
        <v>2</v>
      </c>
      <c r="F517">
        <v>99</v>
      </c>
      <c r="G517">
        <v>1662.92</v>
      </c>
    </row>
    <row r="518" spans="1:7" hidden="1" x14ac:dyDescent="0.3">
      <c r="A518" s="1">
        <v>45747</v>
      </c>
      <c r="B518" t="s">
        <v>386</v>
      </c>
      <c r="C518" t="s">
        <v>765</v>
      </c>
      <c r="D518" t="s">
        <v>766</v>
      </c>
      <c r="E518" t="s">
        <v>2</v>
      </c>
      <c r="F518">
        <v>84</v>
      </c>
      <c r="G518">
        <v>1101.54</v>
      </c>
    </row>
    <row r="519" spans="1:7" hidden="1" x14ac:dyDescent="0.3">
      <c r="A519" s="1">
        <v>45747</v>
      </c>
      <c r="B519" t="s">
        <v>388</v>
      </c>
      <c r="C519" t="s">
        <v>767</v>
      </c>
      <c r="D519" t="s">
        <v>768</v>
      </c>
      <c r="E519" t="s">
        <v>2</v>
      </c>
      <c r="F519">
        <v>42</v>
      </c>
      <c r="G519">
        <v>386.23</v>
      </c>
    </row>
    <row r="520" spans="1:7" hidden="1" x14ac:dyDescent="0.3">
      <c r="A520" s="1">
        <v>45747</v>
      </c>
      <c r="B520" t="s">
        <v>390</v>
      </c>
      <c r="C520" t="s">
        <v>769</v>
      </c>
      <c r="D520" t="s">
        <v>770</v>
      </c>
      <c r="E520" t="s">
        <v>3</v>
      </c>
      <c r="F520">
        <v>31.5</v>
      </c>
      <c r="G520">
        <v>256.95000000000005</v>
      </c>
    </row>
    <row r="521" spans="1:7" hidden="1" x14ac:dyDescent="0.3">
      <c r="A521" s="1">
        <v>45747</v>
      </c>
      <c r="B521" t="s">
        <v>392</v>
      </c>
      <c r="C521" t="s">
        <v>771</v>
      </c>
      <c r="D521" t="s">
        <v>498</v>
      </c>
      <c r="E521" t="s">
        <v>2</v>
      </c>
      <c r="F521">
        <v>25.5</v>
      </c>
      <c r="G521">
        <v>210.20999999999998</v>
      </c>
    </row>
    <row r="522" spans="1:7" hidden="1" x14ac:dyDescent="0.3">
      <c r="A522" s="1">
        <v>45747</v>
      </c>
      <c r="B522" t="s">
        <v>394</v>
      </c>
      <c r="C522" t="s">
        <v>772</v>
      </c>
      <c r="D522" t="s">
        <v>773</v>
      </c>
      <c r="E522" t="s">
        <v>2</v>
      </c>
      <c r="F522">
        <v>26</v>
      </c>
      <c r="G522">
        <v>214.33</v>
      </c>
    </row>
    <row r="523" spans="1:7" hidden="1" x14ac:dyDescent="0.3">
      <c r="A523" s="1">
        <v>45747</v>
      </c>
      <c r="B523" t="s">
        <v>396</v>
      </c>
      <c r="C523" t="s">
        <v>746</v>
      </c>
      <c r="D523" t="s">
        <v>747</v>
      </c>
      <c r="E523" t="s">
        <v>3</v>
      </c>
      <c r="F523">
        <v>30</v>
      </c>
      <c r="G523">
        <v>244.72</v>
      </c>
    </row>
    <row r="524" spans="1:7" hidden="1" x14ac:dyDescent="0.3">
      <c r="A524" s="1">
        <v>45747</v>
      </c>
      <c r="B524" t="s">
        <v>337</v>
      </c>
      <c r="C524" t="s">
        <v>727</v>
      </c>
      <c r="D524" t="s">
        <v>728</v>
      </c>
      <c r="E524" t="s">
        <v>5</v>
      </c>
      <c r="F524">
        <v>0</v>
      </c>
      <c r="G524">
        <v>566.08000000000004</v>
      </c>
    </row>
    <row r="525" spans="1:7" hidden="1" x14ac:dyDescent="0.3">
      <c r="A525" s="1">
        <v>45747</v>
      </c>
      <c r="B525" t="s">
        <v>339</v>
      </c>
      <c r="C525" t="s">
        <v>729</v>
      </c>
      <c r="D525" t="s">
        <v>641</v>
      </c>
      <c r="E525" t="s">
        <v>8</v>
      </c>
      <c r="F525">
        <v>0</v>
      </c>
      <c r="G525">
        <v>1041.02</v>
      </c>
    </row>
    <row r="526" spans="1:7" hidden="1" x14ac:dyDescent="0.3">
      <c r="A526" s="1">
        <v>45747</v>
      </c>
      <c r="B526" t="s">
        <v>341</v>
      </c>
      <c r="C526" t="s">
        <v>730</v>
      </c>
      <c r="D526" t="s">
        <v>731</v>
      </c>
      <c r="E526" t="s">
        <v>13</v>
      </c>
      <c r="F526">
        <v>0</v>
      </c>
      <c r="G526">
        <v>1338.19</v>
      </c>
    </row>
    <row r="527" spans="1:7" hidden="1" x14ac:dyDescent="0.3">
      <c r="A527" s="1">
        <v>45747</v>
      </c>
      <c r="B527" t="s">
        <v>343</v>
      </c>
      <c r="C527" t="s">
        <v>726</v>
      </c>
      <c r="D527" t="s">
        <v>551</v>
      </c>
      <c r="E527" t="s">
        <v>2</v>
      </c>
      <c r="F527">
        <v>0</v>
      </c>
      <c r="G527">
        <v>11.58</v>
      </c>
    </row>
    <row r="528" spans="1:7" hidden="1" x14ac:dyDescent="0.3">
      <c r="A528" s="1">
        <v>45747</v>
      </c>
      <c r="B528" t="s">
        <v>344</v>
      </c>
      <c r="C528" t="s">
        <v>732</v>
      </c>
      <c r="D528" t="s">
        <v>733</v>
      </c>
      <c r="E528" t="s">
        <v>5</v>
      </c>
      <c r="F528">
        <v>0</v>
      </c>
      <c r="G528">
        <v>1548.24</v>
      </c>
    </row>
    <row r="529" spans="1:7" hidden="1" x14ac:dyDescent="0.3">
      <c r="A529" s="1">
        <v>45747</v>
      </c>
      <c r="B529" t="s">
        <v>346</v>
      </c>
      <c r="C529" t="s">
        <v>734</v>
      </c>
      <c r="D529" t="s">
        <v>440</v>
      </c>
      <c r="E529" t="s">
        <v>5</v>
      </c>
      <c r="F529">
        <v>0</v>
      </c>
      <c r="G529">
        <v>1548.24</v>
      </c>
    </row>
    <row r="530" spans="1:7" hidden="1" x14ac:dyDescent="0.3">
      <c r="A530" s="1">
        <v>45747</v>
      </c>
      <c r="B530" t="s">
        <v>426</v>
      </c>
      <c r="C530" t="s">
        <v>735</v>
      </c>
      <c r="D530" t="s">
        <v>736</v>
      </c>
      <c r="E530" t="s">
        <v>5</v>
      </c>
      <c r="F530">
        <v>0</v>
      </c>
      <c r="G530">
        <v>0</v>
      </c>
    </row>
    <row r="531" spans="1:7" hidden="1" x14ac:dyDescent="0.3">
      <c r="A531" s="1">
        <v>45747</v>
      </c>
      <c r="B531" t="s">
        <v>348</v>
      </c>
      <c r="C531" t="s">
        <v>720</v>
      </c>
      <c r="D531" t="s">
        <v>721</v>
      </c>
      <c r="E531" t="s">
        <v>6</v>
      </c>
      <c r="F531">
        <v>0</v>
      </c>
      <c r="G531">
        <v>23.91</v>
      </c>
    </row>
    <row r="532" spans="1:7" hidden="1" x14ac:dyDescent="0.3">
      <c r="A532" s="1">
        <v>45747</v>
      </c>
      <c r="B532" t="s">
        <v>349</v>
      </c>
      <c r="C532" t="s">
        <v>737</v>
      </c>
      <c r="D532" t="s">
        <v>738</v>
      </c>
      <c r="E532" t="s">
        <v>5</v>
      </c>
      <c r="F532">
        <v>0</v>
      </c>
      <c r="G532">
        <v>931.52</v>
      </c>
    </row>
    <row r="533" spans="1:7" x14ac:dyDescent="0.3">
      <c r="A533" s="1">
        <v>45747</v>
      </c>
      <c r="B533" t="s">
        <v>351</v>
      </c>
      <c r="C533" t="s">
        <v>739</v>
      </c>
      <c r="D533" t="s">
        <v>519</v>
      </c>
      <c r="E533" t="s">
        <v>2</v>
      </c>
      <c r="F533">
        <v>0</v>
      </c>
      <c r="G533">
        <v>27.02</v>
      </c>
    </row>
    <row r="534" spans="1:7" hidden="1" x14ac:dyDescent="0.3">
      <c r="A534" s="1">
        <v>45747</v>
      </c>
      <c r="B534" t="s">
        <v>353</v>
      </c>
      <c r="C534" t="s">
        <v>740</v>
      </c>
      <c r="D534" t="s">
        <v>741</v>
      </c>
      <c r="E534" t="s">
        <v>5</v>
      </c>
      <c r="F534">
        <v>0</v>
      </c>
      <c r="G534">
        <v>1398.24</v>
      </c>
    </row>
    <row r="535" spans="1:7" hidden="1" x14ac:dyDescent="0.3">
      <c r="A535" s="1">
        <v>45747</v>
      </c>
      <c r="B535" t="s">
        <v>355</v>
      </c>
      <c r="C535" t="s">
        <v>742</v>
      </c>
      <c r="D535" t="s">
        <v>743</v>
      </c>
      <c r="E535" t="s">
        <v>5</v>
      </c>
      <c r="F535">
        <v>0</v>
      </c>
      <c r="G535">
        <v>1398.24</v>
      </c>
    </row>
    <row r="536" spans="1:7" hidden="1" x14ac:dyDescent="0.3">
      <c r="A536" s="1">
        <v>45747</v>
      </c>
      <c r="B536" t="s">
        <v>357</v>
      </c>
      <c r="C536" t="s">
        <v>744</v>
      </c>
      <c r="D536" t="s">
        <v>745</v>
      </c>
      <c r="E536" t="s">
        <v>3</v>
      </c>
      <c r="F536">
        <v>0</v>
      </c>
      <c r="G536">
        <v>47.6</v>
      </c>
    </row>
    <row r="537" spans="1:7" hidden="1" x14ac:dyDescent="0.3">
      <c r="A537" s="1">
        <v>45747</v>
      </c>
      <c r="B537" t="s">
        <v>359</v>
      </c>
      <c r="C537" t="s">
        <v>746</v>
      </c>
      <c r="D537" t="s">
        <v>747</v>
      </c>
      <c r="E537" t="s">
        <v>3</v>
      </c>
      <c r="F537">
        <v>0</v>
      </c>
      <c r="G537">
        <v>34.1</v>
      </c>
    </row>
    <row r="538" spans="1:7" hidden="1" x14ac:dyDescent="0.3">
      <c r="A538" s="1">
        <v>45747</v>
      </c>
      <c r="B538" t="s">
        <v>361</v>
      </c>
      <c r="C538" t="s">
        <v>748</v>
      </c>
      <c r="D538" t="s">
        <v>749</v>
      </c>
      <c r="E538" t="s">
        <v>5</v>
      </c>
      <c r="F538">
        <v>0</v>
      </c>
      <c r="G538">
        <v>249.01</v>
      </c>
    </row>
    <row r="539" spans="1:7" hidden="1" x14ac:dyDescent="0.3">
      <c r="A539" s="1">
        <v>45747</v>
      </c>
      <c r="B539" t="s">
        <v>363</v>
      </c>
      <c r="C539" t="s">
        <v>750</v>
      </c>
      <c r="D539" t="s">
        <v>446</v>
      </c>
      <c r="E539" t="s">
        <v>11</v>
      </c>
      <c r="F539">
        <v>0</v>
      </c>
      <c r="G539">
        <v>1202.3399999999999</v>
      </c>
    </row>
    <row r="540" spans="1:7" hidden="1" x14ac:dyDescent="0.3">
      <c r="A540" s="1">
        <v>45747</v>
      </c>
      <c r="B540" t="s">
        <v>397</v>
      </c>
      <c r="C540" t="s">
        <v>774</v>
      </c>
      <c r="D540" t="s">
        <v>775</v>
      </c>
      <c r="E540" t="s">
        <v>12</v>
      </c>
      <c r="F540">
        <v>0</v>
      </c>
      <c r="G540">
        <v>106.82</v>
      </c>
    </row>
    <row r="541" spans="1:7" hidden="1" x14ac:dyDescent="0.3">
      <c r="A541" s="1">
        <v>45747</v>
      </c>
      <c r="B541" t="s">
        <v>365</v>
      </c>
      <c r="C541" t="s">
        <v>459</v>
      </c>
      <c r="D541" t="s">
        <v>460</v>
      </c>
      <c r="E541" t="s">
        <v>11</v>
      </c>
      <c r="F541">
        <v>0</v>
      </c>
      <c r="G541">
        <v>4350</v>
      </c>
    </row>
    <row r="542" spans="1:7" hidden="1" x14ac:dyDescent="0.3">
      <c r="A542" s="1">
        <v>45777</v>
      </c>
      <c r="B542" t="s">
        <v>29</v>
      </c>
      <c r="C542" t="s">
        <v>437</v>
      </c>
      <c r="D542" t="s">
        <v>438</v>
      </c>
      <c r="E542" t="s">
        <v>2</v>
      </c>
      <c r="F542">
        <v>593</v>
      </c>
      <c r="G542">
        <v>8100.0100000000011</v>
      </c>
    </row>
    <row r="543" spans="1:7" hidden="1" x14ac:dyDescent="0.3">
      <c r="A543" s="1">
        <v>45777</v>
      </c>
      <c r="B543" t="s">
        <v>41</v>
      </c>
      <c r="C543" t="s">
        <v>449</v>
      </c>
      <c r="D543" t="s">
        <v>450</v>
      </c>
      <c r="E543" t="s">
        <v>15</v>
      </c>
      <c r="F543">
        <v>572.25</v>
      </c>
      <c r="G543">
        <v>12819.42</v>
      </c>
    </row>
    <row r="544" spans="1:7" hidden="1" x14ac:dyDescent="0.3">
      <c r="A544" s="1">
        <v>45777</v>
      </c>
      <c r="B544" t="s">
        <v>31</v>
      </c>
      <c r="C544" t="s">
        <v>439</v>
      </c>
      <c r="D544" t="s">
        <v>440</v>
      </c>
      <c r="E544" t="s">
        <v>2</v>
      </c>
      <c r="F544">
        <v>161.75</v>
      </c>
      <c r="G544">
        <v>6251.9699999999993</v>
      </c>
    </row>
    <row r="545" spans="1:7" hidden="1" x14ac:dyDescent="0.3">
      <c r="A545" s="1">
        <v>45777</v>
      </c>
      <c r="B545" t="s">
        <v>43</v>
      </c>
      <c r="C545" t="s">
        <v>451</v>
      </c>
      <c r="D545" t="s">
        <v>452</v>
      </c>
      <c r="E545" t="s">
        <v>3</v>
      </c>
      <c r="F545">
        <v>581.25</v>
      </c>
      <c r="G545">
        <v>12918.320000000002</v>
      </c>
    </row>
    <row r="546" spans="1:7" hidden="1" x14ac:dyDescent="0.3">
      <c r="A546" s="1">
        <v>45777</v>
      </c>
      <c r="B546" t="s">
        <v>51</v>
      </c>
      <c r="C546" t="s">
        <v>459</v>
      </c>
      <c r="D546" t="s">
        <v>460</v>
      </c>
      <c r="E546" t="s">
        <v>13</v>
      </c>
      <c r="F546">
        <v>485</v>
      </c>
      <c r="G546">
        <v>35595.21</v>
      </c>
    </row>
    <row r="547" spans="1:7" hidden="1" x14ac:dyDescent="0.3">
      <c r="A547" s="1">
        <v>45777</v>
      </c>
      <c r="B547" t="s">
        <v>47</v>
      </c>
      <c r="C547" t="s">
        <v>455</v>
      </c>
      <c r="D547" t="s">
        <v>456</v>
      </c>
      <c r="E547" t="s">
        <v>4</v>
      </c>
      <c r="F547">
        <v>495.75</v>
      </c>
      <c r="G547">
        <v>9757.7799999999988</v>
      </c>
    </row>
    <row r="548" spans="1:7" hidden="1" x14ac:dyDescent="0.3">
      <c r="A548" s="1">
        <v>45777</v>
      </c>
      <c r="B548" t="s">
        <v>55</v>
      </c>
      <c r="C548" t="s">
        <v>463</v>
      </c>
      <c r="D548" t="s">
        <v>464</v>
      </c>
      <c r="E548" t="s">
        <v>11</v>
      </c>
      <c r="F548">
        <v>524.75</v>
      </c>
      <c r="G548">
        <v>14102.110000000004</v>
      </c>
    </row>
    <row r="549" spans="1:7" hidden="1" x14ac:dyDescent="0.3">
      <c r="A549" s="1">
        <v>45777</v>
      </c>
      <c r="B549" t="s">
        <v>45</v>
      </c>
      <c r="C549" t="s">
        <v>453</v>
      </c>
      <c r="D549" t="s">
        <v>454</v>
      </c>
      <c r="E549" t="s">
        <v>3</v>
      </c>
      <c r="F549">
        <v>597.75</v>
      </c>
      <c r="G549">
        <v>11591.409999999998</v>
      </c>
    </row>
    <row r="550" spans="1:7" hidden="1" x14ac:dyDescent="0.3">
      <c r="A550" s="1">
        <v>45777</v>
      </c>
      <c r="B550" t="s">
        <v>53</v>
      </c>
      <c r="C550" t="s">
        <v>461</v>
      </c>
      <c r="D550" t="s">
        <v>462</v>
      </c>
      <c r="E550" t="s">
        <v>13</v>
      </c>
      <c r="F550">
        <v>239</v>
      </c>
      <c r="G550">
        <v>4643.78</v>
      </c>
    </row>
    <row r="551" spans="1:7" hidden="1" x14ac:dyDescent="0.3">
      <c r="A551" s="1">
        <v>45777</v>
      </c>
      <c r="B551" t="s">
        <v>57</v>
      </c>
      <c r="C551" t="s">
        <v>465</v>
      </c>
      <c r="D551" t="s">
        <v>466</v>
      </c>
      <c r="E551" t="s">
        <v>14</v>
      </c>
      <c r="F551">
        <v>607.5</v>
      </c>
      <c r="G551">
        <v>31680.59</v>
      </c>
    </row>
    <row r="552" spans="1:7" hidden="1" x14ac:dyDescent="0.3">
      <c r="A552" s="1">
        <v>45777</v>
      </c>
      <c r="B552" t="s">
        <v>33</v>
      </c>
      <c r="C552" t="s">
        <v>441</v>
      </c>
      <c r="D552" t="s">
        <v>442</v>
      </c>
      <c r="E552" t="s">
        <v>2</v>
      </c>
      <c r="F552">
        <v>337</v>
      </c>
      <c r="G552">
        <v>6865.77</v>
      </c>
    </row>
    <row r="553" spans="1:7" hidden="1" x14ac:dyDescent="0.3">
      <c r="A553" s="1">
        <v>45777</v>
      </c>
      <c r="B553" t="s">
        <v>35</v>
      </c>
      <c r="C553" t="s">
        <v>443</v>
      </c>
      <c r="D553" t="s">
        <v>444</v>
      </c>
      <c r="E553" t="s">
        <v>2</v>
      </c>
      <c r="F553">
        <v>597.5</v>
      </c>
      <c r="G553">
        <v>11709.72</v>
      </c>
    </row>
    <row r="554" spans="1:7" hidden="1" x14ac:dyDescent="0.3">
      <c r="A554" s="1">
        <v>45777</v>
      </c>
      <c r="B554" t="s">
        <v>37</v>
      </c>
      <c r="C554" t="s">
        <v>445</v>
      </c>
      <c r="D554" t="s">
        <v>446</v>
      </c>
      <c r="E554" t="s">
        <v>2</v>
      </c>
      <c r="F554">
        <v>603.5</v>
      </c>
      <c r="G554">
        <v>10753.63</v>
      </c>
    </row>
    <row r="555" spans="1:7" hidden="1" x14ac:dyDescent="0.3">
      <c r="A555" s="1">
        <v>45777</v>
      </c>
      <c r="B555" t="s">
        <v>39</v>
      </c>
      <c r="C555" t="s">
        <v>447</v>
      </c>
      <c r="D555" t="s">
        <v>448</v>
      </c>
      <c r="E555" t="s">
        <v>2</v>
      </c>
      <c r="F555">
        <v>451</v>
      </c>
      <c r="G555">
        <v>10490.59</v>
      </c>
    </row>
    <row r="556" spans="1:7" hidden="1" x14ac:dyDescent="0.3">
      <c r="A556" s="1">
        <v>45777</v>
      </c>
      <c r="B556" t="s">
        <v>49</v>
      </c>
      <c r="C556" t="s">
        <v>457</v>
      </c>
      <c r="D556" t="s">
        <v>458</v>
      </c>
      <c r="E556" t="s">
        <v>4</v>
      </c>
      <c r="F556">
        <v>546.5</v>
      </c>
      <c r="G556">
        <v>8850.59</v>
      </c>
    </row>
    <row r="557" spans="1:7" hidden="1" x14ac:dyDescent="0.3">
      <c r="A557" s="1">
        <v>45777</v>
      </c>
      <c r="B557" t="s">
        <v>59</v>
      </c>
      <c r="C557" t="s">
        <v>467</v>
      </c>
      <c r="D557" t="s">
        <v>468</v>
      </c>
      <c r="E557" t="s">
        <v>13</v>
      </c>
      <c r="F557">
        <v>0</v>
      </c>
      <c r="G557">
        <v>2090.5899999999997</v>
      </c>
    </row>
    <row r="558" spans="1:7" hidden="1" x14ac:dyDescent="0.3">
      <c r="A558" s="1">
        <v>45777</v>
      </c>
      <c r="B558" t="s">
        <v>61</v>
      </c>
      <c r="C558" t="s">
        <v>469</v>
      </c>
      <c r="D558" t="s">
        <v>470</v>
      </c>
      <c r="E558" t="s">
        <v>3</v>
      </c>
      <c r="F558">
        <v>465.75</v>
      </c>
      <c r="G558">
        <v>6572.58</v>
      </c>
    </row>
    <row r="559" spans="1:7" hidden="1" x14ac:dyDescent="0.3">
      <c r="A559" s="1">
        <v>45777</v>
      </c>
      <c r="B559" t="s">
        <v>63</v>
      </c>
      <c r="C559" t="s">
        <v>471</v>
      </c>
      <c r="D559" t="s">
        <v>472</v>
      </c>
      <c r="E559" t="s">
        <v>2</v>
      </c>
      <c r="F559">
        <v>600.75</v>
      </c>
      <c r="G559">
        <v>8478.52</v>
      </c>
    </row>
    <row r="560" spans="1:7" hidden="1" x14ac:dyDescent="0.3">
      <c r="A560" s="1">
        <v>45777</v>
      </c>
      <c r="B560" t="s">
        <v>65</v>
      </c>
      <c r="C560" t="s">
        <v>473</v>
      </c>
      <c r="D560" t="s">
        <v>474</v>
      </c>
      <c r="E560" t="s">
        <v>2</v>
      </c>
      <c r="F560">
        <v>576.25</v>
      </c>
      <c r="G560">
        <v>7174.28</v>
      </c>
    </row>
    <row r="561" spans="1:7" hidden="1" x14ac:dyDescent="0.3">
      <c r="A561" s="1">
        <v>45777</v>
      </c>
      <c r="B561" t="s">
        <v>67</v>
      </c>
      <c r="C561" t="s">
        <v>475</v>
      </c>
      <c r="D561" t="s">
        <v>476</v>
      </c>
      <c r="E561" t="s">
        <v>2</v>
      </c>
      <c r="F561">
        <v>208.25</v>
      </c>
      <c r="G561">
        <v>4142.1500000000005</v>
      </c>
    </row>
    <row r="562" spans="1:7" hidden="1" x14ac:dyDescent="0.3">
      <c r="A562" s="1">
        <v>45777</v>
      </c>
      <c r="B562" t="s">
        <v>69</v>
      </c>
      <c r="C562" t="s">
        <v>477</v>
      </c>
      <c r="D562" t="s">
        <v>478</v>
      </c>
      <c r="E562" t="s">
        <v>2</v>
      </c>
      <c r="F562">
        <v>596.75</v>
      </c>
      <c r="G562">
        <v>10616.1</v>
      </c>
    </row>
    <row r="563" spans="1:7" hidden="1" x14ac:dyDescent="0.3">
      <c r="A563" s="1">
        <v>45777</v>
      </c>
      <c r="B563" t="s">
        <v>71</v>
      </c>
      <c r="C563" t="s">
        <v>479</v>
      </c>
      <c r="D563" t="s">
        <v>480</v>
      </c>
      <c r="E563" t="s">
        <v>2</v>
      </c>
      <c r="F563">
        <v>0</v>
      </c>
      <c r="G563">
        <v>48.700000000000017</v>
      </c>
    </row>
    <row r="564" spans="1:7" hidden="1" x14ac:dyDescent="0.3">
      <c r="A564" s="1">
        <v>45777</v>
      </c>
      <c r="B564" t="s">
        <v>73</v>
      </c>
      <c r="C564" t="s">
        <v>481</v>
      </c>
      <c r="D564" t="s">
        <v>482</v>
      </c>
      <c r="E564" t="s">
        <v>2</v>
      </c>
      <c r="F564">
        <v>559</v>
      </c>
      <c r="G564">
        <v>9626.7199999999993</v>
      </c>
    </row>
    <row r="565" spans="1:7" hidden="1" x14ac:dyDescent="0.3">
      <c r="A565" s="1">
        <v>45777</v>
      </c>
      <c r="B565" t="s">
        <v>75</v>
      </c>
      <c r="C565" t="s">
        <v>483</v>
      </c>
      <c r="D565" t="s">
        <v>484</v>
      </c>
      <c r="E565" t="s">
        <v>2</v>
      </c>
      <c r="F565">
        <v>238</v>
      </c>
      <c r="G565">
        <v>4109.99</v>
      </c>
    </row>
    <row r="566" spans="1:7" hidden="1" x14ac:dyDescent="0.3">
      <c r="A566" s="1">
        <v>45777</v>
      </c>
      <c r="B566" t="s">
        <v>77</v>
      </c>
      <c r="C566" t="s">
        <v>443</v>
      </c>
      <c r="D566" t="s">
        <v>485</v>
      </c>
      <c r="E566" t="s">
        <v>15</v>
      </c>
      <c r="F566">
        <v>503.5</v>
      </c>
      <c r="G566">
        <v>7057.83</v>
      </c>
    </row>
    <row r="567" spans="1:7" hidden="1" x14ac:dyDescent="0.3">
      <c r="A567" s="1">
        <v>45777</v>
      </c>
      <c r="B567" t="s">
        <v>79</v>
      </c>
      <c r="C567" t="s">
        <v>486</v>
      </c>
      <c r="D567" t="s">
        <v>487</v>
      </c>
      <c r="E567" t="s">
        <v>2</v>
      </c>
      <c r="F567">
        <v>287.25</v>
      </c>
      <c r="G567">
        <v>8236.82</v>
      </c>
    </row>
    <row r="568" spans="1:7" hidden="1" x14ac:dyDescent="0.3">
      <c r="A568" s="1">
        <v>45777</v>
      </c>
      <c r="B568" t="s">
        <v>81</v>
      </c>
      <c r="C568" t="s">
        <v>488</v>
      </c>
      <c r="D568" t="s">
        <v>489</v>
      </c>
      <c r="E568" t="s">
        <v>2</v>
      </c>
      <c r="F568">
        <v>502.75</v>
      </c>
      <c r="G568">
        <v>12696.760000000002</v>
      </c>
    </row>
    <row r="569" spans="1:7" hidden="1" x14ac:dyDescent="0.3">
      <c r="A569" s="1">
        <v>45777</v>
      </c>
      <c r="B569" t="s">
        <v>83</v>
      </c>
      <c r="C569" t="s">
        <v>490</v>
      </c>
      <c r="D569" t="s">
        <v>440</v>
      </c>
      <c r="E569" t="s">
        <v>12</v>
      </c>
      <c r="F569">
        <v>607.5</v>
      </c>
      <c r="G569">
        <v>21691.360000000001</v>
      </c>
    </row>
    <row r="570" spans="1:7" hidden="1" x14ac:dyDescent="0.3">
      <c r="A570" s="1">
        <v>45777</v>
      </c>
      <c r="B570" t="s">
        <v>85</v>
      </c>
      <c r="C570" t="s">
        <v>491</v>
      </c>
      <c r="D570" t="s">
        <v>492</v>
      </c>
      <c r="E570" t="s">
        <v>2</v>
      </c>
      <c r="F570">
        <v>596.5</v>
      </c>
      <c r="G570">
        <v>9856.2999999999993</v>
      </c>
    </row>
    <row r="571" spans="1:7" hidden="1" x14ac:dyDescent="0.3">
      <c r="A571" s="1">
        <v>45777</v>
      </c>
      <c r="B571" t="s">
        <v>87</v>
      </c>
      <c r="C571" t="s">
        <v>493</v>
      </c>
      <c r="D571" t="s">
        <v>494</v>
      </c>
      <c r="E571" t="s">
        <v>12</v>
      </c>
      <c r="F571">
        <v>541</v>
      </c>
      <c r="G571">
        <v>13038.43</v>
      </c>
    </row>
    <row r="572" spans="1:7" hidden="1" x14ac:dyDescent="0.3">
      <c r="A572" s="1">
        <v>45777</v>
      </c>
      <c r="B572" t="s">
        <v>89</v>
      </c>
      <c r="C572" t="s">
        <v>495</v>
      </c>
      <c r="D572" t="s">
        <v>496</v>
      </c>
      <c r="E572" t="s">
        <v>13</v>
      </c>
      <c r="F572">
        <v>516.5</v>
      </c>
      <c r="G572">
        <v>25825.140000000003</v>
      </c>
    </row>
    <row r="573" spans="1:7" hidden="1" x14ac:dyDescent="0.3">
      <c r="A573" s="1">
        <v>45777</v>
      </c>
      <c r="B573" t="s">
        <v>91</v>
      </c>
      <c r="C573" t="s">
        <v>497</v>
      </c>
      <c r="D573" t="s">
        <v>498</v>
      </c>
      <c r="E573" t="s">
        <v>5</v>
      </c>
      <c r="F573">
        <v>553.75</v>
      </c>
      <c r="G573">
        <v>6793.6799999999985</v>
      </c>
    </row>
    <row r="574" spans="1:7" hidden="1" x14ac:dyDescent="0.3">
      <c r="A574" s="1">
        <v>45777</v>
      </c>
      <c r="B574" t="s">
        <v>93</v>
      </c>
      <c r="C574" t="s">
        <v>499</v>
      </c>
      <c r="D574" t="s">
        <v>500</v>
      </c>
      <c r="E574" t="s">
        <v>2</v>
      </c>
      <c r="F574">
        <v>399.5</v>
      </c>
      <c r="G574">
        <v>5988.89</v>
      </c>
    </row>
    <row r="575" spans="1:7" hidden="1" x14ac:dyDescent="0.3">
      <c r="A575" s="1">
        <v>45777</v>
      </c>
      <c r="B575" t="s">
        <v>95</v>
      </c>
      <c r="C575" t="s">
        <v>501</v>
      </c>
      <c r="D575" t="s">
        <v>502</v>
      </c>
      <c r="E575" t="s">
        <v>3</v>
      </c>
      <c r="F575">
        <v>580.75</v>
      </c>
      <c r="G575">
        <v>8450.07</v>
      </c>
    </row>
    <row r="576" spans="1:7" hidden="1" x14ac:dyDescent="0.3">
      <c r="A576" s="1">
        <v>45777</v>
      </c>
      <c r="B576" t="s">
        <v>97</v>
      </c>
      <c r="C576" t="s">
        <v>503</v>
      </c>
      <c r="D576" t="s">
        <v>504</v>
      </c>
      <c r="E576" t="s">
        <v>2</v>
      </c>
      <c r="F576">
        <v>564</v>
      </c>
      <c r="G576">
        <v>7647.27</v>
      </c>
    </row>
    <row r="577" spans="1:7" hidden="1" x14ac:dyDescent="0.3">
      <c r="A577" s="1">
        <v>45777</v>
      </c>
      <c r="B577" t="s">
        <v>99</v>
      </c>
      <c r="C577" t="s">
        <v>505</v>
      </c>
      <c r="D577" t="s">
        <v>506</v>
      </c>
      <c r="E577" t="s">
        <v>2</v>
      </c>
      <c r="F577">
        <v>352.25</v>
      </c>
      <c r="G577">
        <v>6374.27</v>
      </c>
    </row>
    <row r="578" spans="1:7" hidden="1" x14ac:dyDescent="0.3">
      <c r="A578" s="1">
        <v>45777</v>
      </c>
      <c r="B578" t="s">
        <v>101</v>
      </c>
      <c r="C578" t="s">
        <v>507</v>
      </c>
      <c r="D578" t="s">
        <v>508</v>
      </c>
      <c r="E578" t="s">
        <v>13</v>
      </c>
      <c r="F578">
        <v>344.25</v>
      </c>
      <c r="G578">
        <v>5451.76</v>
      </c>
    </row>
    <row r="579" spans="1:7" hidden="1" x14ac:dyDescent="0.3">
      <c r="A579" s="1">
        <v>45777</v>
      </c>
      <c r="B579" t="s">
        <v>103</v>
      </c>
      <c r="C579" t="s">
        <v>509</v>
      </c>
      <c r="D579" t="s">
        <v>510</v>
      </c>
      <c r="E579" t="s">
        <v>2</v>
      </c>
      <c r="F579">
        <v>261.75</v>
      </c>
      <c r="G579">
        <v>3881.0200000000004</v>
      </c>
    </row>
    <row r="580" spans="1:7" hidden="1" x14ac:dyDescent="0.3">
      <c r="A580" s="1">
        <v>45777</v>
      </c>
      <c r="B580" t="s">
        <v>105</v>
      </c>
      <c r="C580" t="s">
        <v>511</v>
      </c>
      <c r="D580" t="s">
        <v>512</v>
      </c>
      <c r="E580" t="s">
        <v>2</v>
      </c>
      <c r="F580">
        <v>557.75</v>
      </c>
      <c r="G580">
        <v>7253.2999999999993</v>
      </c>
    </row>
    <row r="581" spans="1:7" hidden="1" x14ac:dyDescent="0.3">
      <c r="A581" s="1">
        <v>45777</v>
      </c>
      <c r="B581" t="s">
        <v>107</v>
      </c>
      <c r="C581" t="s">
        <v>513</v>
      </c>
      <c r="D581" t="s">
        <v>514</v>
      </c>
      <c r="E581" t="s">
        <v>2</v>
      </c>
      <c r="F581">
        <v>286.5</v>
      </c>
      <c r="G581">
        <v>4759.8999999999996</v>
      </c>
    </row>
    <row r="582" spans="1:7" hidden="1" x14ac:dyDescent="0.3">
      <c r="A582" s="1">
        <v>45777</v>
      </c>
      <c r="B582" t="s">
        <v>109</v>
      </c>
      <c r="C582" t="s">
        <v>515</v>
      </c>
      <c r="D582" t="s">
        <v>516</v>
      </c>
      <c r="E582" t="s">
        <v>6</v>
      </c>
      <c r="F582">
        <v>573.5</v>
      </c>
      <c r="G582">
        <v>16921.010000000002</v>
      </c>
    </row>
    <row r="583" spans="1:7" hidden="1" x14ac:dyDescent="0.3">
      <c r="A583" s="1">
        <v>45777</v>
      </c>
      <c r="B583" t="s">
        <v>111</v>
      </c>
      <c r="C583" t="s">
        <v>517</v>
      </c>
      <c r="D583" t="s">
        <v>496</v>
      </c>
      <c r="E583" t="s">
        <v>14</v>
      </c>
      <c r="F583">
        <v>592.5</v>
      </c>
      <c r="G583">
        <v>31427.409999999996</v>
      </c>
    </row>
    <row r="584" spans="1:7" hidden="1" x14ac:dyDescent="0.3">
      <c r="A584" s="1">
        <v>45777</v>
      </c>
      <c r="B584" t="s">
        <v>113</v>
      </c>
      <c r="C584" t="s">
        <v>518</v>
      </c>
      <c r="D584" t="s">
        <v>519</v>
      </c>
      <c r="E584" t="s">
        <v>3</v>
      </c>
      <c r="F584">
        <v>458.25</v>
      </c>
      <c r="G584">
        <v>5595.98</v>
      </c>
    </row>
    <row r="585" spans="1:7" hidden="1" x14ac:dyDescent="0.3">
      <c r="A585" s="1">
        <v>45777</v>
      </c>
      <c r="B585" t="s">
        <v>115</v>
      </c>
      <c r="C585" t="s">
        <v>520</v>
      </c>
      <c r="D585" t="s">
        <v>521</v>
      </c>
      <c r="E585" t="s">
        <v>2</v>
      </c>
      <c r="F585">
        <v>369.25</v>
      </c>
      <c r="G585">
        <v>6446.36</v>
      </c>
    </row>
    <row r="586" spans="1:7" hidden="1" x14ac:dyDescent="0.3">
      <c r="A586" s="1">
        <v>45777</v>
      </c>
      <c r="B586" t="s">
        <v>117</v>
      </c>
      <c r="C586" t="s">
        <v>522</v>
      </c>
      <c r="D586" t="s">
        <v>523</v>
      </c>
      <c r="E586" t="s">
        <v>2</v>
      </c>
      <c r="F586">
        <v>455</v>
      </c>
      <c r="G586">
        <v>7635.06</v>
      </c>
    </row>
    <row r="587" spans="1:7" hidden="1" x14ac:dyDescent="0.3">
      <c r="A587" s="1">
        <v>45777</v>
      </c>
      <c r="B587" t="s">
        <v>119</v>
      </c>
      <c r="C587" t="s">
        <v>524</v>
      </c>
      <c r="D587" t="s">
        <v>525</v>
      </c>
      <c r="E587" t="s">
        <v>2</v>
      </c>
      <c r="F587">
        <v>602.5</v>
      </c>
      <c r="G587">
        <v>10696.91</v>
      </c>
    </row>
    <row r="588" spans="1:7" hidden="1" x14ac:dyDescent="0.3">
      <c r="A588" s="1">
        <v>45777</v>
      </c>
      <c r="B588" t="s">
        <v>121</v>
      </c>
      <c r="C588" t="s">
        <v>526</v>
      </c>
      <c r="D588" t="s">
        <v>527</v>
      </c>
      <c r="E588" t="s">
        <v>3</v>
      </c>
      <c r="F588">
        <v>537.5</v>
      </c>
      <c r="G588">
        <v>10467.140000000001</v>
      </c>
    </row>
    <row r="589" spans="1:7" hidden="1" x14ac:dyDescent="0.3">
      <c r="A589" s="1">
        <v>45777</v>
      </c>
      <c r="B589" t="s">
        <v>123</v>
      </c>
      <c r="C589" t="s">
        <v>528</v>
      </c>
      <c r="D589" t="s">
        <v>529</v>
      </c>
      <c r="E589" t="s">
        <v>5</v>
      </c>
      <c r="F589">
        <v>372.25</v>
      </c>
      <c r="G589">
        <v>5243.03</v>
      </c>
    </row>
    <row r="590" spans="1:7" hidden="1" x14ac:dyDescent="0.3">
      <c r="A590" s="1">
        <v>45777</v>
      </c>
      <c r="B590" t="s">
        <v>125</v>
      </c>
      <c r="C590" t="s">
        <v>530</v>
      </c>
      <c r="D590" t="s">
        <v>502</v>
      </c>
      <c r="E590" t="s">
        <v>2</v>
      </c>
      <c r="F590">
        <v>583.5</v>
      </c>
      <c r="G590">
        <v>11941.39</v>
      </c>
    </row>
    <row r="591" spans="1:7" hidden="1" x14ac:dyDescent="0.3">
      <c r="A591" s="1">
        <v>45777</v>
      </c>
      <c r="B591" t="s">
        <v>127</v>
      </c>
      <c r="C591" t="s">
        <v>531</v>
      </c>
      <c r="D591" t="s">
        <v>532</v>
      </c>
      <c r="E591" t="s">
        <v>2</v>
      </c>
      <c r="F591">
        <v>506.5</v>
      </c>
      <c r="G591">
        <v>9476.0199999999986</v>
      </c>
    </row>
    <row r="592" spans="1:7" hidden="1" x14ac:dyDescent="0.3">
      <c r="A592" s="1">
        <v>45777</v>
      </c>
      <c r="B592" t="s">
        <v>129</v>
      </c>
      <c r="C592" t="s">
        <v>533</v>
      </c>
      <c r="D592" t="s">
        <v>534</v>
      </c>
      <c r="E592" t="s">
        <v>11</v>
      </c>
      <c r="F592">
        <v>538</v>
      </c>
      <c r="G592">
        <v>23606.84</v>
      </c>
    </row>
    <row r="593" spans="1:7" hidden="1" x14ac:dyDescent="0.3">
      <c r="A593" s="1">
        <v>45777</v>
      </c>
      <c r="B593" t="s">
        <v>131</v>
      </c>
      <c r="C593" t="s">
        <v>535</v>
      </c>
      <c r="D593" t="s">
        <v>536</v>
      </c>
      <c r="E593" t="s">
        <v>2</v>
      </c>
      <c r="F593">
        <v>235</v>
      </c>
      <c r="G593">
        <v>7178.0400000000009</v>
      </c>
    </row>
    <row r="594" spans="1:7" hidden="1" x14ac:dyDescent="0.3">
      <c r="A594" s="1">
        <v>45777</v>
      </c>
      <c r="B594" t="s">
        <v>133</v>
      </c>
      <c r="C594" t="s">
        <v>537</v>
      </c>
      <c r="D594" t="s">
        <v>538</v>
      </c>
      <c r="E594" t="s">
        <v>2</v>
      </c>
      <c r="F594">
        <v>290.5</v>
      </c>
      <c r="G594">
        <v>6823.48</v>
      </c>
    </row>
    <row r="595" spans="1:7" hidden="1" x14ac:dyDescent="0.3">
      <c r="A595" s="1">
        <v>45777</v>
      </c>
      <c r="B595" t="s">
        <v>135</v>
      </c>
      <c r="C595" t="s">
        <v>539</v>
      </c>
      <c r="D595" t="s">
        <v>540</v>
      </c>
      <c r="E595" t="s">
        <v>3</v>
      </c>
      <c r="F595">
        <v>0</v>
      </c>
      <c r="G595">
        <v>1901.2199999999998</v>
      </c>
    </row>
    <row r="596" spans="1:7" hidden="1" x14ac:dyDescent="0.3">
      <c r="A596" s="1">
        <v>45777</v>
      </c>
      <c r="B596" t="s">
        <v>137</v>
      </c>
      <c r="C596" t="s">
        <v>541</v>
      </c>
      <c r="D596" t="s">
        <v>542</v>
      </c>
      <c r="E596" t="s">
        <v>2</v>
      </c>
      <c r="F596">
        <v>447.75</v>
      </c>
      <c r="G596">
        <v>8563.4499999999989</v>
      </c>
    </row>
    <row r="597" spans="1:7" hidden="1" x14ac:dyDescent="0.3">
      <c r="A597" s="1">
        <v>45777</v>
      </c>
      <c r="B597" t="s">
        <v>139</v>
      </c>
      <c r="C597" t="s">
        <v>543</v>
      </c>
      <c r="D597" t="s">
        <v>544</v>
      </c>
      <c r="E597" t="s">
        <v>13</v>
      </c>
      <c r="F597">
        <v>644.5</v>
      </c>
      <c r="G597">
        <v>12990.46</v>
      </c>
    </row>
    <row r="598" spans="1:7" hidden="1" x14ac:dyDescent="0.3">
      <c r="A598" s="1">
        <v>45777</v>
      </c>
      <c r="B598" t="s">
        <v>141</v>
      </c>
      <c r="C598" t="s">
        <v>499</v>
      </c>
      <c r="D598" t="s">
        <v>545</v>
      </c>
      <c r="E598" t="s">
        <v>11</v>
      </c>
      <c r="F598">
        <v>263.25</v>
      </c>
      <c r="G598">
        <v>3917.97</v>
      </c>
    </row>
    <row r="599" spans="1:7" hidden="1" x14ac:dyDescent="0.3">
      <c r="A599" s="1">
        <v>45777</v>
      </c>
      <c r="B599" t="s">
        <v>143</v>
      </c>
      <c r="C599" t="s">
        <v>546</v>
      </c>
      <c r="D599" t="s">
        <v>547</v>
      </c>
      <c r="E599" t="s">
        <v>2</v>
      </c>
      <c r="F599">
        <v>483.75</v>
      </c>
      <c r="G599">
        <v>6091.65</v>
      </c>
    </row>
    <row r="600" spans="1:7" hidden="1" x14ac:dyDescent="0.3">
      <c r="A600" s="1">
        <v>45777</v>
      </c>
      <c r="B600" t="s">
        <v>145</v>
      </c>
      <c r="C600" t="s">
        <v>548</v>
      </c>
      <c r="D600" t="s">
        <v>549</v>
      </c>
      <c r="E600" t="s">
        <v>6</v>
      </c>
      <c r="F600">
        <v>388.75</v>
      </c>
      <c r="G600">
        <v>9147.74</v>
      </c>
    </row>
    <row r="601" spans="1:7" hidden="1" x14ac:dyDescent="0.3">
      <c r="A601" s="1">
        <v>45777</v>
      </c>
      <c r="B601" t="s">
        <v>147</v>
      </c>
      <c r="C601" t="s">
        <v>550</v>
      </c>
      <c r="D601" t="s">
        <v>551</v>
      </c>
      <c r="E601" t="s">
        <v>8</v>
      </c>
      <c r="F601">
        <v>541.75</v>
      </c>
      <c r="G601">
        <v>12417.09</v>
      </c>
    </row>
    <row r="602" spans="1:7" hidden="1" x14ac:dyDescent="0.3">
      <c r="A602" s="1">
        <v>45777</v>
      </c>
      <c r="B602" t="s">
        <v>149</v>
      </c>
      <c r="C602" t="s">
        <v>552</v>
      </c>
      <c r="D602" t="s">
        <v>553</v>
      </c>
      <c r="E602" t="s">
        <v>10</v>
      </c>
      <c r="F602">
        <v>0</v>
      </c>
      <c r="G602">
        <v>6.7200000000000273</v>
      </c>
    </row>
    <row r="603" spans="1:7" hidden="1" x14ac:dyDescent="0.3">
      <c r="A603" s="1">
        <v>45777</v>
      </c>
      <c r="B603" t="s">
        <v>151</v>
      </c>
      <c r="C603" t="s">
        <v>554</v>
      </c>
      <c r="D603" t="s">
        <v>555</v>
      </c>
      <c r="E603" t="s">
        <v>3</v>
      </c>
      <c r="F603">
        <v>414.75</v>
      </c>
      <c r="G603">
        <v>5464.83</v>
      </c>
    </row>
    <row r="604" spans="1:7" hidden="1" x14ac:dyDescent="0.3">
      <c r="A604" s="1">
        <v>45777</v>
      </c>
      <c r="B604" t="s">
        <v>153</v>
      </c>
      <c r="C604" t="s">
        <v>556</v>
      </c>
      <c r="D604" t="s">
        <v>557</v>
      </c>
      <c r="E604" t="s">
        <v>2</v>
      </c>
      <c r="F604">
        <v>505.5</v>
      </c>
      <c r="G604">
        <v>8352.9</v>
      </c>
    </row>
    <row r="605" spans="1:7" hidden="1" x14ac:dyDescent="0.3">
      <c r="A605" s="1">
        <v>45777</v>
      </c>
      <c r="B605" t="s">
        <v>155</v>
      </c>
      <c r="C605" t="s">
        <v>546</v>
      </c>
      <c r="D605" t="s">
        <v>558</v>
      </c>
      <c r="E605" t="s">
        <v>7</v>
      </c>
      <c r="F605">
        <v>452.5</v>
      </c>
      <c r="G605">
        <v>7096.6099999999988</v>
      </c>
    </row>
    <row r="606" spans="1:7" hidden="1" x14ac:dyDescent="0.3">
      <c r="A606" s="1">
        <v>45777</v>
      </c>
      <c r="B606" t="s">
        <v>157</v>
      </c>
      <c r="C606" t="s">
        <v>559</v>
      </c>
      <c r="D606" t="s">
        <v>560</v>
      </c>
      <c r="E606" t="s">
        <v>3</v>
      </c>
      <c r="F606">
        <v>484.5</v>
      </c>
      <c r="G606">
        <v>8463.52</v>
      </c>
    </row>
    <row r="607" spans="1:7" hidden="1" x14ac:dyDescent="0.3">
      <c r="A607" s="1">
        <v>45777</v>
      </c>
      <c r="B607" t="s">
        <v>159</v>
      </c>
      <c r="C607" t="s">
        <v>561</v>
      </c>
      <c r="D607" t="s">
        <v>562</v>
      </c>
      <c r="E607" t="s">
        <v>3</v>
      </c>
      <c r="F607">
        <v>528.25</v>
      </c>
      <c r="G607">
        <v>9134.93</v>
      </c>
    </row>
    <row r="608" spans="1:7" hidden="1" x14ac:dyDescent="0.3">
      <c r="A608" s="1">
        <v>45777</v>
      </c>
      <c r="B608" t="s">
        <v>161</v>
      </c>
      <c r="C608" t="s">
        <v>563</v>
      </c>
      <c r="D608" t="s">
        <v>564</v>
      </c>
      <c r="E608" t="s">
        <v>13</v>
      </c>
      <c r="F608">
        <v>571.75</v>
      </c>
      <c r="G608">
        <v>9404.61</v>
      </c>
    </row>
    <row r="609" spans="1:7" hidden="1" x14ac:dyDescent="0.3">
      <c r="A609" s="1">
        <v>45777</v>
      </c>
      <c r="B609" t="s">
        <v>163</v>
      </c>
      <c r="C609" t="s">
        <v>565</v>
      </c>
      <c r="D609" t="s">
        <v>566</v>
      </c>
      <c r="E609" t="s">
        <v>8</v>
      </c>
      <c r="F609">
        <v>570.5</v>
      </c>
      <c r="G609">
        <v>12785.74</v>
      </c>
    </row>
    <row r="610" spans="1:7" hidden="1" x14ac:dyDescent="0.3">
      <c r="A610" s="1">
        <v>45777</v>
      </c>
      <c r="B610" t="s">
        <v>165</v>
      </c>
      <c r="C610" t="s">
        <v>567</v>
      </c>
      <c r="D610" t="s">
        <v>568</v>
      </c>
      <c r="E610" t="s">
        <v>3</v>
      </c>
      <c r="F610">
        <v>462.25</v>
      </c>
      <c r="G610">
        <v>7308.7500000000009</v>
      </c>
    </row>
    <row r="611" spans="1:7" hidden="1" x14ac:dyDescent="0.3">
      <c r="A611" s="1">
        <v>45777</v>
      </c>
      <c r="B611" t="s">
        <v>167</v>
      </c>
      <c r="C611" t="s">
        <v>569</v>
      </c>
      <c r="D611" t="s">
        <v>570</v>
      </c>
      <c r="E611" t="s">
        <v>3</v>
      </c>
      <c r="F611">
        <v>480.75</v>
      </c>
      <c r="G611">
        <v>8355.5400000000009</v>
      </c>
    </row>
    <row r="612" spans="1:7" hidden="1" x14ac:dyDescent="0.3">
      <c r="A612" s="1">
        <v>45777</v>
      </c>
      <c r="B612" t="s">
        <v>169</v>
      </c>
      <c r="C612" t="s">
        <v>571</v>
      </c>
      <c r="D612" t="s">
        <v>572</v>
      </c>
      <c r="E612" t="s">
        <v>2</v>
      </c>
      <c r="F612">
        <v>591.75</v>
      </c>
      <c r="G612">
        <v>8079.21</v>
      </c>
    </row>
    <row r="613" spans="1:7" hidden="1" x14ac:dyDescent="0.3">
      <c r="A613" s="1">
        <v>45777</v>
      </c>
      <c r="B613" t="s">
        <v>171</v>
      </c>
      <c r="C613" t="s">
        <v>573</v>
      </c>
      <c r="D613" t="s">
        <v>574</v>
      </c>
      <c r="E613" t="s">
        <v>3</v>
      </c>
      <c r="F613">
        <v>555</v>
      </c>
      <c r="G613">
        <v>6586.7800000000007</v>
      </c>
    </row>
    <row r="614" spans="1:7" hidden="1" x14ac:dyDescent="0.3">
      <c r="A614" s="1">
        <v>45777</v>
      </c>
      <c r="B614" t="s">
        <v>173</v>
      </c>
      <c r="C614" t="s">
        <v>575</v>
      </c>
      <c r="D614" t="s">
        <v>576</v>
      </c>
      <c r="E614" t="s">
        <v>3</v>
      </c>
      <c r="F614">
        <v>305.75</v>
      </c>
      <c r="G614">
        <v>4830.4799999999996</v>
      </c>
    </row>
    <row r="615" spans="1:7" hidden="1" x14ac:dyDescent="0.3">
      <c r="A615" s="1">
        <v>45777</v>
      </c>
      <c r="B615" t="s">
        <v>175</v>
      </c>
      <c r="C615" t="s">
        <v>577</v>
      </c>
      <c r="D615" t="s">
        <v>578</v>
      </c>
      <c r="E615" t="s">
        <v>12</v>
      </c>
      <c r="F615">
        <v>509.5</v>
      </c>
      <c r="G615">
        <v>11475.13</v>
      </c>
    </row>
    <row r="616" spans="1:7" hidden="1" x14ac:dyDescent="0.3">
      <c r="A616" s="1">
        <v>45777</v>
      </c>
      <c r="B616" t="s">
        <v>177</v>
      </c>
      <c r="C616" t="s">
        <v>579</v>
      </c>
      <c r="D616" t="s">
        <v>580</v>
      </c>
      <c r="E616" t="s">
        <v>2</v>
      </c>
      <c r="F616">
        <v>0</v>
      </c>
      <c r="G616">
        <v>656.58999999999969</v>
      </c>
    </row>
    <row r="617" spans="1:7" hidden="1" x14ac:dyDescent="0.3">
      <c r="A617" s="1">
        <v>45777</v>
      </c>
      <c r="B617" t="s">
        <v>179</v>
      </c>
      <c r="C617" t="s">
        <v>550</v>
      </c>
      <c r="D617" t="s">
        <v>581</v>
      </c>
      <c r="E617" t="s">
        <v>2</v>
      </c>
      <c r="F617">
        <v>573.75</v>
      </c>
      <c r="G617">
        <v>9183.9700000000012</v>
      </c>
    </row>
    <row r="618" spans="1:7" hidden="1" x14ac:dyDescent="0.3">
      <c r="A618" s="1">
        <v>45777</v>
      </c>
      <c r="B618" t="s">
        <v>181</v>
      </c>
      <c r="C618" t="s">
        <v>582</v>
      </c>
      <c r="D618" t="s">
        <v>583</v>
      </c>
      <c r="E618" t="s">
        <v>2</v>
      </c>
      <c r="F618">
        <v>345.5</v>
      </c>
      <c r="G618">
        <v>5029.21</v>
      </c>
    </row>
    <row r="619" spans="1:7" hidden="1" x14ac:dyDescent="0.3">
      <c r="A619" s="1">
        <v>45777</v>
      </c>
      <c r="B619" t="s">
        <v>183</v>
      </c>
      <c r="C619" t="s">
        <v>584</v>
      </c>
      <c r="D619" t="s">
        <v>585</v>
      </c>
      <c r="E619" t="s">
        <v>2</v>
      </c>
      <c r="F619">
        <v>582.25</v>
      </c>
      <c r="G619">
        <v>10604.28</v>
      </c>
    </row>
    <row r="620" spans="1:7" hidden="1" x14ac:dyDescent="0.3">
      <c r="A620" s="1">
        <v>45777</v>
      </c>
      <c r="B620" t="s">
        <v>185</v>
      </c>
      <c r="C620" t="s">
        <v>586</v>
      </c>
      <c r="D620" t="s">
        <v>587</v>
      </c>
      <c r="E620" t="s">
        <v>10</v>
      </c>
      <c r="F620">
        <v>622.5</v>
      </c>
      <c r="G620">
        <v>12664.95</v>
      </c>
    </row>
    <row r="621" spans="1:7" hidden="1" x14ac:dyDescent="0.3">
      <c r="A621" s="1">
        <v>45777</v>
      </c>
      <c r="B621" t="s">
        <v>187</v>
      </c>
      <c r="C621" t="s">
        <v>588</v>
      </c>
      <c r="D621" t="s">
        <v>589</v>
      </c>
      <c r="E621" t="s">
        <v>6</v>
      </c>
      <c r="F621">
        <v>583</v>
      </c>
      <c r="G621">
        <v>18286.280000000002</v>
      </c>
    </row>
    <row r="622" spans="1:7" hidden="1" x14ac:dyDescent="0.3">
      <c r="A622" s="1">
        <v>45777</v>
      </c>
      <c r="B622" t="s">
        <v>189</v>
      </c>
      <c r="C622" t="s">
        <v>590</v>
      </c>
      <c r="D622" t="s">
        <v>591</v>
      </c>
      <c r="E622" t="s">
        <v>2</v>
      </c>
      <c r="F622">
        <v>560</v>
      </c>
      <c r="G622">
        <v>9962.5</v>
      </c>
    </row>
    <row r="623" spans="1:7" hidden="1" x14ac:dyDescent="0.3">
      <c r="A623" s="1">
        <v>45777</v>
      </c>
      <c r="B623" t="s">
        <v>191</v>
      </c>
      <c r="C623" t="s">
        <v>592</v>
      </c>
      <c r="D623" t="s">
        <v>593</v>
      </c>
      <c r="E623" t="s">
        <v>2</v>
      </c>
      <c r="F623">
        <v>600.25</v>
      </c>
      <c r="G623">
        <v>10905.6</v>
      </c>
    </row>
    <row r="624" spans="1:7" hidden="1" x14ac:dyDescent="0.3">
      <c r="A624" s="1">
        <v>45777</v>
      </c>
      <c r="B624" t="s">
        <v>193</v>
      </c>
      <c r="C624" t="s">
        <v>594</v>
      </c>
      <c r="D624" t="s">
        <v>595</v>
      </c>
      <c r="E624" t="s">
        <v>7</v>
      </c>
      <c r="F624">
        <v>428.25</v>
      </c>
      <c r="G624">
        <v>8414.1</v>
      </c>
    </row>
    <row r="625" spans="1:7" hidden="1" x14ac:dyDescent="0.3">
      <c r="A625" s="1">
        <v>45777</v>
      </c>
      <c r="B625" t="s">
        <v>195</v>
      </c>
      <c r="C625" t="s">
        <v>596</v>
      </c>
      <c r="D625" t="s">
        <v>597</v>
      </c>
      <c r="E625" t="s">
        <v>8</v>
      </c>
      <c r="F625">
        <v>527.75</v>
      </c>
      <c r="G625">
        <v>16945.989999999998</v>
      </c>
    </row>
    <row r="626" spans="1:7" hidden="1" x14ac:dyDescent="0.3">
      <c r="A626" s="1">
        <v>45777</v>
      </c>
      <c r="B626" t="s">
        <v>197</v>
      </c>
      <c r="C626" t="s">
        <v>598</v>
      </c>
      <c r="D626" t="s">
        <v>599</v>
      </c>
      <c r="E626" t="s">
        <v>3</v>
      </c>
      <c r="F626">
        <v>399.25</v>
      </c>
      <c r="G626">
        <v>2370.1200000000003</v>
      </c>
    </row>
    <row r="627" spans="1:7" hidden="1" x14ac:dyDescent="0.3">
      <c r="A627" s="1">
        <v>45777</v>
      </c>
      <c r="B627" t="s">
        <v>199</v>
      </c>
      <c r="C627" t="s">
        <v>600</v>
      </c>
      <c r="D627" t="s">
        <v>601</v>
      </c>
      <c r="E627" t="s">
        <v>8</v>
      </c>
      <c r="F627">
        <v>323.25</v>
      </c>
      <c r="G627">
        <v>6124.43</v>
      </c>
    </row>
    <row r="628" spans="1:7" hidden="1" x14ac:dyDescent="0.3">
      <c r="A628" s="1">
        <v>45777</v>
      </c>
      <c r="B628" t="s">
        <v>201</v>
      </c>
      <c r="C628" t="s">
        <v>602</v>
      </c>
      <c r="D628" t="s">
        <v>603</v>
      </c>
      <c r="E628" t="s">
        <v>12</v>
      </c>
      <c r="F628">
        <v>585</v>
      </c>
      <c r="G628">
        <v>27019.01</v>
      </c>
    </row>
    <row r="629" spans="1:7" hidden="1" x14ac:dyDescent="0.3">
      <c r="A629" s="1">
        <v>45777</v>
      </c>
      <c r="B629" t="s">
        <v>203</v>
      </c>
      <c r="C629" t="s">
        <v>604</v>
      </c>
      <c r="D629" t="s">
        <v>605</v>
      </c>
      <c r="E629" t="s">
        <v>3</v>
      </c>
      <c r="F629">
        <v>579.5</v>
      </c>
      <c r="G629">
        <v>11030.59</v>
      </c>
    </row>
    <row r="630" spans="1:7" hidden="1" x14ac:dyDescent="0.3">
      <c r="A630" s="1">
        <v>45777</v>
      </c>
      <c r="B630" t="s">
        <v>205</v>
      </c>
      <c r="C630" t="s">
        <v>606</v>
      </c>
      <c r="D630" t="s">
        <v>607</v>
      </c>
      <c r="E630" t="s">
        <v>2</v>
      </c>
      <c r="F630">
        <v>572</v>
      </c>
      <c r="G630">
        <v>9186.56</v>
      </c>
    </row>
    <row r="631" spans="1:7" hidden="1" x14ac:dyDescent="0.3">
      <c r="A631" s="1">
        <v>45777</v>
      </c>
      <c r="B631" t="s">
        <v>207</v>
      </c>
      <c r="C631" t="s">
        <v>608</v>
      </c>
      <c r="D631" t="s">
        <v>609</v>
      </c>
      <c r="E631" t="s">
        <v>12</v>
      </c>
      <c r="F631">
        <v>293.5</v>
      </c>
      <c r="G631">
        <v>4053.6999999999994</v>
      </c>
    </row>
    <row r="632" spans="1:7" hidden="1" x14ac:dyDescent="0.3">
      <c r="A632" s="1">
        <v>45777</v>
      </c>
      <c r="B632" t="s">
        <v>209</v>
      </c>
      <c r="C632" t="s">
        <v>610</v>
      </c>
      <c r="D632" t="s">
        <v>536</v>
      </c>
      <c r="E632" t="s">
        <v>2</v>
      </c>
      <c r="F632">
        <v>388.5</v>
      </c>
      <c r="G632">
        <v>6931.14</v>
      </c>
    </row>
    <row r="633" spans="1:7" hidden="1" x14ac:dyDescent="0.3">
      <c r="A633" s="1">
        <v>45777</v>
      </c>
      <c r="B633" t="s">
        <v>211</v>
      </c>
      <c r="C633" t="s">
        <v>611</v>
      </c>
      <c r="D633" t="s">
        <v>612</v>
      </c>
      <c r="E633" t="s">
        <v>9</v>
      </c>
      <c r="F633">
        <v>561.5</v>
      </c>
      <c r="G633">
        <v>17726.55</v>
      </c>
    </row>
    <row r="634" spans="1:7" hidden="1" x14ac:dyDescent="0.3">
      <c r="A634" s="1">
        <v>45777</v>
      </c>
      <c r="B634" t="s">
        <v>213</v>
      </c>
      <c r="C634" t="s">
        <v>613</v>
      </c>
      <c r="D634" t="s">
        <v>614</v>
      </c>
      <c r="E634" t="s">
        <v>8</v>
      </c>
      <c r="F634">
        <v>507.75</v>
      </c>
      <c r="G634">
        <v>11925.810000000001</v>
      </c>
    </row>
    <row r="635" spans="1:7" hidden="1" x14ac:dyDescent="0.3">
      <c r="A635" s="1">
        <v>45777</v>
      </c>
      <c r="B635" t="s">
        <v>215</v>
      </c>
      <c r="C635" t="s">
        <v>445</v>
      </c>
      <c r="D635" t="s">
        <v>615</v>
      </c>
      <c r="E635" t="s">
        <v>7</v>
      </c>
      <c r="F635">
        <v>562.5</v>
      </c>
      <c r="G635">
        <v>8286.52</v>
      </c>
    </row>
    <row r="636" spans="1:7" hidden="1" x14ac:dyDescent="0.3">
      <c r="A636" s="1">
        <v>45777</v>
      </c>
      <c r="B636" t="s">
        <v>217</v>
      </c>
      <c r="C636" t="s">
        <v>616</v>
      </c>
      <c r="D636" t="s">
        <v>617</v>
      </c>
      <c r="E636" t="s">
        <v>2</v>
      </c>
      <c r="F636">
        <v>479.5</v>
      </c>
      <c r="G636">
        <v>8550.83</v>
      </c>
    </row>
    <row r="637" spans="1:7" hidden="1" x14ac:dyDescent="0.3">
      <c r="A637" s="1">
        <v>45777</v>
      </c>
      <c r="B637" t="s">
        <v>219</v>
      </c>
      <c r="C637" t="s">
        <v>618</v>
      </c>
      <c r="D637" t="s">
        <v>619</v>
      </c>
      <c r="E637" t="s">
        <v>15</v>
      </c>
      <c r="F637">
        <v>568.75</v>
      </c>
      <c r="G637">
        <v>8264.130000000001</v>
      </c>
    </row>
    <row r="638" spans="1:7" hidden="1" x14ac:dyDescent="0.3">
      <c r="A638" s="1">
        <v>45777</v>
      </c>
      <c r="B638" t="s">
        <v>221</v>
      </c>
      <c r="C638" t="s">
        <v>620</v>
      </c>
      <c r="D638" t="s">
        <v>621</v>
      </c>
      <c r="E638" t="s">
        <v>2</v>
      </c>
      <c r="F638">
        <v>497.25</v>
      </c>
      <c r="G638">
        <v>8379.7999999999993</v>
      </c>
    </row>
    <row r="639" spans="1:7" hidden="1" x14ac:dyDescent="0.3">
      <c r="A639" s="1">
        <v>45777</v>
      </c>
      <c r="B639" t="s">
        <v>223</v>
      </c>
      <c r="C639" t="s">
        <v>622</v>
      </c>
      <c r="D639" t="s">
        <v>623</v>
      </c>
      <c r="E639" t="s">
        <v>14</v>
      </c>
      <c r="F639">
        <v>607.5</v>
      </c>
      <c r="G639">
        <v>13708.349999999999</v>
      </c>
    </row>
    <row r="640" spans="1:7" hidden="1" x14ac:dyDescent="0.3">
      <c r="A640" s="1">
        <v>45777</v>
      </c>
      <c r="B640" t="s">
        <v>225</v>
      </c>
      <c r="C640" t="s">
        <v>624</v>
      </c>
      <c r="D640" t="s">
        <v>625</v>
      </c>
      <c r="E640" t="s">
        <v>3</v>
      </c>
      <c r="F640">
        <v>321.25</v>
      </c>
      <c r="G640">
        <v>4553.42</v>
      </c>
    </row>
    <row r="641" spans="1:7" hidden="1" x14ac:dyDescent="0.3">
      <c r="A641" s="1">
        <v>45777</v>
      </c>
      <c r="B641" t="s">
        <v>227</v>
      </c>
      <c r="C641" t="s">
        <v>626</v>
      </c>
      <c r="D641" t="s">
        <v>627</v>
      </c>
      <c r="E641" t="s">
        <v>7</v>
      </c>
      <c r="F641">
        <v>509.75</v>
      </c>
      <c r="G641">
        <v>14009.17</v>
      </c>
    </row>
    <row r="642" spans="1:7" hidden="1" x14ac:dyDescent="0.3">
      <c r="A642" s="1">
        <v>45777</v>
      </c>
      <c r="B642" t="s">
        <v>229</v>
      </c>
      <c r="C642" t="s">
        <v>628</v>
      </c>
      <c r="D642" t="s">
        <v>629</v>
      </c>
      <c r="E642" t="s">
        <v>2</v>
      </c>
      <c r="F642">
        <v>474.75</v>
      </c>
      <c r="G642">
        <v>6056.89</v>
      </c>
    </row>
    <row r="643" spans="1:7" hidden="1" x14ac:dyDescent="0.3">
      <c r="A643" s="1">
        <v>45777</v>
      </c>
      <c r="B643" t="s">
        <v>231</v>
      </c>
      <c r="C643" t="s">
        <v>630</v>
      </c>
      <c r="D643" t="s">
        <v>631</v>
      </c>
      <c r="E643" t="s">
        <v>2</v>
      </c>
      <c r="F643">
        <v>569.5</v>
      </c>
      <c r="G643">
        <v>8647.3799999999992</v>
      </c>
    </row>
    <row r="644" spans="1:7" hidden="1" x14ac:dyDescent="0.3">
      <c r="A644" s="1">
        <v>45777</v>
      </c>
      <c r="B644" t="s">
        <v>233</v>
      </c>
      <c r="C644" t="s">
        <v>632</v>
      </c>
      <c r="D644" t="s">
        <v>633</v>
      </c>
      <c r="E644" t="s">
        <v>2</v>
      </c>
      <c r="F644">
        <v>381.75</v>
      </c>
      <c r="G644">
        <v>5289.34</v>
      </c>
    </row>
    <row r="645" spans="1:7" hidden="1" x14ac:dyDescent="0.3">
      <c r="A645" s="1">
        <v>45777</v>
      </c>
      <c r="B645" t="s">
        <v>235</v>
      </c>
      <c r="C645" t="s">
        <v>634</v>
      </c>
      <c r="D645" t="s">
        <v>635</v>
      </c>
      <c r="E645" t="s">
        <v>3</v>
      </c>
      <c r="F645">
        <v>338.5</v>
      </c>
      <c r="G645">
        <v>6884.49</v>
      </c>
    </row>
    <row r="646" spans="1:7" hidden="1" x14ac:dyDescent="0.3">
      <c r="A646" s="1">
        <v>45777</v>
      </c>
      <c r="B646" t="s">
        <v>237</v>
      </c>
      <c r="C646" t="s">
        <v>636</v>
      </c>
      <c r="D646" t="s">
        <v>637</v>
      </c>
      <c r="E646" t="s">
        <v>5</v>
      </c>
      <c r="F646">
        <v>63</v>
      </c>
      <c r="G646">
        <v>2552.0299999999997</v>
      </c>
    </row>
    <row r="647" spans="1:7" hidden="1" x14ac:dyDescent="0.3">
      <c r="A647" s="1">
        <v>45777</v>
      </c>
      <c r="B647" t="s">
        <v>239</v>
      </c>
      <c r="C647" t="s">
        <v>638</v>
      </c>
      <c r="D647" t="s">
        <v>639</v>
      </c>
      <c r="E647" t="s">
        <v>12</v>
      </c>
      <c r="F647">
        <v>581</v>
      </c>
      <c r="G647">
        <v>9714.5400000000009</v>
      </c>
    </row>
    <row r="648" spans="1:7" hidden="1" x14ac:dyDescent="0.3">
      <c r="A648" s="1">
        <v>45777</v>
      </c>
      <c r="B648" t="s">
        <v>241</v>
      </c>
      <c r="C648" t="s">
        <v>640</v>
      </c>
      <c r="D648" t="s">
        <v>641</v>
      </c>
      <c r="E648" t="s">
        <v>13</v>
      </c>
      <c r="F648">
        <v>567.75</v>
      </c>
      <c r="G648">
        <v>23929.01</v>
      </c>
    </row>
    <row r="649" spans="1:7" hidden="1" x14ac:dyDescent="0.3">
      <c r="A649" s="1">
        <v>45777</v>
      </c>
      <c r="B649" t="s">
        <v>243</v>
      </c>
      <c r="C649" t="s">
        <v>642</v>
      </c>
      <c r="D649" t="s">
        <v>643</v>
      </c>
      <c r="E649" t="s">
        <v>5</v>
      </c>
      <c r="F649">
        <v>536.75</v>
      </c>
      <c r="G649">
        <v>6470.34</v>
      </c>
    </row>
    <row r="650" spans="1:7" hidden="1" x14ac:dyDescent="0.3">
      <c r="A650" s="1">
        <v>45777</v>
      </c>
      <c r="B650" t="s">
        <v>245</v>
      </c>
      <c r="C650" t="s">
        <v>644</v>
      </c>
      <c r="D650" t="s">
        <v>555</v>
      </c>
      <c r="E650" t="s">
        <v>3</v>
      </c>
      <c r="F650">
        <v>259.5</v>
      </c>
      <c r="G650">
        <v>3399.73</v>
      </c>
    </row>
    <row r="651" spans="1:7" hidden="1" x14ac:dyDescent="0.3">
      <c r="A651" s="1">
        <v>45777</v>
      </c>
      <c r="B651" t="s">
        <v>247</v>
      </c>
      <c r="C651" t="s">
        <v>645</v>
      </c>
      <c r="D651" t="s">
        <v>646</v>
      </c>
      <c r="E651" t="s">
        <v>2</v>
      </c>
      <c r="F651">
        <v>542.5</v>
      </c>
      <c r="G651">
        <v>7003.68</v>
      </c>
    </row>
    <row r="652" spans="1:7" hidden="1" x14ac:dyDescent="0.3">
      <c r="A652" s="1">
        <v>45777</v>
      </c>
      <c r="B652" t="s">
        <v>249</v>
      </c>
      <c r="C652" t="s">
        <v>647</v>
      </c>
      <c r="D652" t="s">
        <v>648</v>
      </c>
      <c r="E652" t="s">
        <v>2</v>
      </c>
      <c r="F652">
        <v>623.5</v>
      </c>
      <c r="G652">
        <v>9373.36</v>
      </c>
    </row>
    <row r="653" spans="1:7" hidden="1" x14ac:dyDescent="0.3">
      <c r="A653" s="1">
        <v>45777</v>
      </c>
      <c r="B653" t="s">
        <v>251</v>
      </c>
      <c r="C653" t="s">
        <v>649</v>
      </c>
      <c r="D653" t="s">
        <v>460</v>
      </c>
      <c r="E653" t="s">
        <v>2</v>
      </c>
      <c r="F653">
        <v>98.75</v>
      </c>
      <c r="G653">
        <v>2603.98</v>
      </c>
    </row>
    <row r="654" spans="1:7" hidden="1" x14ac:dyDescent="0.3">
      <c r="A654" s="1">
        <v>45777</v>
      </c>
      <c r="B654" t="s">
        <v>253</v>
      </c>
      <c r="C654" t="s">
        <v>650</v>
      </c>
      <c r="D654" t="s">
        <v>651</v>
      </c>
      <c r="E654" t="s">
        <v>5</v>
      </c>
      <c r="F654">
        <v>517</v>
      </c>
      <c r="G654">
        <v>6142.34</v>
      </c>
    </row>
    <row r="655" spans="1:7" hidden="1" x14ac:dyDescent="0.3">
      <c r="A655" s="1">
        <v>45777</v>
      </c>
      <c r="B655" t="s">
        <v>255</v>
      </c>
      <c r="C655" t="s">
        <v>652</v>
      </c>
      <c r="D655" t="s">
        <v>653</v>
      </c>
      <c r="E655" t="s">
        <v>5</v>
      </c>
      <c r="F655">
        <v>126</v>
      </c>
      <c r="G655">
        <v>1528.4600000000003</v>
      </c>
    </row>
    <row r="656" spans="1:7" hidden="1" x14ac:dyDescent="0.3">
      <c r="A656" s="1">
        <v>45777</v>
      </c>
      <c r="B656" t="s">
        <v>257</v>
      </c>
      <c r="C656" t="s">
        <v>654</v>
      </c>
      <c r="D656" t="s">
        <v>655</v>
      </c>
      <c r="E656" t="s">
        <v>5</v>
      </c>
      <c r="F656">
        <v>0</v>
      </c>
      <c r="G656">
        <v>2.2400000000000091</v>
      </c>
    </row>
    <row r="657" spans="1:7" hidden="1" x14ac:dyDescent="0.3">
      <c r="A657" s="1">
        <v>45777</v>
      </c>
      <c r="B657" t="s">
        <v>259</v>
      </c>
      <c r="C657" t="s">
        <v>656</v>
      </c>
      <c r="D657" t="s">
        <v>657</v>
      </c>
      <c r="E657" t="s">
        <v>2</v>
      </c>
      <c r="F657">
        <v>454.25</v>
      </c>
      <c r="G657">
        <v>7509.920000000001</v>
      </c>
    </row>
    <row r="658" spans="1:7" hidden="1" x14ac:dyDescent="0.3">
      <c r="A658" s="1">
        <v>45777</v>
      </c>
      <c r="B658" t="s">
        <v>261</v>
      </c>
      <c r="C658" t="s">
        <v>658</v>
      </c>
      <c r="D658" t="s">
        <v>659</v>
      </c>
      <c r="E658" t="s">
        <v>13</v>
      </c>
      <c r="F658">
        <v>136.5</v>
      </c>
      <c r="G658">
        <v>2509.25</v>
      </c>
    </row>
    <row r="659" spans="1:7" hidden="1" x14ac:dyDescent="0.3">
      <c r="A659" s="1">
        <v>45777</v>
      </c>
      <c r="B659" t="s">
        <v>263</v>
      </c>
      <c r="C659" t="s">
        <v>660</v>
      </c>
      <c r="D659" t="s">
        <v>661</v>
      </c>
      <c r="E659" t="s">
        <v>2</v>
      </c>
      <c r="F659">
        <v>449</v>
      </c>
      <c r="G659">
        <v>5304.21</v>
      </c>
    </row>
    <row r="660" spans="1:7" hidden="1" x14ac:dyDescent="0.3">
      <c r="A660" s="1">
        <v>45777</v>
      </c>
      <c r="B660" t="s">
        <v>265</v>
      </c>
      <c r="C660" t="s">
        <v>662</v>
      </c>
      <c r="D660" t="s">
        <v>646</v>
      </c>
      <c r="E660" t="s">
        <v>7</v>
      </c>
      <c r="F660">
        <v>565.5</v>
      </c>
      <c r="G660">
        <v>23989.72</v>
      </c>
    </row>
    <row r="661" spans="1:7" hidden="1" x14ac:dyDescent="0.3">
      <c r="A661" s="1">
        <v>45777</v>
      </c>
      <c r="B661" t="s">
        <v>267</v>
      </c>
      <c r="C661" t="s">
        <v>663</v>
      </c>
      <c r="D661" t="s">
        <v>664</v>
      </c>
      <c r="E661" t="s">
        <v>10</v>
      </c>
      <c r="F661">
        <v>551.5</v>
      </c>
      <c r="G661">
        <v>9640.5199999999986</v>
      </c>
    </row>
    <row r="662" spans="1:7" hidden="1" x14ac:dyDescent="0.3">
      <c r="A662" s="1">
        <v>45777</v>
      </c>
      <c r="B662" t="s">
        <v>269</v>
      </c>
      <c r="C662" t="s">
        <v>665</v>
      </c>
      <c r="D662" t="s">
        <v>666</v>
      </c>
      <c r="E662" t="s">
        <v>2</v>
      </c>
      <c r="F662">
        <v>532</v>
      </c>
      <c r="G662">
        <v>8332.9500000000007</v>
      </c>
    </row>
    <row r="663" spans="1:7" hidden="1" x14ac:dyDescent="0.3">
      <c r="A663" s="1">
        <v>45777</v>
      </c>
      <c r="B663" t="s">
        <v>271</v>
      </c>
      <c r="C663" t="s">
        <v>667</v>
      </c>
      <c r="D663" t="s">
        <v>668</v>
      </c>
      <c r="E663" t="s">
        <v>2</v>
      </c>
      <c r="F663">
        <v>492</v>
      </c>
      <c r="G663">
        <v>6013.7999999999993</v>
      </c>
    </row>
    <row r="664" spans="1:7" hidden="1" x14ac:dyDescent="0.3">
      <c r="A664" s="1">
        <v>45777</v>
      </c>
      <c r="B664" t="s">
        <v>273</v>
      </c>
      <c r="C664" t="s">
        <v>669</v>
      </c>
      <c r="D664" t="s">
        <v>670</v>
      </c>
      <c r="E664" t="s">
        <v>3</v>
      </c>
      <c r="F664">
        <v>471.75</v>
      </c>
      <c r="G664">
        <v>6207.7</v>
      </c>
    </row>
    <row r="665" spans="1:7" hidden="1" x14ac:dyDescent="0.3">
      <c r="A665" s="1">
        <v>45777</v>
      </c>
      <c r="B665" t="s">
        <v>275</v>
      </c>
      <c r="C665" t="s">
        <v>671</v>
      </c>
      <c r="D665" t="s">
        <v>672</v>
      </c>
      <c r="E665" t="s">
        <v>13</v>
      </c>
      <c r="F665">
        <v>329</v>
      </c>
      <c r="G665">
        <v>5535.71</v>
      </c>
    </row>
    <row r="666" spans="1:7" hidden="1" x14ac:dyDescent="0.3">
      <c r="A666" s="1">
        <v>45777</v>
      </c>
      <c r="B666" t="s">
        <v>277</v>
      </c>
      <c r="C666" t="s">
        <v>673</v>
      </c>
      <c r="D666" t="s">
        <v>674</v>
      </c>
      <c r="E666" t="s">
        <v>3</v>
      </c>
      <c r="F666">
        <v>567.25</v>
      </c>
      <c r="G666">
        <v>6718.33</v>
      </c>
    </row>
    <row r="667" spans="1:7" hidden="1" x14ac:dyDescent="0.3">
      <c r="A667" s="1">
        <v>45777</v>
      </c>
      <c r="B667" t="s">
        <v>279</v>
      </c>
      <c r="C667" t="s">
        <v>675</v>
      </c>
      <c r="D667" t="s">
        <v>676</v>
      </c>
      <c r="E667" t="s">
        <v>13</v>
      </c>
      <c r="F667">
        <v>548.5</v>
      </c>
      <c r="G667">
        <v>8022.98</v>
      </c>
    </row>
    <row r="668" spans="1:7" hidden="1" x14ac:dyDescent="0.3">
      <c r="A668" s="1">
        <v>45777</v>
      </c>
      <c r="B668" t="s">
        <v>281</v>
      </c>
      <c r="C668" t="s">
        <v>677</v>
      </c>
      <c r="D668" t="s">
        <v>678</v>
      </c>
      <c r="E668" t="s">
        <v>7</v>
      </c>
      <c r="F668">
        <v>541.5</v>
      </c>
      <c r="G668">
        <v>13839.640000000001</v>
      </c>
    </row>
    <row r="669" spans="1:7" hidden="1" x14ac:dyDescent="0.3">
      <c r="A669" s="1">
        <v>45777</v>
      </c>
      <c r="B669" t="s">
        <v>283</v>
      </c>
      <c r="C669" t="s">
        <v>679</v>
      </c>
      <c r="D669" t="s">
        <v>680</v>
      </c>
      <c r="E669" t="s">
        <v>3</v>
      </c>
      <c r="F669">
        <v>381</v>
      </c>
      <c r="G669">
        <v>4587.53</v>
      </c>
    </row>
    <row r="670" spans="1:7" hidden="1" x14ac:dyDescent="0.3">
      <c r="A670" s="1">
        <v>45777</v>
      </c>
      <c r="B670" t="s">
        <v>285</v>
      </c>
      <c r="C670" t="s">
        <v>681</v>
      </c>
      <c r="D670" t="s">
        <v>504</v>
      </c>
      <c r="E670" t="s">
        <v>5</v>
      </c>
      <c r="F670">
        <v>569.25</v>
      </c>
      <c r="G670">
        <v>6630.63</v>
      </c>
    </row>
    <row r="671" spans="1:7" hidden="1" x14ac:dyDescent="0.3">
      <c r="A671" s="1">
        <v>45777</v>
      </c>
      <c r="B671" t="s">
        <v>287</v>
      </c>
      <c r="C671" t="s">
        <v>682</v>
      </c>
      <c r="D671" t="s">
        <v>683</v>
      </c>
      <c r="E671" t="s">
        <v>5</v>
      </c>
      <c r="F671">
        <v>528.75</v>
      </c>
      <c r="G671">
        <v>5981.36</v>
      </c>
    </row>
    <row r="672" spans="1:7" hidden="1" x14ac:dyDescent="0.3">
      <c r="A672" s="1">
        <v>45777</v>
      </c>
      <c r="B672" t="s">
        <v>289</v>
      </c>
      <c r="C672" t="s">
        <v>684</v>
      </c>
      <c r="D672" t="s">
        <v>685</v>
      </c>
      <c r="E672" t="s">
        <v>5</v>
      </c>
      <c r="F672">
        <v>542.25</v>
      </c>
      <c r="G672">
        <v>6401.54</v>
      </c>
    </row>
    <row r="673" spans="1:7" hidden="1" x14ac:dyDescent="0.3">
      <c r="A673" s="1">
        <v>45777</v>
      </c>
      <c r="B673" t="s">
        <v>291</v>
      </c>
      <c r="C673" t="s">
        <v>686</v>
      </c>
      <c r="D673" t="s">
        <v>534</v>
      </c>
      <c r="E673" t="s">
        <v>14</v>
      </c>
      <c r="F673">
        <v>607.5</v>
      </c>
      <c r="G673">
        <v>11057.349999999999</v>
      </c>
    </row>
    <row r="674" spans="1:7" hidden="1" x14ac:dyDescent="0.3">
      <c r="A674" s="1">
        <v>45777</v>
      </c>
      <c r="B674" t="s">
        <v>293</v>
      </c>
      <c r="C674" t="s">
        <v>687</v>
      </c>
      <c r="D674" t="s">
        <v>688</v>
      </c>
      <c r="E674" t="s">
        <v>2</v>
      </c>
      <c r="F674">
        <v>565.75</v>
      </c>
      <c r="G674">
        <v>8964.8399999999983</v>
      </c>
    </row>
    <row r="675" spans="1:7" hidden="1" x14ac:dyDescent="0.3">
      <c r="A675" s="1">
        <v>45777</v>
      </c>
      <c r="B675" t="s">
        <v>295</v>
      </c>
      <c r="C675" t="s">
        <v>689</v>
      </c>
      <c r="D675" t="s">
        <v>690</v>
      </c>
      <c r="E675" t="s">
        <v>5</v>
      </c>
      <c r="F675">
        <v>417.5</v>
      </c>
      <c r="G675">
        <v>5516.6</v>
      </c>
    </row>
    <row r="676" spans="1:7" hidden="1" x14ac:dyDescent="0.3">
      <c r="A676" s="1">
        <v>45777</v>
      </c>
      <c r="B676" t="s">
        <v>297</v>
      </c>
      <c r="C676" t="s">
        <v>691</v>
      </c>
      <c r="D676" t="s">
        <v>648</v>
      </c>
      <c r="E676" t="s">
        <v>2</v>
      </c>
      <c r="F676">
        <v>525.5</v>
      </c>
      <c r="G676">
        <v>8301.8200000000015</v>
      </c>
    </row>
    <row r="677" spans="1:7" hidden="1" x14ac:dyDescent="0.3">
      <c r="A677" s="1">
        <v>45777</v>
      </c>
      <c r="B677" t="s">
        <v>299</v>
      </c>
      <c r="C677" t="s">
        <v>692</v>
      </c>
      <c r="D677" t="s">
        <v>551</v>
      </c>
      <c r="E677" t="s">
        <v>10</v>
      </c>
      <c r="F677">
        <v>457</v>
      </c>
      <c r="G677">
        <v>7923.87</v>
      </c>
    </row>
    <row r="678" spans="1:7" hidden="1" x14ac:dyDescent="0.3">
      <c r="A678" s="1">
        <v>45777</v>
      </c>
      <c r="B678" t="s">
        <v>301</v>
      </c>
      <c r="C678" t="s">
        <v>693</v>
      </c>
      <c r="D678" t="s">
        <v>694</v>
      </c>
      <c r="E678" t="s">
        <v>5</v>
      </c>
      <c r="F678">
        <v>405.25</v>
      </c>
      <c r="G678">
        <v>5448.9699999999993</v>
      </c>
    </row>
    <row r="679" spans="1:7" hidden="1" x14ac:dyDescent="0.3">
      <c r="A679" s="1">
        <v>45777</v>
      </c>
      <c r="B679" t="s">
        <v>303</v>
      </c>
      <c r="C679" t="s">
        <v>695</v>
      </c>
      <c r="D679" t="s">
        <v>696</v>
      </c>
      <c r="E679" t="s">
        <v>13</v>
      </c>
      <c r="F679">
        <v>335.45</v>
      </c>
      <c r="G679">
        <v>5944.33</v>
      </c>
    </row>
    <row r="680" spans="1:7" hidden="1" x14ac:dyDescent="0.3">
      <c r="A680" s="1">
        <v>45777</v>
      </c>
      <c r="B680" t="s">
        <v>305</v>
      </c>
      <c r="C680" t="s">
        <v>697</v>
      </c>
      <c r="D680" t="s">
        <v>698</v>
      </c>
      <c r="E680" t="s">
        <v>5</v>
      </c>
      <c r="F680">
        <v>567.75</v>
      </c>
      <c r="G680">
        <v>6612.81</v>
      </c>
    </row>
    <row r="681" spans="1:7" hidden="1" x14ac:dyDescent="0.3">
      <c r="A681" s="1">
        <v>45777</v>
      </c>
      <c r="B681" t="s">
        <v>307</v>
      </c>
      <c r="C681" t="s">
        <v>699</v>
      </c>
      <c r="D681" t="s">
        <v>456</v>
      </c>
      <c r="E681" t="s">
        <v>13</v>
      </c>
      <c r="F681">
        <v>387</v>
      </c>
      <c r="G681">
        <v>7025.77</v>
      </c>
    </row>
    <row r="682" spans="1:7" hidden="1" x14ac:dyDescent="0.3">
      <c r="A682" s="1">
        <v>45777</v>
      </c>
      <c r="B682" t="s">
        <v>309</v>
      </c>
      <c r="C682" t="s">
        <v>700</v>
      </c>
      <c r="D682" t="s">
        <v>701</v>
      </c>
      <c r="E682" t="s">
        <v>10</v>
      </c>
      <c r="F682">
        <v>619</v>
      </c>
      <c r="G682">
        <v>13152.759999999998</v>
      </c>
    </row>
    <row r="683" spans="1:7" hidden="1" x14ac:dyDescent="0.3">
      <c r="A683" s="1">
        <v>45777</v>
      </c>
      <c r="B683" t="s">
        <v>311</v>
      </c>
      <c r="C683" t="s">
        <v>702</v>
      </c>
      <c r="D683" t="s">
        <v>703</v>
      </c>
      <c r="E683" t="s">
        <v>5</v>
      </c>
      <c r="F683">
        <v>502</v>
      </c>
      <c r="G683">
        <v>6267.17</v>
      </c>
    </row>
    <row r="684" spans="1:7" hidden="1" x14ac:dyDescent="0.3">
      <c r="A684" s="1">
        <v>45777</v>
      </c>
      <c r="B684" t="s">
        <v>313</v>
      </c>
      <c r="C684" t="s">
        <v>704</v>
      </c>
      <c r="D684" t="s">
        <v>705</v>
      </c>
      <c r="E684" t="s">
        <v>13</v>
      </c>
      <c r="F684">
        <v>469</v>
      </c>
      <c r="G684">
        <v>7863.5000000000009</v>
      </c>
    </row>
    <row r="685" spans="1:7" hidden="1" x14ac:dyDescent="0.3">
      <c r="A685" s="1">
        <v>45777</v>
      </c>
      <c r="B685" t="s">
        <v>315</v>
      </c>
      <c r="C685" t="s">
        <v>706</v>
      </c>
      <c r="D685" t="s">
        <v>707</v>
      </c>
      <c r="E685" t="s">
        <v>6</v>
      </c>
      <c r="F685">
        <v>613.5</v>
      </c>
      <c r="G685">
        <v>7261.7100000000009</v>
      </c>
    </row>
    <row r="686" spans="1:7" hidden="1" x14ac:dyDescent="0.3">
      <c r="A686" s="1">
        <v>45777</v>
      </c>
      <c r="B686" t="s">
        <v>317</v>
      </c>
      <c r="C686" t="s">
        <v>708</v>
      </c>
      <c r="D686" t="s">
        <v>709</v>
      </c>
      <c r="E686" t="s">
        <v>3</v>
      </c>
      <c r="F686">
        <v>45</v>
      </c>
      <c r="G686">
        <v>1701.22</v>
      </c>
    </row>
    <row r="687" spans="1:7" hidden="1" x14ac:dyDescent="0.3">
      <c r="A687" s="1">
        <v>45777</v>
      </c>
      <c r="B687" t="s">
        <v>319</v>
      </c>
      <c r="C687" t="s">
        <v>710</v>
      </c>
      <c r="D687" t="s">
        <v>711</v>
      </c>
      <c r="E687" t="s">
        <v>2</v>
      </c>
      <c r="F687">
        <v>580.5</v>
      </c>
      <c r="G687">
        <v>9301.06</v>
      </c>
    </row>
    <row r="688" spans="1:7" hidden="1" x14ac:dyDescent="0.3">
      <c r="A688" s="1">
        <v>45777</v>
      </c>
      <c r="B688" t="s">
        <v>321</v>
      </c>
      <c r="C688" t="s">
        <v>712</v>
      </c>
      <c r="D688" t="s">
        <v>713</v>
      </c>
      <c r="E688" t="s">
        <v>2</v>
      </c>
      <c r="F688">
        <v>553.5</v>
      </c>
      <c r="G688">
        <v>10077.619999999999</v>
      </c>
    </row>
    <row r="689" spans="1:7" hidden="1" x14ac:dyDescent="0.3">
      <c r="A689" s="1">
        <v>45777</v>
      </c>
      <c r="B689" t="s">
        <v>323</v>
      </c>
      <c r="C689" t="s">
        <v>714</v>
      </c>
      <c r="D689" t="s">
        <v>715</v>
      </c>
      <c r="E689" t="s">
        <v>13</v>
      </c>
      <c r="F689">
        <v>287.5</v>
      </c>
      <c r="G689">
        <v>4818.62</v>
      </c>
    </row>
    <row r="690" spans="1:7" hidden="1" x14ac:dyDescent="0.3">
      <c r="A690" s="1">
        <v>45777</v>
      </c>
      <c r="B690" t="s">
        <v>325</v>
      </c>
      <c r="C690" t="s">
        <v>716</v>
      </c>
      <c r="D690" t="s">
        <v>717</v>
      </c>
      <c r="E690" t="s">
        <v>13</v>
      </c>
      <c r="F690">
        <v>334</v>
      </c>
      <c r="G690">
        <v>4652.83</v>
      </c>
    </row>
    <row r="691" spans="1:7" hidden="1" x14ac:dyDescent="0.3">
      <c r="A691" s="1">
        <v>45777</v>
      </c>
      <c r="B691" t="s">
        <v>327</v>
      </c>
      <c r="C691" t="s">
        <v>718</v>
      </c>
      <c r="D691" t="s">
        <v>719</v>
      </c>
      <c r="E691" t="s">
        <v>5</v>
      </c>
      <c r="F691">
        <v>332.25</v>
      </c>
      <c r="G691">
        <v>4271.4400000000005</v>
      </c>
    </row>
    <row r="692" spans="1:7" hidden="1" x14ac:dyDescent="0.3">
      <c r="A692" s="1">
        <v>45777</v>
      </c>
      <c r="B692" t="s">
        <v>329</v>
      </c>
      <c r="C692" t="s">
        <v>720</v>
      </c>
      <c r="D692" t="s">
        <v>721</v>
      </c>
      <c r="E692" t="s">
        <v>6</v>
      </c>
      <c r="F692">
        <v>491.5</v>
      </c>
      <c r="G692">
        <v>6251.37</v>
      </c>
    </row>
    <row r="693" spans="1:7" hidden="1" x14ac:dyDescent="0.3">
      <c r="A693" s="1">
        <v>45777</v>
      </c>
      <c r="B693" t="s">
        <v>331</v>
      </c>
      <c r="C693" t="s">
        <v>722</v>
      </c>
      <c r="D693" t="s">
        <v>723</v>
      </c>
      <c r="E693" t="s">
        <v>3</v>
      </c>
      <c r="F693">
        <v>228</v>
      </c>
      <c r="G693">
        <v>2644.69</v>
      </c>
    </row>
    <row r="694" spans="1:7" hidden="1" x14ac:dyDescent="0.3">
      <c r="A694" s="1">
        <v>45777</v>
      </c>
      <c r="B694" t="s">
        <v>333</v>
      </c>
      <c r="C694" t="s">
        <v>724</v>
      </c>
      <c r="D694" t="s">
        <v>725</v>
      </c>
      <c r="E694" t="s">
        <v>14</v>
      </c>
      <c r="F694">
        <v>264</v>
      </c>
      <c r="G694">
        <v>5402.2000000000007</v>
      </c>
    </row>
    <row r="695" spans="1:7" hidden="1" x14ac:dyDescent="0.3">
      <c r="A695" s="1">
        <v>45777</v>
      </c>
      <c r="B695" t="s">
        <v>366</v>
      </c>
      <c r="C695" t="s">
        <v>751</v>
      </c>
      <c r="D695" t="s">
        <v>601</v>
      </c>
      <c r="E695" t="s">
        <v>5</v>
      </c>
      <c r="F695">
        <v>187.25</v>
      </c>
      <c r="G695">
        <v>2421.29</v>
      </c>
    </row>
    <row r="696" spans="1:7" hidden="1" x14ac:dyDescent="0.3">
      <c r="A696" s="1">
        <v>45777</v>
      </c>
      <c r="B696" t="s">
        <v>335</v>
      </c>
      <c r="C696" t="s">
        <v>726</v>
      </c>
      <c r="D696" t="s">
        <v>551</v>
      </c>
      <c r="E696" t="s">
        <v>2</v>
      </c>
      <c r="F696">
        <v>321.5</v>
      </c>
      <c r="G696">
        <v>5485.72</v>
      </c>
    </row>
    <row r="697" spans="1:7" hidden="1" x14ac:dyDescent="0.3">
      <c r="A697" s="1">
        <v>45777</v>
      </c>
      <c r="B697" t="s">
        <v>368</v>
      </c>
      <c r="C697" t="s">
        <v>752</v>
      </c>
      <c r="D697" t="s">
        <v>753</v>
      </c>
      <c r="E697" t="s">
        <v>13</v>
      </c>
      <c r="F697">
        <v>298.5</v>
      </c>
      <c r="G697">
        <v>4712.18</v>
      </c>
    </row>
    <row r="698" spans="1:7" hidden="1" x14ac:dyDescent="0.3">
      <c r="A698" s="1">
        <v>45777</v>
      </c>
      <c r="B698" t="s">
        <v>370</v>
      </c>
      <c r="C698" t="s">
        <v>727</v>
      </c>
      <c r="D698" t="s">
        <v>728</v>
      </c>
      <c r="E698" t="s">
        <v>5</v>
      </c>
      <c r="F698">
        <v>372.75</v>
      </c>
      <c r="G698">
        <v>4499.0700000000006</v>
      </c>
    </row>
    <row r="699" spans="1:7" hidden="1" x14ac:dyDescent="0.3">
      <c r="A699" s="1">
        <v>45777</v>
      </c>
      <c r="B699" t="s">
        <v>371</v>
      </c>
      <c r="C699" t="s">
        <v>754</v>
      </c>
      <c r="D699" t="s">
        <v>755</v>
      </c>
      <c r="E699" t="s">
        <v>11</v>
      </c>
      <c r="F699">
        <v>113</v>
      </c>
      <c r="G699">
        <v>8717.7900000000009</v>
      </c>
    </row>
    <row r="700" spans="1:7" hidden="1" x14ac:dyDescent="0.3">
      <c r="A700" s="1">
        <v>45777</v>
      </c>
      <c r="B700" t="s">
        <v>373</v>
      </c>
      <c r="C700" t="s">
        <v>756</v>
      </c>
      <c r="D700" t="s">
        <v>757</v>
      </c>
      <c r="E700" t="s">
        <v>13</v>
      </c>
      <c r="F700">
        <v>364.75</v>
      </c>
      <c r="G700">
        <v>7584.98</v>
      </c>
    </row>
    <row r="701" spans="1:7" hidden="1" x14ac:dyDescent="0.3">
      <c r="A701" s="1">
        <v>45777</v>
      </c>
      <c r="B701" t="s">
        <v>375</v>
      </c>
      <c r="C701" t="s">
        <v>758</v>
      </c>
      <c r="D701" t="s">
        <v>759</v>
      </c>
      <c r="E701" t="s">
        <v>13</v>
      </c>
      <c r="F701">
        <v>108.5</v>
      </c>
      <c r="G701">
        <v>1638.32</v>
      </c>
    </row>
    <row r="702" spans="1:7" hidden="1" x14ac:dyDescent="0.3">
      <c r="A702" s="1">
        <v>45777</v>
      </c>
      <c r="B702" t="s">
        <v>377</v>
      </c>
      <c r="C702" t="s">
        <v>760</v>
      </c>
      <c r="D702" t="s">
        <v>761</v>
      </c>
      <c r="E702" t="s">
        <v>2</v>
      </c>
      <c r="F702">
        <v>243.5</v>
      </c>
      <c r="G702">
        <v>2972.46</v>
      </c>
    </row>
    <row r="703" spans="1:7" x14ac:dyDescent="0.3">
      <c r="A703" s="1">
        <v>45777</v>
      </c>
      <c r="B703" t="s">
        <v>379</v>
      </c>
      <c r="C703" t="s">
        <v>739</v>
      </c>
      <c r="D703" t="s">
        <v>519</v>
      </c>
      <c r="E703" t="s">
        <v>2</v>
      </c>
      <c r="F703">
        <v>221.75</v>
      </c>
      <c r="G703">
        <v>2816.84</v>
      </c>
    </row>
    <row r="704" spans="1:7" hidden="1" x14ac:dyDescent="0.3">
      <c r="A704" s="1">
        <v>45777</v>
      </c>
      <c r="B704" t="s">
        <v>380</v>
      </c>
      <c r="C704" t="s">
        <v>730</v>
      </c>
      <c r="D704" t="s">
        <v>731</v>
      </c>
      <c r="E704" t="s">
        <v>13</v>
      </c>
      <c r="F704">
        <v>309.25</v>
      </c>
      <c r="G704">
        <v>4070</v>
      </c>
    </row>
    <row r="705" spans="1:7" hidden="1" x14ac:dyDescent="0.3">
      <c r="A705" s="1">
        <v>45777</v>
      </c>
      <c r="B705" t="s">
        <v>381</v>
      </c>
      <c r="C705" t="s">
        <v>762</v>
      </c>
      <c r="D705" t="s">
        <v>763</v>
      </c>
      <c r="E705" t="s">
        <v>7</v>
      </c>
      <c r="F705">
        <v>265.5</v>
      </c>
      <c r="G705">
        <v>7776.15</v>
      </c>
    </row>
    <row r="706" spans="1:7" hidden="1" x14ac:dyDescent="0.3">
      <c r="A706" s="1">
        <v>45777</v>
      </c>
      <c r="B706" t="s">
        <v>383</v>
      </c>
      <c r="C706" t="s">
        <v>729</v>
      </c>
      <c r="D706" t="s">
        <v>641</v>
      </c>
      <c r="E706" t="s">
        <v>8</v>
      </c>
      <c r="F706">
        <v>263</v>
      </c>
      <c r="G706">
        <v>3650.9100000000003</v>
      </c>
    </row>
    <row r="707" spans="1:7" hidden="1" x14ac:dyDescent="0.3">
      <c r="A707" s="1">
        <v>45777</v>
      </c>
      <c r="B707" t="s">
        <v>384</v>
      </c>
      <c r="C707" t="s">
        <v>764</v>
      </c>
      <c r="D707" t="s">
        <v>581</v>
      </c>
      <c r="E707" t="s">
        <v>2</v>
      </c>
      <c r="F707">
        <v>250.5</v>
      </c>
      <c r="G707">
        <v>4147.3500000000004</v>
      </c>
    </row>
    <row r="708" spans="1:7" hidden="1" x14ac:dyDescent="0.3">
      <c r="A708" s="1">
        <v>45777</v>
      </c>
      <c r="B708" t="s">
        <v>386</v>
      </c>
      <c r="C708" t="s">
        <v>765</v>
      </c>
      <c r="D708" t="s">
        <v>766</v>
      </c>
      <c r="E708" t="s">
        <v>2</v>
      </c>
      <c r="F708">
        <v>224.5</v>
      </c>
      <c r="G708">
        <v>3489.95</v>
      </c>
    </row>
    <row r="709" spans="1:7" hidden="1" x14ac:dyDescent="0.3">
      <c r="A709" s="1">
        <v>45777</v>
      </c>
      <c r="B709" t="s">
        <v>388</v>
      </c>
      <c r="C709" t="s">
        <v>767</v>
      </c>
      <c r="D709" t="s">
        <v>768</v>
      </c>
      <c r="E709" t="s">
        <v>2</v>
      </c>
      <c r="F709">
        <v>117.5</v>
      </c>
      <c r="G709">
        <v>2060.3000000000002</v>
      </c>
    </row>
    <row r="710" spans="1:7" hidden="1" x14ac:dyDescent="0.3">
      <c r="A710" s="1">
        <v>45777</v>
      </c>
      <c r="B710" t="s">
        <v>390</v>
      </c>
      <c r="C710" t="s">
        <v>769</v>
      </c>
      <c r="D710" t="s">
        <v>770</v>
      </c>
      <c r="E710" t="s">
        <v>3</v>
      </c>
      <c r="F710">
        <v>147.75</v>
      </c>
      <c r="G710">
        <v>1882.38</v>
      </c>
    </row>
    <row r="711" spans="1:7" hidden="1" x14ac:dyDescent="0.3">
      <c r="A711" s="1">
        <v>45777</v>
      </c>
      <c r="B711" t="s">
        <v>392</v>
      </c>
      <c r="C711" t="s">
        <v>771</v>
      </c>
      <c r="D711" t="s">
        <v>498</v>
      </c>
      <c r="E711" t="s">
        <v>2</v>
      </c>
      <c r="F711">
        <v>109.5</v>
      </c>
      <c r="G711">
        <v>1203.96</v>
      </c>
    </row>
    <row r="712" spans="1:7" hidden="1" x14ac:dyDescent="0.3">
      <c r="A712" s="1">
        <v>45777</v>
      </c>
      <c r="B712" t="s">
        <v>394</v>
      </c>
      <c r="C712" t="s">
        <v>772</v>
      </c>
      <c r="D712" t="s">
        <v>773</v>
      </c>
      <c r="E712" t="s">
        <v>2</v>
      </c>
      <c r="F712">
        <v>151.75</v>
      </c>
      <c r="G712">
        <v>1790.81</v>
      </c>
    </row>
    <row r="713" spans="1:7" hidden="1" x14ac:dyDescent="0.3">
      <c r="A713" s="1">
        <v>45777</v>
      </c>
      <c r="B713" t="s">
        <v>396</v>
      </c>
      <c r="C713" t="s">
        <v>746</v>
      </c>
      <c r="D713" t="s">
        <v>747</v>
      </c>
      <c r="E713" t="s">
        <v>3</v>
      </c>
      <c r="F713">
        <v>116.25</v>
      </c>
      <c r="G713">
        <v>1504.66</v>
      </c>
    </row>
    <row r="714" spans="1:7" hidden="1" x14ac:dyDescent="0.3">
      <c r="A714" s="1">
        <v>45777</v>
      </c>
      <c r="B714" t="s">
        <v>399</v>
      </c>
      <c r="C714" t="s">
        <v>594</v>
      </c>
      <c r="D714" t="s">
        <v>446</v>
      </c>
      <c r="E714" t="s">
        <v>12</v>
      </c>
      <c r="F714">
        <v>114.5</v>
      </c>
      <c r="G714">
        <v>2357.5099999999998</v>
      </c>
    </row>
    <row r="715" spans="1:7" hidden="1" x14ac:dyDescent="0.3">
      <c r="A715" s="1">
        <v>45777</v>
      </c>
      <c r="B715" t="s">
        <v>401</v>
      </c>
      <c r="C715" t="s">
        <v>732</v>
      </c>
      <c r="D715" t="s">
        <v>733</v>
      </c>
      <c r="E715" t="s">
        <v>5</v>
      </c>
      <c r="F715">
        <v>69.5</v>
      </c>
      <c r="G715">
        <v>1029.93</v>
      </c>
    </row>
    <row r="716" spans="1:7" hidden="1" x14ac:dyDescent="0.3">
      <c r="A716" s="1">
        <v>45777</v>
      </c>
      <c r="B716" t="s">
        <v>402</v>
      </c>
      <c r="C716" t="s">
        <v>734</v>
      </c>
      <c r="D716" t="s">
        <v>440</v>
      </c>
      <c r="E716" t="s">
        <v>5</v>
      </c>
      <c r="F716">
        <v>131.5</v>
      </c>
      <c r="G716">
        <v>1580.22</v>
      </c>
    </row>
    <row r="717" spans="1:7" hidden="1" x14ac:dyDescent="0.3">
      <c r="A717" s="1">
        <v>45777</v>
      </c>
      <c r="B717" t="s">
        <v>337</v>
      </c>
      <c r="C717" t="s">
        <v>727</v>
      </c>
      <c r="D717" t="s">
        <v>728</v>
      </c>
      <c r="E717" t="s">
        <v>5</v>
      </c>
      <c r="F717">
        <v>0</v>
      </c>
      <c r="G717">
        <v>566.08000000000004</v>
      </c>
    </row>
    <row r="718" spans="1:7" hidden="1" x14ac:dyDescent="0.3">
      <c r="A718" s="1">
        <v>45777</v>
      </c>
      <c r="B718" t="s">
        <v>339</v>
      </c>
      <c r="C718" t="s">
        <v>729</v>
      </c>
      <c r="D718" t="s">
        <v>641</v>
      </c>
      <c r="E718" t="s">
        <v>8</v>
      </c>
      <c r="F718">
        <v>0</v>
      </c>
      <c r="G718">
        <v>1041.02</v>
      </c>
    </row>
    <row r="719" spans="1:7" hidden="1" x14ac:dyDescent="0.3">
      <c r="A719" s="1">
        <v>45777</v>
      </c>
      <c r="B719" t="s">
        <v>341</v>
      </c>
      <c r="C719" t="s">
        <v>730</v>
      </c>
      <c r="D719" t="s">
        <v>731</v>
      </c>
      <c r="E719" t="s">
        <v>13</v>
      </c>
      <c r="F719">
        <v>0</v>
      </c>
      <c r="G719">
        <v>1338.19</v>
      </c>
    </row>
    <row r="720" spans="1:7" hidden="1" x14ac:dyDescent="0.3">
      <c r="A720" s="1">
        <v>45777</v>
      </c>
      <c r="B720" t="s">
        <v>343</v>
      </c>
      <c r="C720" t="s">
        <v>726</v>
      </c>
      <c r="D720" t="s">
        <v>551</v>
      </c>
      <c r="E720" t="s">
        <v>2</v>
      </c>
      <c r="F720">
        <v>0</v>
      </c>
      <c r="G720">
        <v>11.58</v>
      </c>
    </row>
    <row r="721" spans="1:7" hidden="1" x14ac:dyDescent="0.3">
      <c r="A721" s="1">
        <v>45777</v>
      </c>
      <c r="B721" t="s">
        <v>344</v>
      </c>
      <c r="C721" t="s">
        <v>732</v>
      </c>
      <c r="D721" t="s">
        <v>733</v>
      </c>
      <c r="E721" t="s">
        <v>5</v>
      </c>
      <c r="F721">
        <v>0</v>
      </c>
      <c r="G721">
        <v>1548.24</v>
      </c>
    </row>
    <row r="722" spans="1:7" hidden="1" x14ac:dyDescent="0.3">
      <c r="A722" s="1">
        <v>45777</v>
      </c>
      <c r="B722" t="s">
        <v>346</v>
      </c>
      <c r="C722" t="s">
        <v>734</v>
      </c>
      <c r="D722" t="s">
        <v>440</v>
      </c>
      <c r="E722" t="s">
        <v>5</v>
      </c>
      <c r="F722">
        <v>0</v>
      </c>
      <c r="G722">
        <v>1548.24</v>
      </c>
    </row>
    <row r="723" spans="1:7" hidden="1" x14ac:dyDescent="0.3">
      <c r="A723" s="1">
        <v>45777</v>
      </c>
      <c r="B723" t="s">
        <v>426</v>
      </c>
      <c r="C723" t="s">
        <v>735</v>
      </c>
      <c r="D723" t="s">
        <v>736</v>
      </c>
      <c r="E723" t="s">
        <v>5</v>
      </c>
      <c r="F723">
        <v>0</v>
      </c>
      <c r="G723">
        <v>0</v>
      </c>
    </row>
    <row r="724" spans="1:7" hidden="1" x14ac:dyDescent="0.3">
      <c r="A724" s="1">
        <v>45777</v>
      </c>
      <c r="B724" t="s">
        <v>348</v>
      </c>
      <c r="C724" t="s">
        <v>720</v>
      </c>
      <c r="D724" t="s">
        <v>721</v>
      </c>
      <c r="E724" t="s">
        <v>6</v>
      </c>
      <c r="F724">
        <v>0</v>
      </c>
      <c r="G724">
        <v>23.91</v>
      </c>
    </row>
    <row r="725" spans="1:7" hidden="1" x14ac:dyDescent="0.3">
      <c r="A725" s="1">
        <v>45777</v>
      </c>
      <c r="B725" t="s">
        <v>349</v>
      </c>
      <c r="C725" t="s">
        <v>737</v>
      </c>
      <c r="D725" t="s">
        <v>738</v>
      </c>
      <c r="E725" t="s">
        <v>5</v>
      </c>
      <c r="F725">
        <v>0</v>
      </c>
      <c r="G725">
        <v>931.52</v>
      </c>
    </row>
    <row r="726" spans="1:7" x14ac:dyDescent="0.3">
      <c r="A726" s="1">
        <v>45777</v>
      </c>
      <c r="B726" t="s">
        <v>351</v>
      </c>
      <c r="C726" t="s">
        <v>739</v>
      </c>
      <c r="D726" t="s">
        <v>519</v>
      </c>
      <c r="E726" t="s">
        <v>2</v>
      </c>
      <c r="F726">
        <v>0</v>
      </c>
      <c r="G726">
        <v>27.02</v>
      </c>
    </row>
    <row r="727" spans="1:7" hidden="1" x14ac:dyDescent="0.3">
      <c r="A727" s="1">
        <v>45777</v>
      </c>
      <c r="B727" t="s">
        <v>353</v>
      </c>
      <c r="C727" t="s">
        <v>740</v>
      </c>
      <c r="D727" t="s">
        <v>741</v>
      </c>
      <c r="E727" t="s">
        <v>5</v>
      </c>
      <c r="F727">
        <v>0</v>
      </c>
      <c r="G727">
        <v>1914.32</v>
      </c>
    </row>
    <row r="728" spans="1:7" hidden="1" x14ac:dyDescent="0.3">
      <c r="A728" s="1">
        <v>45777</v>
      </c>
      <c r="B728" t="s">
        <v>355</v>
      </c>
      <c r="C728" t="s">
        <v>742</v>
      </c>
      <c r="D728" t="s">
        <v>743</v>
      </c>
      <c r="E728" t="s">
        <v>5</v>
      </c>
      <c r="F728">
        <v>0</v>
      </c>
      <c r="G728">
        <v>1914.32</v>
      </c>
    </row>
    <row r="729" spans="1:7" hidden="1" x14ac:dyDescent="0.3">
      <c r="A729" s="1">
        <v>45777</v>
      </c>
      <c r="B729" t="s">
        <v>357</v>
      </c>
      <c r="C729" t="s">
        <v>744</v>
      </c>
      <c r="D729" t="s">
        <v>745</v>
      </c>
      <c r="E729" t="s">
        <v>3</v>
      </c>
      <c r="F729">
        <v>0</v>
      </c>
      <c r="G729">
        <v>47.6</v>
      </c>
    </row>
    <row r="730" spans="1:7" hidden="1" x14ac:dyDescent="0.3">
      <c r="A730" s="1">
        <v>45777</v>
      </c>
      <c r="B730" t="s">
        <v>359</v>
      </c>
      <c r="C730" t="s">
        <v>746</v>
      </c>
      <c r="D730" t="s">
        <v>747</v>
      </c>
      <c r="E730" t="s">
        <v>3</v>
      </c>
      <c r="F730">
        <v>0</v>
      </c>
      <c r="G730">
        <v>34.1</v>
      </c>
    </row>
    <row r="731" spans="1:7" hidden="1" x14ac:dyDescent="0.3">
      <c r="A731" s="1">
        <v>45777</v>
      </c>
      <c r="B731" t="s">
        <v>361</v>
      </c>
      <c r="C731" t="s">
        <v>748</v>
      </c>
      <c r="D731" t="s">
        <v>749</v>
      </c>
      <c r="E731" t="s">
        <v>5</v>
      </c>
      <c r="F731">
        <v>0</v>
      </c>
      <c r="G731">
        <v>249.01</v>
      </c>
    </row>
    <row r="732" spans="1:7" hidden="1" x14ac:dyDescent="0.3">
      <c r="A732" s="1">
        <v>45777</v>
      </c>
      <c r="B732" t="s">
        <v>363</v>
      </c>
      <c r="C732" t="s">
        <v>750</v>
      </c>
      <c r="D732" t="s">
        <v>446</v>
      </c>
      <c r="E732" t="s">
        <v>11</v>
      </c>
      <c r="F732">
        <v>0</v>
      </c>
      <c r="G732">
        <v>1415.45</v>
      </c>
    </row>
    <row r="733" spans="1:7" hidden="1" x14ac:dyDescent="0.3">
      <c r="A733" s="1">
        <v>45777</v>
      </c>
      <c r="B733" t="s">
        <v>403</v>
      </c>
      <c r="C733" t="s">
        <v>459</v>
      </c>
      <c r="D733" t="s">
        <v>776</v>
      </c>
      <c r="E733" t="s">
        <v>3</v>
      </c>
      <c r="F733">
        <v>0</v>
      </c>
      <c r="G733">
        <v>15.44</v>
      </c>
    </row>
    <row r="734" spans="1:7" hidden="1" x14ac:dyDescent="0.3">
      <c r="A734" s="1">
        <v>45777</v>
      </c>
      <c r="B734" t="s">
        <v>397</v>
      </c>
      <c r="C734" t="s">
        <v>774</v>
      </c>
      <c r="D734" t="s">
        <v>775</v>
      </c>
      <c r="E734" t="s">
        <v>12</v>
      </c>
      <c r="F734">
        <v>0</v>
      </c>
      <c r="G734">
        <v>563.29</v>
      </c>
    </row>
    <row r="735" spans="1:7" hidden="1" x14ac:dyDescent="0.3">
      <c r="A735" s="1">
        <v>45777</v>
      </c>
      <c r="B735" t="s">
        <v>405</v>
      </c>
      <c r="C735" t="s">
        <v>777</v>
      </c>
      <c r="D735" t="s">
        <v>498</v>
      </c>
      <c r="E735" t="s">
        <v>5</v>
      </c>
      <c r="F735">
        <v>0</v>
      </c>
      <c r="G735">
        <v>1012.87</v>
      </c>
    </row>
    <row r="736" spans="1:7" hidden="1" x14ac:dyDescent="0.3">
      <c r="A736" s="1">
        <v>45777</v>
      </c>
      <c r="B736" t="s">
        <v>407</v>
      </c>
      <c r="C736" t="s">
        <v>778</v>
      </c>
      <c r="D736" t="s">
        <v>779</v>
      </c>
      <c r="E736" t="s">
        <v>5</v>
      </c>
      <c r="F736">
        <v>0</v>
      </c>
      <c r="G736">
        <v>124.5</v>
      </c>
    </row>
    <row r="737" spans="1:7" hidden="1" x14ac:dyDescent="0.3">
      <c r="A737" s="1">
        <v>45777</v>
      </c>
      <c r="B737" t="s">
        <v>409</v>
      </c>
      <c r="C737" t="s">
        <v>780</v>
      </c>
      <c r="D737" t="s">
        <v>781</v>
      </c>
      <c r="E737" t="s">
        <v>5</v>
      </c>
      <c r="F737">
        <v>0</v>
      </c>
      <c r="G737">
        <v>124.5</v>
      </c>
    </row>
    <row r="738" spans="1:7" hidden="1" x14ac:dyDescent="0.3">
      <c r="A738" s="1">
        <v>45777</v>
      </c>
      <c r="B738" t="s">
        <v>411</v>
      </c>
      <c r="C738" t="s">
        <v>782</v>
      </c>
      <c r="D738" t="s">
        <v>783</v>
      </c>
      <c r="E738" t="s">
        <v>5</v>
      </c>
      <c r="F738">
        <v>0</v>
      </c>
      <c r="G738">
        <v>687.87</v>
      </c>
    </row>
    <row r="739" spans="1:7" hidden="1" x14ac:dyDescent="0.3">
      <c r="A739" s="1">
        <v>45777</v>
      </c>
      <c r="B739" t="s">
        <v>413</v>
      </c>
      <c r="C739" t="s">
        <v>784</v>
      </c>
      <c r="D739" t="s">
        <v>785</v>
      </c>
      <c r="E739" t="s">
        <v>5</v>
      </c>
      <c r="F739">
        <v>0</v>
      </c>
      <c r="G739">
        <v>373.5</v>
      </c>
    </row>
    <row r="740" spans="1:7" hidden="1" x14ac:dyDescent="0.3">
      <c r="A740" s="1">
        <v>45777</v>
      </c>
      <c r="B740" t="s">
        <v>415</v>
      </c>
      <c r="C740" t="s">
        <v>786</v>
      </c>
      <c r="D740" t="s">
        <v>538</v>
      </c>
      <c r="E740" t="s">
        <v>5</v>
      </c>
      <c r="F740">
        <v>0</v>
      </c>
      <c r="G740">
        <v>327.22000000000003</v>
      </c>
    </row>
    <row r="741" spans="1:7" hidden="1" x14ac:dyDescent="0.3">
      <c r="A741" s="1">
        <v>45777</v>
      </c>
      <c r="B741" t="s">
        <v>365</v>
      </c>
      <c r="C741" t="s">
        <v>459</v>
      </c>
      <c r="D741" t="s">
        <v>460</v>
      </c>
      <c r="E741" t="s">
        <v>11</v>
      </c>
      <c r="F741">
        <v>0</v>
      </c>
      <c r="G741">
        <v>5800</v>
      </c>
    </row>
    <row r="742" spans="1:7" hidden="1" x14ac:dyDescent="0.3">
      <c r="A742" s="1">
        <v>45808</v>
      </c>
      <c r="B742" t="s">
        <v>29</v>
      </c>
      <c r="C742" t="s">
        <v>437</v>
      </c>
      <c r="D742" t="s">
        <v>438</v>
      </c>
      <c r="E742" t="s">
        <v>2</v>
      </c>
      <c r="F742">
        <v>746</v>
      </c>
      <c r="G742">
        <v>10166.470000000001</v>
      </c>
    </row>
    <row r="743" spans="1:7" hidden="1" x14ac:dyDescent="0.3">
      <c r="A743" s="1">
        <v>45808</v>
      </c>
      <c r="B743" t="s">
        <v>41</v>
      </c>
      <c r="C743" t="s">
        <v>449</v>
      </c>
      <c r="D743" t="s">
        <v>450</v>
      </c>
      <c r="E743" t="s">
        <v>15</v>
      </c>
      <c r="F743">
        <v>692.75</v>
      </c>
      <c r="G743">
        <v>15980.18</v>
      </c>
    </row>
    <row r="744" spans="1:7" hidden="1" x14ac:dyDescent="0.3">
      <c r="A744" s="1">
        <v>45808</v>
      </c>
      <c r="B744" t="s">
        <v>31</v>
      </c>
      <c r="C744" t="s">
        <v>439</v>
      </c>
      <c r="D744" t="s">
        <v>440</v>
      </c>
      <c r="E744" t="s">
        <v>7</v>
      </c>
      <c r="F744">
        <v>161.75</v>
      </c>
      <c r="G744">
        <v>6880.3</v>
      </c>
    </row>
    <row r="745" spans="1:7" hidden="1" x14ac:dyDescent="0.3">
      <c r="A745" s="1">
        <v>45808</v>
      </c>
      <c r="B745" t="s">
        <v>43</v>
      </c>
      <c r="C745" t="s">
        <v>451</v>
      </c>
      <c r="D745" t="s">
        <v>452</v>
      </c>
      <c r="E745" t="s">
        <v>3</v>
      </c>
      <c r="F745">
        <v>719.75</v>
      </c>
      <c r="G745">
        <v>15942.58</v>
      </c>
    </row>
    <row r="746" spans="1:7" hidden="1" x14ac:dyDescent="0.3">
      <c r="A746" s="1">
        <v>45808</v>
      </c>
      <c r="B746" t="s">
        <v>51</v>
      </c>
      <c r="C746" t="s">
        <v>459</v>
      </c>
      <c r="D746" t="s">
        <v>460</v>
      </c>
      <c r="E746" t="s">
        <v>13</v>
      </c>
      <c r="F746">
        <v>606.5</v>
      </c>
      <c r="G746">
        <v>42738.919999999991</v>
      </c>
    </row>
    <row r="747" spans="1:7" hidden="1" x14ac:dyDescent="0.3">
      <c r="A747" s="1">
        <v>45808</v>
      </c>
      <c r="B747" t="s">
        <v>47</v>
      </c>
      <c r="C747" t="s">
        <v>455</v>
      </c>
      <c r="D747" t="s">
        <v>456</v>
      </c>
      <c r="E747" t="s">
        <v>4</v>
      </c>
      <c r="F747">
        <v>622.25</v>
      </c>
      <c r="G747">
        <v>12098.259999999997</v>
      </c>
    </row>
    <row r="748" spans="1:7" hidden="1" x14ac:dyDescent="0.3">
      <c r="A748" s="1">
        <v>45808</v>
      </c>
      <c r="B748" t="s">
        <v>55</v>
      </c>
      <c r="C748" t="s">
        <v>463</v>
      </c>
      <c r="D748" t="s">
        <v>464</v>
      </c>
      <c r="E748" t="s">
        <v>12</v>
      </c>
      <c r="F748">
        <v>660.75</v>
      </c>
      <c r="G748">
        <v>17426.440000000002</v>
      </c>
    </row>
    <row r="749" spans="1:7" hidden="1" x14ac:dyDescent="0.3">
      <c r="A749" s="1">
        <v>45808</v>
      </c>
      <c r="B749" t="s">
        <v>45</v>
      </c>
      <c r="C749" t="s">
        <v>453</v>
      </c>
      <c r="D749" t="s">
        <v>454</v>
      </c>
      <c r="E749" t="s">
        <v>3</v>
      </c>
      <c r="F749">
        <v>737.75</v>
      </c>
      <c r="G749">
        <v>14389.919999999995</v>
      </c>
    </row>
    <row r="750" spans="1:7" hidden="1" x14ac:dyDescent="0.3">
      <c r="A750" s="1">
        <v>45808</v>
      </c>
      <c r="B750" t="s">
        <v>53</v>
      </c>
      <c r="C750" t="s">
        <v>461</v>
      </c>
      <c r="D750" t="s">
        <v>462</v>
      </c>
      <c r="E750" t="s">
        <v>13</v>
      </c>
      <c r="F750">
        <v>239</v>
      </c>
      <c r="G750">
        <v>4643.78</v>
      </c>
    </row>
    <row r="751" spans="1:7" hidden="1" x14ac:dyDescent="0.3">
      <c r="A751" s="1">
        <v>45808</v>
      </c>
      <c r="B751" t="s">
        <v>57</v>
      </c>
      <c r="C751" t="s">
        <v>465</v>
      </c>
      <c r="D751" t="s">
        <v>466</v>
      </c>
      <c r="E751" t="s">
        <v>14</v>
      </c>
      <c r="F751">
        <v>767</v>
      </c>
      <c r="G751">
        <v>37711.319999999992</v>
      </c>
    </row>
    <row r="752" spans="1:7" hidden="1" x14ac:dyDescent="0.3">
      <c r="A752" s="1">
        <v>45808</v>
      </c>
      <c r="B752" t="s">
        <v>33</v>
      </c>
      <c r="C752" t="s">
        <v>441</v>
      </c>
      <c r="D752" t="s">
        <v>442</v>
      </c>
      <c r="E752" t="s">
        <v>2</v>
      </c>
      <c r="F752">
        <v>337</v>
      </c>
      <c r="G752">
        <v>7897.06</v>
      </c>
    </row>
    <row r="753" spans="1:7" hidden="1" x14ac:dyDescent="0.3">
      <c r="A753" s="1">
        <v>45808</v>
      </c>
      <c r="B753" t="s">
        <v>35</v>
      </c>
      <c r="C753" t="s">
        <v>443</v>
      </c>
      <c r="D753" t="s">
        <v>444</v>
      </c>
      <c r="E753" t="s">
        <v>2</v>
      </c>
      <c r="F753">
        <v>737.5</v>
      </c>
      <c r="G753">
        <v>14642.890000000001</v>
      </c>
    </row>
    <row r="754" spans="1:7" hidden="1" x14ac:dyDescent="0.3">
      <c r="A754" s="1">
        <v>45808</v>
      </c>
      <c r="B754" t="s">
        <v>37</v>
      </c>
      <c r="C754" t="s">
        <v>445</v>
      </c>
      <c r="D754" t="s">
        <v>446</v>
      </c>
      <c r="E754" t="s">
        <v>2</v>
      </c>
      <c r="F754">
        <v>728.25</v>
      </c>
      <c r="G754">
        <v>13069.460000000003</v>
      </c>
    </row>
    <row r="755" spans="1:7" hidden="1" x14ac:dyDescent="0.3">
      <c r="A755" s="1">
        <v>45808</v>
      </c>
      <c r="B755" t="s">
        <v>39</v>
      </c>
      <c r="C755" t="s">
        <v>447</v>
      </c>
      <c r="D755" t="s">
        <v>448</v>
      </c>
      <c r="E755" t="s">
        <v>2</v>
      </c>
      <c r="F755">
        <v>583.5</v>
      </c>
      <c r="G755">
        <v>13107.259999999998</v>
      </c>
    </row>
    <row r="756" spans="1:7" hidden="1" x14ac:dyDescent="0.3">
      <c r="A756" s="1">
        <v>45808</v>
      </c>
      <c r="B756" t="s">
        <v>49</v>
      </c>
      <c r="C756" t="s">
        <v>457</v>
      </c>
      <c r="D756" t="s">
        <v>458</v>
      </c>
      <c r="E756" t="s">
        <v>4</v>
      </c>
      <c r="F756">
        <v>680.5</v>
      </c>
      <c r="G756">
        <v>10929.739999999998</v>
      </c>
    </row>
    <row r="757" spans="1:7" hidden="1" x14ac:dyDescent="0.3">
      <c r="A757" s="1">
        <v>45808</v>
      </c>
      <c r="B757" t="s">
        <v>59</v>
      </c>
      <c r="C757" t="s">
        <v>467</v>
      </c>
      <c r="D757" t="s">
        <v>468</v>
      </c>
      <c r="E757" t="s">
        <v>13</v>
      </c>
      <c r="F757">
        <v>0</v>
      </c>
      <c r="G757">
        <v>2674.61</v>
      </c>
    </row>
    <row r="758" spans="1:7" hidden="1" x14ac:dyDescent="0.3">
      <c r="A758" s="1">
        <v>45808</v>
      </c>
      <c r="B758" t="s">
        <v>61</v>
      </c>
      <c r="C758" t="s">
        <v>469</v>
      </c>
      <c r="D758" t="s">
        <v>470</v>
      </c>
      <c r="E758" t="s">
        <v>3</v>
      </c>
      <c r="F758">
        <v>608</v>
      </c>
      <c r="G758">
        <v>8412.9499999999989</v>
      </c>
    </row>
    <row r="759" spans="1:7" hidden="1" x14ac:dyDescent="0.3">
      <c r="A759" s="1">
        <v>45808</v>
      </c>
      <c r="B759" t="s">
        <v>63</v>
      </c>
      <c r="C759" t="s">
        <v>471</v>
      </c>
      <c r="D759" t="s">
        <v>472</v>
      </c>
      <c r="E759" t="s">
        <v>2</v>
      </c>
      <c r="F759">
        <v>745.25</v>
      </c>
      <c r="G759">
        <v>10576.66</v>
      </c>
    </row>
    <row r="760" spans="1:7" hidden="1" x14ac:dyDescent="0.3">
      <c r="A760" s="1">
        <v>45808</v>
      </c>
      <c r="B760" t="s">
        <v>65</v>
      </c>
      <c r="C760" t="s">
        <v>473</v>
      </c>
      <c r="D760" t="s">
        <v>474</v>
      </c>
      <c r="E760" t="s">
        <v>2</v>
      </c>
      <c r="F760">
        <v>718.75</v>
      </c>
      <c r="G760">
        <v>8898.3900000000012</v>
      </c>
    </row>
    <row r="761" spans="1:7" hidden="1" x14ac:dyDescent="0.3">
      <c r="A761" s="1">
        <v>45808</v>
      </c>
      <c r="B761" t="s">
        <v>67</v>
      </c>
      <c r="C761" t="s">
        <v>475</v>
      </c>
      <c r="D761" t="s">
        <v>476</v>
      </c>
      <c r="E761" t="s">
        <v>2</v>
      </c>
      <c r="F761">
        <v>208.25</v>
      </c>
      <c r="G761">
        <v>4142.1499999999996</v>
      </c>
    </row>
    <row r="762" spans="1:7" hidden="1" x14ac:dyDescent="0.3">
      <c r="A762" s="1">
        <v>45808</v>
      </c>
      <c r="B762" t="s">
        <v>69</v>
      </c>
      <c r="C762" t="s">
        <v>477</v>
      </c>
      <c r="D762" t="s">
        <v>478</v>
      </c>
      <c r="E762" t="s">
        <v>2</v>
      </c>
      <c r="F762">
        <v>752.25</v>
      </c>
      <c r="G762">
        <v>13246.09</v>
      </c>
    </row>
    <row r="763" spans="1:7" hidden="1" x14ac:dyDescent="0.3">
      <c r="A763" s="1">
        <v>45808</v>
      </c>
      <c r="B763" t="s">
        <v>71</v>
      </c>
      <c r="C763" t="s">
        <v>479</v>
      </c>
      <c r="D763" t="s">
        <v>480</v>
      </c>
      <c r="E763" t="s">
        <v>2</v>
      </c>
      <c r="F763">
        <v>137</v>
      </c>
      <c r="G763">
        <v>2268.6799999999998</v>
      </c>
    </row>
    <row r="764" spans="1:7" hidden="1" x14ac:dyDescent="0.3">
      <c r="A764" s="1">
        <v>45808</v>
      </c>
      <c r="B764" t="s">
        <v>73</v>
      </c>
      <c r="C764" t="s">
        <v>481</v>
      </c>
      <c r="D764" t="s">
        <v>482</v>
      </c>
      <c r="E764" t="s">
        <v>2</v>
      </c>
      <c r="F764">
        <v>718.5</v>
      </c>
      <c r="G764">
        <v>12185.900000000001</v>
      </c>
    </row>
    <row r="765" spans="1:7" hidden="1" x14ac:dyDescent="0.3">
      <c r="A765" s="1">
        <v>45808</v>
      </c>
      <c r="B765" t="s">
        <v>75</v>
      </c>
      <c r="C765" t="s">
        <v>483</v>
      </c>
      <c r="D765" t="s">
        <v>484</v>
      </c>
      <c r="E765" t="s">
        <v>2</v>
      </c>
      <c r="F765">
        <v>301</v>
      </c>
      <c r="G765">
        <v>5145.0600000000013</v>
      </c>
    </row>
    <row r="766" spans="1:7" hidden="1" x14ac:dyDescent="0.3">
      <c r="A766" s="1">
        <v>45808</v>
      </c>
      <c r="B766" t="s">
        <v>77</v>
      </c>
      <c r="C766" t="s">
        <v>443</v>
      </c>
      <c r="D766" t="s">
        <v>485</v>
      </c>
      <c r="E766" t="s">
        <v>15</v>
      </c>
      <c r="F766">
        <v>632.75</v>
      </c>
      <c r="G766">
        <v>8805.5</v>
      </c>
    </row>
    <row r="767" spans="1:7" hidden="1" x14ac:dyDescent="0.3">
      <c r="A767" s="1">
        <v>45808</v>
      </c>
      <c r="B767" t="s">
        <v>79</v>
      </c>
      <c r="C767" t="s">
        <v>486</v>
      </c>
      <c r="D767" t="s">
        <v>487</v>
      </c>
      <c r="E767" t="s">
        <v>2</v>
      </c>
      <c r="F767">
        <v>359.5</v>
      </c>
      <c r="G767">
        <v>10074.480000000001</v>
      </c>
    </row>
    <row r="768" spans="1:7" hidden="1" x14ac:dyDescent="0.3">
      <c r="A768" s="1">
        <v>45808</v>
      </c>
      <c r="B768" t="s">
        <v>81</v>
      </c>
      <c r="C768" t="s">
        <v>488</v>
      </c>
      <c r="D768" t="s">
        <v>489</v>
      </c>
      <c r="E768" t="s">
        <v>2</v>
      </c>
      <c r="F768">
        <v>641.5</v>
      </c>
      <c r="G768">
        <v>16188.539999999997</v>
      </c>
    </row>
    <row r="769" spans="1:7" hidden="1" x14ac:dyDescent="0.3">
      <c r="A769" s="1">
        <v>45808</v>
      </c>
      <c r="B769" t="s">
        <v>83</v>
      </c>
      <c r="C769" t="s">
        <v>490</v>
      </c>
      <c r="D769" t="s">
        <v>440</v>
      </c>
      <c r="E769" t="s">
        <v>12</v>
      </c>
      <c r="F769">
        <v>767</v>
      </c>
      <c r="G769">
        <v>27177.620000000003</v>
      </c>
    </row>
    <row r="770" spans="1:7" hidden="1" x14ac:dyDescent="0.3">
      <c r="A770" s="1">
        <v>45808</v>
      </c>
      <c r="B770" t="s">
        <v>85</v>
      </c>
      <c r="C770" t="s">
        <v>491</v>
      </c>
      <c r="D770" t="s">
        <v>492</v>
      </c>
      <c r="E770" t="s">
        <v>2</v>
      </c>
      <c r="F770">
        <v>759</v>
      </c>
      <c r="G770">
        <v>12397.13</v>
      </c>
    </row>
    <row r="771" spans="1:7" hidden="1" x14ac:dyDescent="0.3">
      <c r="A771" s="1">
        <v>45808</v>
      </c>
      <c r="B771" t="s">
        <v>87</v>
      </c>
      <c r="C771" t="s">
        <v>493</v>
      </c>
      <c r="D771" t="s">
        <v>494</v>
      </c>
      <c r="E771" t="s">
        <v>12</v>
      </c>
      <c r="F771">
        <v>682.75</v>
      </c>
      <c r="G771">
        <v>16144.999999999998</v>
      </c>
    </row>
    <row r="772" spans="1:7" hidden="1" x14ac:dyDescent="0.3">
      <c r="A772" s="1">
        <v>45808</v>
      </c>
      <c r="B772" t="s">
        <v>89</v>
      </c>
      <c r="C772" t="s">
        <v>495</v>
      </c>
      <c r="D772" t="s">
        <v>496</v>
      </c>
      <c r="E772" t="s">
        <v>13</v>
      </c>
      <c r="F772">
        <v>668.5</v>
      </c>
      <c r="G772">
        <v>31311.1</v>
      </c>
    </row>
    <row r="773" spans="1:7" hidden="1" x14ac:dyDescent="0.3">
      <c r="A773" s="1">
        <v>45808</v>
      </c>
      <c r="B773" t="s">
        <v>91</v>
      </c>
      <c r="C773" t="s">
        <v>497</v>
      </c>
      <c r="D773" t="s">
        <v>498</v>
      </c>
      <c r="E773" t="s">
        <v>5</v>
      </c>
      <c r="F773">
        <v>700.75</v>
      </c>
      <c r="G773">
        <v>8518.0600000000031</v>
      </c>
    </row>
    <row r="774" spans="1:7" hidden="1" x14ac:dyDescent="0.3">
      <c r="A774" s="1">
        <v>45808</v>
      </c>
      <c r="B774" t="s">
        <v>93</v>
      </c>
      <c r="C774" t="s">
        <v>499</v>
      </c>
      <c r="D774" t="s">
        <v>500</v>
      </c>
      <c r="E774" t="s">
        <v>2</v>
      </c>
      <c r="F774">
        <v>490.5</v>
      </c>
      <c r="G774">
        <v>7297.0199999999986</v>
      </c>
    </row>
    <row r="775" spans="1:7" hidden="1" x14ac:dyDescent="0.3">
      <c r="A775" s="1">
        <v>45808</v>
      </c>
      <c r="B775" t="s">
        <v>95</v>
      </c>
      <c r="C775" t="s">
        <v>501</v>
      </c>
      <c r="D775" t="s">
        <v>502</v>
      </c>
      <c r="E775" t="s">
        <v>3</v>
      </c>
      <c r="F775">
        <v>731</v>
      </c>
      <c r="G775">
        <v>10599.4</v>
      </c>
    </row>
    <row r="776" spans="1:7" hidden="1" x14ac:dyDescent="0.3">
      <c r="A776" s="1">
        <v>45808</v>
      </c>
      <c r="B776" t="s">
        <v>97</v>
      </c>
      <c r="C776" t="s">
        <v>503</v>
      </c>
      <c r="D776" t="s">
        <v>504</v>
      </c>
      <c r="E776" t="s">
        <v>2</v>
      </c>
      <c r="F776">
        <v>700</v>
      </c>
      <c r="G776">
        <v>9454.0399999999991</v>
      </c>
    </row>
    <row r="777" spans="1:7" hidden="1" x14ac:dyDescent="0.3">
      <c r="A777" s="1">
        <v>45808</v>
      </c>
      <c r="B777" t="s">
        <v>99</v>
      </c>
      <c r="C777" t="s">
        <v>505</v>
      </c>
      <c r="D777" t="s">
        <v>506</v>
      </c>
      <c r="E777" t="s">
        <v>2</v>
      </c>
      <c r="F777">
        <v>464.5</v>
      </c>
      <c r="G777">
        <v>8237.9700000000012</v>
      </c>
    </row>
    <row r="778" spans="1:7" hidden="1" x14ac:dyDescent="0.3">
      <c r="A778" s="1">
        <v>45808</v>
      </c>
      <c r="B778" t="s">
        <v>101</v>
      </c>
      <c r="C778" t="s">
        <v>507</v>
      </c>
      <c r="D778" t="s">
        <v>508</v>
      </c>
      <c r="E778" t="s">
        <v>13</v>
      </c>
      <c r="F778">
        <v>457.25</v>
      </c>
      <c r="G778">
        <v>6902.45</v>
      </c>
    </row>
    <row r="779" spans="1:7" hidden="1" x14ac:dyDescent="0.3">
      <c r="A779" s="1">
        <v>45808</v>
      </c>
      <c r="B779" t="s">
        <v>103</v>
      </c>
      <c r="C779" t="s">
        <v>509</v>
      </c>
      <c r="D779" t="s">
        <v>510</v>
      </c>
      <c r="E779" t="s">
        <v>3</v>
      </c>
      <c r="F779">
        <v>341.75</v>
      </c>
      <c r="G779">
        <v>4962.0200000000004</v>
      </c>
    </row>
    <row r="780" spans="1:7" hidden="1" x14ac:dyDescent="0.3">
      <c r="A780" s="1">
        <v>45808</v>
      </c>
      <c r="B780" t="s">
        <v>105</v>
      </c>
      <c r="C780" t="s">
        <v>511</v>
      </c>
      <c r="D780" t="s">
        <v>512</v>
      </c>
      <c r="E780" t="s">
        <v>2</v>
      </c>
      <c r="F780">
        <v>691.75</v>
      </c>
      <c r="G780">
        <v>8993.8499999999985</v>
      </c>
    </row>
    <row r="781" spans="1:7" hidden="1" x14ac:dyDescent="0.3">
      <c r="A781" s="1">
        <v>45808</v>
      </c>
      <c r="B781" t="s">
        <v>107</v>
      </c>
      <c r="C781" t="s">
        <v>513</v>
      </c>
      <c r="D781" t="s">
        <v>514</v>
      </c>
      <c r="E781" t="s">
        <v>2</v>
      </c>
      <c r="F781">
        <v>383.5</v>
      </c>
      <c r="G781">
        <v>6333.9699999999993</v>
      </c>
    </row>
    <row r="782" spans="1:7" hidden="1" x14ac:dyDescent="0.3">
      <c r="A782" s="1">
        <v>45808</v>
      </c>
      <c r="B782" t="s">
        <v>109</v>
      </c>
      <c r="C782" t="s">
        <v>515</v>
      </c>
      <c r="D782" t="s">
        <v>516</v>
      </c>
      <c r="E782" t="s">
        <v>6</v>
      </c>
      <c r="F782">
        <v>718</v>
      </c>
      <c r="G782">
        <v>21081.69</v>
      </c>
    </row>
    <row r="783" spans="1:7" hidden="1" x14ac:dyDescent="0.3">
      <c r="A783" s="1">
        <v>45808</v>
      </c>
      <c r="B783" t="s">
        <v>111</v>
      </c>
      <c r="C783" t="s">
        <v>517</v>
      </c>
      <c r="D783" t="s">
        <v>496</v>
      </c>
      <c r="E783" t="s">
        <v>14</v>
      </c>
      <c r="F783">
        <v>752</v>
      </c>
      <c r="G783">
        <v>37499.44999999999</v>
      </c>
    </row>
    <row r="784" spans="1:7" hidden="1" x14ac:dyDescent="0.3">
      <c r="A784" s="1">
        <v>45808</v>
      </c>
      <c r="B784" t="s">
        <v>113</v>
      </c>
      <c r="C784" t="s">
        <v>518</v>
      </c>
      <c r="D784" t="s">
        <v>519</v>
      </c>
      <c r="E784" t="s">
        <v>3</v>
      </c>
      <c r="F784">
        <v>566.25</v>
      </c>
      <c r="G784">
        <v>6918.1</v>
      </c>
    </row>
    <row r="785" spans="1:7" hidden="1" x14ac:dyDescent="0.3">
      <c r="A785" s="1">
        <v>45808</v>
      </c>
      <c r="B785" t="s">
        <v>115</v>
      </c>
      <c r="C785" t="s">
        <v>520</v>
      </c>
      <c r="D785" t="s">
        <v>521</v>
      </c>
      <c r="E785" t="s">
        <v>2</v>
      </c>
      <c r="F785">
        <v>463.75</v>
      </c>
      <c r="G785">
        <v>8145.1</v>
      </c>
    </row>
    <row r="786" spans="1:7" hidden="1" x14ac:dyDescent="0.3">
      <c r="A786" s="1">
        <v>45808</v>
      </c>
      <c r="B786" t="s">
        <v>117</v>
      </c>
      <c r="C786" t="s">
        <v>522</v>
      </c>
      <c r="D786" t="s">
        <v>523</v>
      </c>
      <c r="E786" t="s">
        <v>2</v>
      </c>
      <c r="F786">
        <v>583.75</v>
      </c>
      <c r="G786">
        <v>9507.3999999999978</v>
      </c>
    </row>
    <row r="787" spans="1:7" hidden="1" x14ac:dyDescent="0.3">
      <c r="A787" s="1">
        <v>45808</v>
      </c>
      <c r="B787" t="s">
        <v>119</v>
      </c>
      <c r="C787" t="s">
        <v>524</v>
      </c>
      <c r="D787" t="s">
        <v>525</v>
      </c>
      <c r="E787" t="s">
        <v>2</v>
      </c>
      <c r="F787">
        <v>713.5</v>
      </c>
      <c r="G787">
        <v>12831.430000000004</v>
      </c>
    </row>
    <row r="788" spans="1:7" hidden="1" x14ac:dyDescent="0.3">
      <c r="A788" s="1">
        <v>45808</v>
      </c>
      <c r="B788" t="s">
        <v>121</v>
      </c>
      <c r="C788" t="s">
        <v>526</v>
      </c>
      <c r="D788" t="s">
        <v>527</v>
      </c>
      <c r="E788" t="s">
        <v>3</v>
      </c>
      <c r="F788">
        <v>682</v>
      </c>
      <c r="G788">
        <v>13172.650000000001</v>
      </c>
    </row>
    <row r="789" spans="1:7" hidden="1" x14ac:dyDescent="0.3">
      <c r="A789" s="1">
        <v>45808</v>
      </c>
      <c r="B789" t="s">
        <v>123</v>
      </c>
      <c r="C789" t="s">
        <v>528</v>
      </c>
      <c r="D789" t="s">
        <v>529</v>
      </c>
      <c r="E789" t="s">
        <v>5</v>
      </c>
      <c r="F789">
        <v>478.75</v>
      </c>
      <c r="G789">
        <v>6541.92</v>
      </c>
    </row>
    <row r="790" spans="1:7" hidden="1" x14ac:dyDescent="0.3">
      <c r="A790" s="1">
        <v>45808</v>
      </c>
      <c r="B790" t="s">
        <v>125</v>
      </c>
      <c r="C790" t="s">
        <v>530</v>
      </c>
      <c r="D790" t="s">
        <v>502</v>
      </c>
      <c r="E790" t="s">
        <v>2</v>
      </c>
      <c r="F790">
        <v>728</v>
      </c>
      <c r="G790">
        <v>14826.22</v>
      </c>
    </row>
    <row r="791" spans="1:7" hidden="1" x14ac:dyDescent="0.3">
      <c r="A791" s="1">
        <v>45808</v>
      </c>
      <c r="B791" t="s">
        <v>127</v>
      </c>
      <c r="C791" t="s">
        <v>531</v>
      </c>
      <c r="D791" t="s">
        <v>532</v>
      </c>
      <c r="E791" t="s">
        <v>2</v>
      </c>
      <c r="F791">
        <v>643.5</v>
      </c>
      <c r="G791">
        <v>11940.179999999998</v>
      </c>
    </row>
    <row r="792" spans="1:7" hidden="1" x14ac:dyDescent="0.3">
      <c r="A792" s="1">
        <v>45808</v>
      </c>
      <c r="B792" t="s">
        <v>129</v>
      </c>
      <c r="C792" t="s">
        <v>533</v>
      </c>
      <c r="D792" t="s">
        <v>534</v>
      </c>
      <c r="E792" t="s">
        <v>11</v>
      </c>
      <c r="F792">
        <v>690</v>
      </c>
      <c r="G792">
        <v>28807.770000000004</v>
      </c>
    </row>
    <row r="793" spans="1:7" hidden="1" x14ac:dyDescent="0.3">
      <c r="A793" s="1">
        <v>45808</v>
      </c>
      <c r="B793" t="s">
        <v>131</v>
      </c>
      <c r="C793" t="s">
        <v>535</v>
      </c>
      <c r="D793" t="s">
        <v>536</v>
      </c>
      <c r="E793" t="s">
        <v>2</v>
      </c>
      <c r="F793">
        <v>331.25</v>
      </c>
      <c r="G793">
        <v>7672.4500000000025</v>
      </c>
    </row>
    <row r="794" spans="1:7" hidden="1" x14ac:dyDescent="0.3">
      <c r="A794" s="1">
        <v>45808</v>
      </c>
      <c r="B794" t="s">
        <v>133</v>
      </c>
      <c r="C794" t="s">
        <v>537</v>
      </c>
      <c r="D794" t="s">
        <v>538</v>
      </c>
      <c r="E794" t="s">
        <v>2</v>
      </c>
      <c r="F794">
        <v>431.25</v>
      </c>
      <c r="G794">
        <v>9205.58</v>
      </c>
    </row>
    <row r="795" spans="1:7" hidden="1" x14ac:dyDescent="0.3">
      <c r="A795" s="1">
        <v>45808</v>
      </c>
      <c r="B795" t="s">
        <v>135</v>
      </c>
      <c r="C795" t="s">
        <v>539</v>
      </c>
      <c r="D795" t="s">
        <v>540</v>
      </c>
      <c r="E795" t="s">
        <v>3</v>
      </c>
      <c r="F795">
        <v>0</v>
      </c>
      <c r="G795">
        <v>2348.6299999999997</v>
      </c>
    </row>
    <row r="796" spans="1:7" hidden="1" x14ac:dyDescent="0.3">
      <c r="A796" s="1">
        <v>45808</v>
      </c>
      <c r="B796" t="s">
        <v>137</v>
      </c>
      <c r="C796" t="s">
        <v>541</v>
      </c>
      <c r="D796" t="s">
        <v>542</v>
      </c>
      <c r="E796" t="s">
        <v>2</v>
      </c>
      <c r="F796">
        <v>587.75</v>
      </c>
      <c r="G796">
        <v>10777.39</v>
      </c>
    </row>
    <row r="797" spans="1:7" hidden="1" x14ac:dyDescent="0.3">
      <c r="A797" s="1">
        <v>45808</v>
      </c>
      <c r="B797" t="s">
        <v>139</v>
      </c>
      <c r="C797" t="s">
        <v>543</v>
      </c>
      <c r="D797" t="s">
        <v>544</v>
      </c>
      <c r="E797" t="s">
        <v>13</v>
      </c>
      <c r="F797">
        <v>789.25</v>
      </c>
      <c r="G797">
        <v>15931.089999999998</v>
      </c>
    </row>
    <row r="798" spans="1:7" hidden="1" x14ac:dyDescent="0.3">
      <c r="A798" s="1">
        <v>45808</v>
      </c>
      <c r="B798" t="s">
        <v>141</v>
      </c>
      <c r="C798" t="s">
        <v>499</v>
      </c>
      <c r="D798" t="s">
        <v>545</v>
      </c>
      <c r="E798" t="s">
        <v>11</v>
      </c>
      <c r="F798">
        <v>321.75</v>
      </c>
      <c r="G798">
        <v>4841.2900000000009</v>
      </c>
    </row>
    <row r="799" spans="1:7" hidden="1" x14ac:dyDescent="0.3">
      <c r="A799" s="1">
        <v>45808</v>
      </c>
      <c r="B799" t="s">
        <v>143</v>
      </c>
      <c r="C799" t="s">
        <v>546</v>
      </c>
      <c r="D799" t="s">
        <v>547</v>
      </c>
      <c r="E799" t="s">
        <v>2</v>
      </c>
      <c r="F799">
        <v>559</v>
      </c>
      <c r="G799">
        <v>7198.24</v>
      </c>
    </row>
    <row r="800" spans="1:7" hidden="1" x14ac:dyDescent="0.3">
      <c r="A800" s="1">
        <v>45808</v>
      </c>
      <c r="B800" t="s">
        <v>145</v>
      </c>
      <c r="C800" t="s">
        <v>548</v>
      </c>
      <c r="D800" t="s">
        <v>549</v>
      </c>
      <c r="E800" t="s">
        <v>6</v>
      </c>
      <c r="F800">
        <v>505</v>
      </c>
      <c r="G800">
        <v>11603.98</v>
      </c>
    </row>
    <row r="801" spans="1:7" hidden="1" x14ac:dyDescent="0.3">
      <c r="A801" s="1">
        <v>45808</v>
      </c>
      <c r="B801" t="s">
        <v>147</v>
      </c>
      <c r="C801" t="s">
        <v>550</v>
      </c>
      <c r="D801" t="s">
        <v>551</v>
      </c>
      <c r="E801" t="s">
        <v>8</v>
      </c>
      <c r="F801">
        <v>685.75</v>
      </c>
      <c r="G801">
        <v>15240.06</v>
      </c>
    </row>
    <row r="802" spans="1:7" hidden="1" x14ac:dyDescent="0.3">
      <c r="A802" s="1">
        <v>45808</v>
      </c>
      <c r="B802" t="s">
        <v>149</v>
      </c>
      <c r="C802" t="s">
        <v>552</v>
      </c>
      <c r="D802" t="s">
        <v>553</v>
      </c>
      <c r="E802" t="s">
        <v>10</v>
      </c>
      <c r="F802">
        <v>0</v>
      </c>
      <c r="G802">
        <v>6.7199999999999136</v>
      </c>
    </row>
    <row r="803" spans="1:7" hidden="1" x14ac:dyDescent="0.3">
      <c r="A803" s="1">
        <v>45808</v>
      </c>
      <c r="B803" t="s">
        <v>151</v>
      </c>
      <c r="C803" t="s">
        <v>554</v>
      </c>
      <c r="D803" t="s">
        <v>555</v>
      </c>
      <c r="E803" t="s">
        <v>3</v>
      </c>
      <c r="F803">
        <v>502.75</v>
      </c>
      <c r="G803">
        <v>6660.9100000000008</v>
      </c>
    </row>
    <row r="804" spans="1:7" hidden="1" x14ac:dyDescent="0.3">
      <c r="A804" s="1">
        <v>45808</v>
      </c>
      <c r="B804" t="s">
        <v>153</v>
      </c>
      <c r="C804" t="s">
        <v>556</v>
      </c>
      <c r="D804" t="s">
        <v>557</v>
      </c>
      <c r="E804" t="s">
        <v>2</v>
      </c>
      <c r="F804">
        <v>630.75</v>
      </c>
      <c r="G804">
        <v>10328.66</v>
      </c>
    </row>
    <row r="805" spans="1:7" hidden="1" x14ac:dyDescent="0.3">
      <c r="A805" s="1">
        <v>45808</v>
      </c>
      <c r="B805" t="s">
        <v>155</v>
      </c>
      <c r="C805" t="s">
        <v>546</v>
      </c>
      <c r="D805" t="s">
        <v>558</v>
      </c>
      <c r="E805" t="s">
        <v>7</v>
      </c>
      <c r="F805">
        <v>527.75</v>
      </c>
      <c r="G805">
        <v>8404.57</v>
      </c>
    </row>
    <row r="806" spans="1:7" hidden="1" x14ac:dyDescent="0.3">
      <c r="A806" s="1">
        <v>45808</v>
      </c>
      <c r="B806" t="s">
        <v>157</v>
      </c>
      <c r="C806" t="s">
        <v>559</v>
      </c>
      <c r="D806" t="s">
        <v>560</v>
      </c>
      <c r="E806" t="s">
        <v>2</v>
      </c>
      <c r="F806">
        <v>613.5</v>
      </c>
      <c r="G806">
        <v>10651.640000000001</v>
      </c>
    </row>
    <row r="807" spans="1:7" hidden="1" x14ac:dyDescent="0.3">
      <c r="A807" s="1">
        <v>45808</v>
      </c>
      <c r="B807" t="s">
        <v>159</v>
      </c>
      <c r="C807" t="s">
        <v>561</v>
      </c>
      <c r="D807" t="s">
        <v>562</v>
      </c>
      <c r="E807" t="s">
        <v>3</v>
      </c>
      <c r="F807">
        <v>646.75</v>
      </c>
      <c r="G807">
        <v>11418.45</v>
      </c>
    </row>
    <row r="808" spans="1:7" hidden="1" x14ac:dyDescent="0.3">
      <c r="A808" s="1">
        <v>45808</v>
      </c>
      <c r="B808" t="s">
        <v>161</v>
      </c>
      <c r="C808" t="s">
        <v>563</v>
      </c>
      <c r="D808" t="s">
        <v>564</v>
      </c>
      <c r="E808" t="s">
        <v>13</v>
      </c>
      <c r="F808">
        <v>737.5</v>
      </c>
      <c r="G808">
        <v>11978.279999999997</v>
      </c>
    </row>
    <row r="809" spans="1:7" hidden="1" x14ac:dyDescent="0.3">
      <c r="A809" s="1">
        <v>45808</v>
      </c>
      <c r="B809" t="s">
        <v>163</v>
      </c>
      <c r="C809" t="s">
        <v>565</v>
      </c>
      <c r="D809" t="s">
        <v>566</v>
      </c>
      <c r="E809" t="s">
        <v>8</v>
      </c>
      <c r="F809">
        <v>718.25</v>
      </c>
      <c r="G809">
        <v>15580.6</v>
      </c>
    </row>
    <row r="810" spans="1:7" hidden="1" x14ac:dyDescent="0.3">
      <c r="A810" s="1">
        <v>45808</v>
      </c>
      <c r="B810" t="s">
        <v>165</v>
      </c>
      <c r="C810" t="s">
        <v>567</v>
      </c>
      <c r="D810" t="s">
        <v>568</v>
      </c>
      <c r="E810" t="s">
        <v>3</v>
      </c>
      <c r="F810">
        <v>590.75</v>
      </c>
      <c r="G810">
        <v>9154.6400000000012</v>
      </c>
    </row>
    <row r="811" spans="1:7" hidden="1" x14ac:dyDescent="0.3">
      <c r="A811" s="1">
        <v>45808</v>
      </c>
      <c r="B811" t="s">
        <v>167</v>
      </c>
      <c r="C811" t="s">
        <v>569</v>
      </c>
      <c r="D811" t="s">
        <v>570</v>
      </c>
      <c r="E811" t="s">
        <v>3</v>
      </c>
      <c r="F811">
        <v>581.75</v>
      </c>
      <c r="G811">
        <v>10368.43</v>
      </c>
    </row>
    <row r="812" spans="1:7" hidden="1" x14ac:dyDescent="0.3">
      <c r="A812" s="1">
        <v>45808</v>
      </c>
      <c r="B812" t="s">
        <v>169</v>
      </c>
      <c r="C812" t="s">
        <v>571</v>
      </c>
      <c r="D812" t="s">
        <v>572</v>
      </c>
      <c r="E812" t="s">
        <v>2</v>
      </c>
      <c r="F812">
        <v>729.25</v>
      </c>
      <c r="G812">
        <v>10059.450000000001</v>
      </c>
    </row>
    <row r="813" spans="1:7" hidden="1" x14ac:dyDescent="0.3">
      <c r="A813" s="1">
        <v>45808</v>
      </c>
      <c r="B813" t="s">
        <v>171</v>
      </c>
      <c r="C813" t="s">
        <v>573</v>
      </c>
      <c r="D813" t="s">
        <v>574</v>
      </c>
      <c r="E813" t="s">
        <v>3</v>
      </c>
      <c r="F813">
        <v>679.5</v>
      </c>
      <c r="G813">
        <v>8079.6600000000008</v>
      </c>
    </row>
    <row r="814" spans="1:7" hidden="1" x14ac:dyDescent="0.3">
      <c r="A814" s="1">
        <v>45808</v>
      </c>
      <c r="B814" t="s">
        <v>173</v>
      </c>
      <c r="C814" t="s">
        <v>575</v>
      </c>
      <c r="D814" t="s">
        <v>576</v>
      </c>
      <c r="E814" t="s">
        <v>3</v>
      </c>
      <c r="F814">
        <v>377.75</v>
      </c>
      <c r="G814">
        <v>5997.4600000000009</v>
      </c>
    </row>
    <row r="815" spans="1:7" hidden="1" x14ac:dyDescent="0.3">
      <c r="A815" s="1">
        <v>45808</v>
      </c>
      <c r="B815" t="s">
        <v>175</v>
      </c>
      <c r="C815" t="s">
        <v>577</v>
      </c>
      <c r="D815" t="s">
        <v>578</v>
      </c>
      <c r="E815" t="s">
        <v>12</v>
      </c>
      <c r="F815">
        <v>651</v>
      </c>
      <c r="G815">
        <v>14540.049999999997</v>
      </c>
    </row>
    <row r="816" spans="1:7" hidden="1" x14ac:dyDescent="0.3">
      <c r="A816" s="1">
        <v>45808</v>
      </c>
      <c r="B816" t="s">
        <v>177</v>
      </c>
      <c r="C816" t="s">
        <v>579</v>
      </c>
      <c r="D816" t="s">
        <v>580</v>
      </c>
      <c r="E816" t="s">
        <v>2</v>
      </c>
      <c r="F816">
        <v>0</v>
      </c>
      <c r="G816">
        <v>812.61999999999944</v>
      </c>
    </row>
    <row r="817" spans="1:7" hidden="1" x14ac:dyDescent="0.3">
      <c r="A817" s="1">
        <v>45808</v>
      </c>
      <c r="B817" t="s">
        <v>179</v>
      </c>
      <c r="C817" t="s">
        <v>550</v>
      </c>
      <c r="D817" t="s">
        <v>581</v>
      </c>
      <c r="E817" t="s">
        <v>2</v>
      </c>
      <c r="F817">
        <v>718.25</v>
      </c>
      <c r="G817">
        <v>11557.439999999999</v>
      </c>
    </row>
    <row r="818" spans="1:7" hidden="1" x14ac:dyDescent="0.3">
      <c r="A818" s="1">
        <v>45808</v>
      </c>
      <c r="B818" t="s">
        <v>181</v>
      </c>
      <c r="C818" t="s">
        <v>582</v>
      </c>
      <c r="D818" t="s">
        <v>583</v>
      </c>
      <c r="E818" t="s">
        <v>2</v>
      </c>
      <c r="F818">
        <v>453.5</v>
      </c>
      <c r="G818">
        <v>6326.7400000000007</v>
      </c>
    </row>
    <row r="819" spans="1:7" hidden="1" x14ac:dyDescent="0.3">
      <c r="A819" s="1">
        <v>45808</v>
      </c>
      <c r="B819" t="s">
        <v>183</v>
      </c>
      <c r="C819" t="s">
        <v>584</v>
      </c>
      <c r="D819" t="s">
        <v>585</v>
      </c>
      <c r="E819" t="s">
        <v>2</v>
      </c>
      <c r="F819">
        <v>658.75</v>
      </c>
      <c r="G819">
        <v>12338.44</v>
      </c>
    </row>
    <row r="820" spans="1:7" hidden="1" x14ac:dyDescent="0.3">
      <c r="A820" s="1">
        <v>45808</v>
      </c>
      <c r="B820" t="s">
        <v>185</v>
      </c>
      <c r="C820" t="s">
        <v>586</v>
      </c>
      <c r="D820" t="s">
        <v>587</v>
      </c>
      <c r="E820" t="s">
        <v>10</v>
      </c>
      <c r="F820">
        <v>649</v>
      </c>
      <c r="G820">
        <v>14500.7</v>
      </c>
    </row>
    <row r="821" spans="1:7" hidden="1" x14ac:dyDescent="0.3">
      <c r="A821" s="1">
        <v>45808</v>
      </c>
      <c r="B821" t="s">
        <v>187</v>
      </c>
      <c r="C821" t="s">
        <v>588</v>
      </c>
      <c r="D821" t="s">
        <v>589</v>
      </c>
      <c r="E821" t="s">
        <v>6</v>
      </c>
      <c r="F821">
        <v>765.75</v>
      </c>
      <c r="G821">
        <v>22846.300000000003</v>
      </c>
    </row>
    <row r="822" spans="1:7" hidden="1" x14ac:dyDescent="0.3">
      <c r="A822" s="1">
        <v>45808</v>
      </c>
      <c r="B822" t="s">
        <v>189</v>
      </c>
      <c r="C822" t="s">
        <v>590</v>
      </c>
      <c r="D822" t="s">
        <v>591</v>
      </c>
      <c r="E822" t="s">
        <v>2</v>
      </c>
      <c r="F822">
        <v>700</v>
      </c>
      <c r="G822">
        <v>12379.929999999998</v>
      </c>
    </row>
    <row r="823" spans="1:7" hidden="1" x14ac:dyDescent="0.3">
      <c r="A823" s="1">
        <v>45808</v>
      </c>
      <c r="B823" t="s">
        <v>191</v>
      </c>
      <c r="C823" t="s">
        <v>592</v>
      </c>
      <c r="D823" t="s">
        <v>593</v>
      </c>
      <c r="E823" t="s">
        <v>2</v>
      </c>
      <c r="F823">
        <v>740.25</v>
      </c>
      <c r="G823">
        <v>13509.900000000003</v>
      </c>
    </row>
    <row r="824" spans="1:7" hidden="1" x14ac:dyDescent="0.3">
      <c r="A824" s="1">
        <v>45808</v>
      </c>
      <c r="B824" t="s">
        <v>193</v>
      </c>
      <c r="C824" t="s">
        <v>594</v>
      </c>
      <c r="D824" t="s">
        <v>595</v>
      </c>
      <c r="E824" t="s">
        <v>2</v>
      </c>
      <c r="F824">
        <v>529.75</v>
      </c>
      <c r="G824">
        <v>10440.85</v>
      </c>
    </row>
    <row r="825" spans="1:7" hidden="1" x14ac:dyDescent="0.3">
      <c r="A825" s="1">
        <v>45808</v>
      </c>
      <c r="B825" t="s">
        <v>195</v>
      </c>
      <c r="C825" t="s">
        <v>596</v>
      </c>
      <c r="D825" t="s">
        <v>597</v>
      </c>
      <c r="E825" t="s">
        <v>8</v>
      </c>
      <c r="F825">
        <v>685.25</v>
      </c>
      <c r="G825">
        <v>21490.69</v>
      </c>
    </row>
    <row r="826" spans="1:7" hidden="1" x14ac:dyDescent="0.3">
      <c r="A826" s="1">
        <v>45808</v>
      </c>
      <c r="B826" t="s">
        <v>197</v>
      </c>
      <c r="C826" t="s">
        <v>598</v>
      </c>
      <c r="D826" t="s">
        <v>599</v>
      </c>
      <c r="E826" t="s">
        <v>3</v>
      </c>
      <c r="F826">
        <v>495.25</v>
      </c>
      <c r="G826">
        <v>2938.12</v>
      </c>
    </row>
    <row r="827" spans="1:7" hidden="1" x14ac:dyDescent="0.3">
      <c r="A827" s="1">
        <v>45808</v>
      </c>
      <c r="B827" t="s">
        <v>199</v>
      </c>
      <c r="C827" t="s">
        <v>600</v>
      </c>
      <c r="D827" t="s">
        <v>601</v>
      </c>
      <c r="E827" t="s">
        <v>8</v>
      </c>
      <c r="F827">
        <v>435.25</v>
      </c>
      <c r="G827">
        <v>7897.17</v>
      </c>
    </row>
    <row r="828" spans="1:7" hidden="1" x14ac:dyDescent="0.3">
      <c r="A828" s="1">
        <v>45808</v>
      </c>
      <c r="B828" t="s">
        <v>201</v>
      </c>
      <c r="C828" t="s">
        <v>602</v>
      </c>
      <c r="D828" t="s">
        <v>603</v>
      </c>
      <c r="E828" t="s">
        <v>12</v>
      </c>
      <c r="F828">
        <v>744.5</v>
      </c>
      <c r="G828">
        <v>33022.25</v>
      </c>
    </row>
    <row r="829" spans="1:7" hidden="1" x14ac:dyDescent="0.3">
      <c r="A829" s="1">
        <v>45808</v>
      </c>
      <c r="B829" t="s">
        <v>203</v>
      </c>
      <c r="C829" t="s">
        <v>604</v>
      </c>
      <c r="D829" t="s">
        <v>605</v>
      </c>
      <c r="E829" t="s">
        <v>3</v>
      </c>
      <c r="F829">
        <v>713.25</v>
      </c>
      <c r="G829">
        <v>13648.41</v>
      </c>
    </row>
    <row r="830" spans="1:7" hidden="1" x14ac:dyDescent="0.3">
      <c r="A830" s="1">
        <v>45808</v>
      </c>
      <c r="B830" t="s">
        <v>205</v>
      </c>
      <c r="C830" t="s">
        <v>606</v>
      </c>
      <c r="D830" t="s">
        <v>607</v>
      </c>
      <c r="E830" t="s">
        <v>2</v>
      </c>
      <c r="F830">
        <v>709</v>
      </c>
      <c r="G830">
        <v>11470.05</v>
      </c>
    </row>
    <row r="831" spans="1:7" hidden="1" x14ac:dyDescent="0.3">
      <c r="A831" s="1">
        <v>45808</v>
      </c>
      <c r="B831" t="s">
        <v>207</v>
      </c>
      <c r="C831" t="s">
        <v>608</v>
      </c>
      <c r="D831" t="s">
        <v>609</v>
      </c>
      <c r="E831" t="s">
        <v>12</v>
      </c>
      <c r="F831">
        <v>352.75</v>
      </c>
      <c r="G831">
        <v>4538.4000000000005</v>
      </c>
    </row>
    <row r="832" spans="1:7" hidden="1" x14ac:dyDescent="0.3">
      <c r="A832" s="1">
        <v>45808</v>
      </c>
      <c r="B832" t="s">
        <v>209</v>
      </c>
      <c r="C832" t="s">
        <v>610</v>
      </c>
      <c r="D832" t="s">
        <v>536</v>
      </c>
      <c r="E832" t="s">
        <v>2</v>
      </c>
      <c r="F832">
        <v>502.5</v>
      </c>
      <c r="G832">
        <v>8734.9800000000014</v>
      </c>
    </row>
    <row r="833" spans="1:7" hidden="1" x14ac:dyDescent="0.3">
      <c r="A833" s="1">
        <v>45808</v>
      </c>
      <c r="B833" t="s">
        <v>211</v>
      </c>
      <c r="C833" t="s">
        <v>611</v>
      </c>
      <c r="D833" t="s">
        <v>612</v>
      </c>
      <c r="E833" t="s">
        <v>9</v>
      </c>
      <c r="F833">
        <v>704</v>
      </c>
      <c r="G833">
        <v>21702.93</v>
      </c>
    </row>
    <row r="834" spans="1:7" hidden="1" x14ac:dyDescent="0.3">
      <c r="A834" s="1">
        <v>45808</v>
      </c>
      <c r="B834" t="s">
        <v>213</v>
      </c>
      <c r="C834" t="s">
        <v>613</v>
      </c>
      <c r="D834" t="s">
        <v>614</v>
      </c>
      <c r="E834" t="s">
        <v>8</v>
      </c>
      <c r="F834">
        <v>652.25</v>
      </c>
      <c r="G834">
        <v>14652.52</v>
      </c>
    </row>
    <row r="835" spans="1:7" hidden="1" x14ac:dyDescent="0.3">
      <c r="A835" s="1">
        <v>45808</v>
      </c>
      <c r="B835" t="s">
        <v>215</v>
      </c>
      <c r="C835" t="s">
        <v>445</v>
      </c>
      <c r="D835" t="s">
        <v>615</v>
      </c>
      <c r="E835" t="s">
        <v>7</v>
      </c>
      <c r="F835">
        <v>722</v>
      </c>
      <c r="G835">
        <v>10453.040000000001</v>
      </c>
    </row>
    <row r="836" spans="1:7" hidden="1" x14ac:dyDescent="0.3">
      <c r="A836" s="1">
        <v>45808</v>
      </c>
      <c r="B836" t="s">
        <v>217</v>
      </c>
      <c r="C836" t="s">
        <v>616</v>
      </c>
      <c r="D836" t="s">
        <v>617</v>
      </c>
      <c r="E836" t="s">
        <v>2</v>
      </c>
      <c r="F836">
        <v>598</v>
      </c>
      <c r="G836">
        <v>10532.03</v>
      </c>
    </row>
    <row r="837" spans="1:7" hidden="1" x14ac:dyDescent="0.3">
      <c r="A837" s="1">
        <v>45808</v>
      </c>
      <c r="B837" t="s">
        <v>219</v>
      </c>
      <c r="C837" t="s">
        <v>618</v>
      </c>
      <c r="D837" t="s">
        <v>619</v>
      </c>
      <c r="E837" t="s">
        <v>15</v>
      </c>
      <c r="F837">
        <v>708</v>
      </c>
      <c r="G837">
        <v>10346.619999999999</v>
      </c>
    </row>
    <row r="838" spans="1:7" hidden="1" x14ac:dyDescent="0.3">
      <c r="A838" s="1">
        <v>45808</v>
      </c>
      <c r="B838" t="s">
        <v>221</v>
      </c>
      <c r="C838" t="s">
        <v>620</v>
      </c>
      <c r="D838" t="s">
        <v>621</v>
      </c>
      <c r="E838" t="s">
        <v>2</v>
      </c>
      <c r="F838">
        <v>636.25</v>
      </c>
      <c r="G838">
        <v>10489.999999999998</v>
      </c>
    </row>
    <row r="839" spans="1:7" hidden="1" x14ac:dyDescent="0.3">
      <c r="A839" s="1">
        <v>45808</v>
      </c>
      <c r="B839" t="s">
        <v>223</v>
      </c>
      <c r="C839" t="s">
        <v>622</v>
      </c>
      <c r="D839" t="s">
        <v>623</v>
      </c>
      <c r="E839" t="s">
        <v>14</v>
      </c>
      <c r="F839">
        <v>767</v>
      </c>
      <c r="G839">
        <v>16715.280000000002</v>
      </c>
    </row>
    <row r="840" spans="1:7" hidden="1" x14ac:dyDescent="0.3">
      <c r="A840" s="1">
        <v>45808</v>
      </c>
      <c r="B840" t="s">
        <v>225</v>
      </c>
      <c r="C840" t="s">
        <v>624</v>
      </c>
      <c r="D840" t="s">
        <v>625</v>
      </c>
      <c r="E840" t="s">
        <v>3</v>
      </c>
      <c r="F840">
        <v>425.75</v>
      </c>
      <c r="G840">
        <v>5990.0900000000011</v>
      </c>
    </row>
    <row r="841" spans="1:7" hidden="1" x14ac:dyDescent="0.3">
      <c r="A841" s="1">
        <v>45808</v>
      </c>
      <c r="B841" t="s">
        <v>227</v>
      </c>
      <c r="C841" t="s">
        <v>626</v>
      </c>
      <c r="D841" t="s">
        <v>627</v>
      </c>
      <c r="E841" t="s">
        <v>12</v>
      </c>
      <c r="F841">
        <v>601.25</v>
      </c>
      <c r="G841">
        <v>17894.71</v>
      </c>
    </row>
    <row r="842" spans="1:7" hidden="1" x14ac:dyDescent="0.3">
      <c r="A842" s="1">
        <v>45808</v>
      </c>
      <c r="B842" t="s">
        <v>229</v>
      </c>
      <c r="C842" t="s">
        <v>628</v>
      </c>
      <c r="D842" t="s">
        <v>629</v>
      </c>
      <c r="E842" t="s">
        <v>2</v>
      </c>
      <c r="F842">
        <v>561.25</v>
      </c>
      <c r="G842">
        <v>6885.9100000000017</v>
      </c>
    </row>
    <row r="843" spans="1:7" hidden="1" x14ac:dyDescent="0.3">
      <c r="A843" s="1">
        <v>45808</v>
      </c>
      <c r="B843" t="s">
        <v>231</v>
      </c>
      <c r="C843" t="s">
        <v>630</v>
      </c>
      <c r="D843" t="s">
        <v>631</v>
      </c>
      <c r="E843" t="s">
        <v>2</v>
      </c>
      <c r="F843">
        <v>621</v>
      </c>
      <c r="G843">
        <v>9559.0300000000007</v>
      </c>
    </row>
    <row r="844" spans="1:7" hidden="1" x14ac:dyDescent="0.3">
      <c r="A844" s="1">
        <v>45808</v>
      </c>
      <c r="B844" t="s">
        <v>417</v>
      </c>
      <c r="C844" t="s">
        <v>630</v>
      </c>
      <c r="D844" t="s">
        <v>631</v>
      </c>
      <c r="E844" t="s">
        <v>2</v>
      </c>
      <c r="F844">
        <v>101.75</v>
      </c>
      <c r="G844">
        <v>1644.61</v>
      </c>
    </row>
    <row r="845" spans="1:7" hidden="1" x14ac:dyDescent="0.3">
      <c r="A845" s="1">
        <v>45808</v>
      </c>
      <c r="B845" t="s">
        <v>233</v>
      </c>
      <c r="C845" t="s">
        <v>632</v>
      </c>
      <c r="D845" t="s">
        <v>633</v>
      </c>
      <c r="E845" t="s">
        <v>3</v>
      </c>
      <c r="F845">
        <v>475.25</v>
      </c>
      <c r="G845">
        <v>6525.3000000000011</v>
      </c>
    </row>
    <row r="846" spans="1:7" hidden="1" x14ac:dyDescent="0.3">
      <c r="A846" s="1">
        <v>45808</v>
      </c>
      <c r="B846" t="s">
        <v>235</v>
      </c>
      <c r="C846" t="s">
        <v>634</v>
      </c>
      <c r="D846" t="s">
        <v>635</v>
      </c>
      <c r="E846" t="s">
        <v>3</v>
      </c>
      <c r="F846">
        <v>483</v>
      </c>
      <c r="G846">
        <v>9087.5600000000013</v>
      </c>
    </row>
    <row r="847" spans="1:7" hidden="1" x14ac:dyDescent="0.3">
      <c r="A847" s="1">
        <v>45808</v>
      </c>
      <c r="B847" t="s">
        <v>237</v>
      </c>
      <c r="C847" t="s">
        <v>636</v>
      </c>
      <c r="D847" t="s">
        <v>637</v>
      </c>
      <c r="E847" t="s">
        <v>5</v>
      </c>
      <c r="F847">
        <v>63</v>
      </c>
      <c r="G847">
        <v>2552.0299999999997</v>
      </c>
    </row>
    <row r="848" spans="1:7" hidden="1" x14ac:dyDescent="0.3">
      <c r="A848" s="1">
        <v>45808</v>
      </c>
      <c r="B848" t="s">
        <v>239</v>
      </c>
      <c r="C848" t="s">
        <v>638</v>
      </c>
      <c r="D848" t="s">
        <v>639</v>
      </c>
      <c r="E848" t="s">
        <v>12</v>
      </c>
      <c r="F848">
        <v>729</v>
      </c>
      <c r="G848">
        <v>11909.310000000001</v>
      </c>
    </row>
    <row r="849" spans="1:7" hidden="1" x14ac:dyDescent="0.3">
      <c r="A849" s="1">
        <v>45808</v>
      </c>
      <c r="B849" t="s">
        <v>241</v>
      </c>
      <c r="C849" t="s">
        <v>640</v>
      </c>
      <c r="D849" t="s">
        <v>641</v>
      </c>
      <c r="E849" t="s">
        <v>13</v>
      </c>
      <c r="F849">
        <v>727.25</v>
      </c>
      <c r="G849">
        <v>29248.049999999996</v>
      </c>
    </row>
    <row r="850" spans="1:7" hidden="1" x14ac:dyDescent="0.3">
      <c r="A850" s="1">
        <v>45808</v>
      </c>
      <c r="B850" t="s">
        <v>243</v>
      </c>
      <c r="C850" t="s">
        <v>642</v>
      </c>
      <c r="D850" t="s">
        <v>643</v>
      </c>
      <c r="E850" t="s">
        <v>5</v>
      </c>
      <c r="F850">
        <v>681.75</v>
      </c>
      <c r="G850">
        <v>8118.85</v>
      </c>
    </row>
    <row r="851" spans="1:7" hidden="1" x14ac:dyDescent="0.3">
      <c r="A851" s="1">
        <v>45808</v>
      </c>
      <c r="B851" t="s">
        <v>245</v>
      </c>
      <c r="C851" t="s">
        <v>644</v>
      </c>
      <c r="D851" t="s">
        <v>555</v>
      </c>
      <c r="E851" t="s">
        <v>3</v>
      </c>
      <c r="F851">
        <v>317.5</v>
      </c>
      <c r="G851">
        <v>4148.3100000000004</v>
      </c>
    </row>
    <row r="852" spans="1:7" hidden="1" x14ac:dyDescent="0.3">
      <c r="A852" s="1">
        <v>45808</v>
      </c>
      <c r="B852" t="s">
        <v>247</v>
      </c>
      <c r="C852" t="s">
        <v>645</v>
      </c>
      <c r="D852" t="s">
        <v>646</v>
      </c>
      <c r="E852" t="s">
        <v>2</v>
      </c>
      <c r="F852">
        <v>682.5</v>
      </c>
      <c r="G852">
        <v>8658.3599999999988</v>
      </c>
    </row>
    <row r="853" spans="1:7" hidden="1" x14ac:dyDescent="0.3">
      <c r="A853" s="1">
        <v>45808</v>
      </c>
      <c r="B853" t="s">
        <v>249</v>
      </c>
      <c r="C853" t="s">
        <v>647</v>
      </c>
      <c r="D853" t="s">
        <v>648</v>
      </c>
      <c r="E853" t="s">
        <v>2</v>
      </c>
      <c r="F853">
        <v>768</v>
      </c>
      <c r="G853">
        <v>11656.310000000001</v>
      </c>
    </row>
    <row r="854" spans="1:7" hidden="1" x14ac:dyDescent="0.3">
      <c r="A854" s="1">
        <v>45808</v>
      </c>
      <c r="B854" t="s">
        <v>251</v>
      </c>
      <c r="C854" t="s">
        <v>649</v>
      </c>
      <c r="D854" t="s">
        <v>460</v>
      </c>
      <c r="E854" t="s">
        <v>2</v>
      </c>
      <c r="F854">
        <v>135.25</v>
      </c>
      <c r="G854">
        <v>3326.6899999999996</v>
      </c>
    </row>
    <row r="855" spans="1:7" hidden="1" x14ac:dyDescent="0.3">
      <c r="A855" s="1">
        <v>45808</v>
      </c>
      <c r="B855" t="s">
        <v>253</v>
      </c>
      <c r="C855" t="s">
        <v>650</v>
      </c>
      <c r="D855" t="s">
        <v>651</v>
      </c>
      <c r="E855" t="s">
        <v>5</v>
      </c>
      <c r="F855">
        <v>565.5</v>
      </c>
      <c r="G855">
        <v>7418.4900000000007</v>
      </c>
    </row>
    <row r="856" spans="1:7" hidden="1" x14ac:dyDescent="0.3">
      <c r="A856" s="1">
        <v>45808</v>
      </c>
      <c r="B856" t="s">
        <v>255</v>
      </c>
      <c r="C856" t="s">
        <v>652</v>
      </c>
      <c r="D856" t="s">
        <v>653</v>
      </c>
      <c r="E856" t="s">
        <v>5</v>
      </c>
      <c r="F856">
        <v>126</v>
      </c>
      <c r="G856">
        <v>1528.4600000000003</v>
      </c>
    </row>
    <row r="857" spans="1:7" hidden="1" x14ac:dyDescent="0.3">
      <c r="A857" s="1">
        <v>45808</v>
      </c>
      <c r="B857" t="s">
        <v>257</v>
      </c>
      <c r="C857" t="s">
        <v>654</v>
      </c>
      <c r="D857" t="s">
        <v>655</v>
      </c>
      <c r="E857" t="s">
        <v>5</v>
      </c>
      <c r="F857">
        <v>0</v>
      </c>
      <c r="G857">
        <v>2.2400000000000091</v>
      </c>
    </row>
    <row r="858" spans="1:7" hidden="1" x14ac:dyDescent="0.3">
      <c r="A858" s="1">
        <v>45808</v>
      </c>
      <c r="B858" t="s">
        <v>259</v>
      </c>
      <c r="C858" t="s">
        <v>656</v>
      </c>
      <c r="D858" t="s">
        <v>657</v>
      </c>
      <c r="E858" t="s">
        <v>2</v>
      </c>
      <c r="F858">
        <v>566.75</v>
      </c>
      <c r="G858">
        <v>9434.2900000000009</v>
      </c>
    </row>
    <row r="859" spans="1:7" hidden="1" x14ac:dyDescent="0.3">
      <c r="A859" s="1">
        <v>45808</v>
      </c>
      <c r="B859" t="s">
        <v>261</v>
      </c>
      <c r="C859" t="s">
        <v>658</v>
      </c>
      <c r="D859" t="s">
        <v>659</v>
      </c>
      <c r="E859" t="s">
        <v>13</v>
      </c>
      <c r="F859">
        <v>136.5</v>
      </c>
      <c r="G859">
        <v>2509.25</v>
      </c>
    </row>
    <row r="860" spans="1:7" hidden="1" x14ac:dyDescent="0.3">
      <c r="A860" s="1">
        <v>45808</v>
      </c>
      <c r="B860" t="s">
        <v>263</v>
      </c>
      <c r="C860" t="s">
        <v>660</v>
      </c>
      <c r="D860" t="s">
        <v>661</v>
      </c>
      <c r="E860" t="s">
        <v>2</v>
      </c>
      <c r="F860">
        <v>555.5</v>
      </c>
      <c r="G860">
        <v>6614.82</v>
      </c>
    </row>
    <row r="861" spans="1:7" hidden="1" x14ac:dyDescent="0.3">
      <c r="A861" s="1">
        <v>45808</v>
      </c>
      <c r="B861" t="s">
        <v>265</v>
      </c>
      <c r="C861" t="s">
        <v>662</v>
      </c>
      <c r="D861" t="s">
        <v>646</v>
      </c>
      <c r="E861" t="s">
        <v>7</v>
      </c>
      <c r="F861">
        <v>717.5</v>
      </c>
      <c r="G861">
        <v>29589.689999999995</v>
      </c>
    </row>
    <row r="862" spans="1:7" hidden="1" x14ac:dyDescent="0.3">
      <c r="A862" s="1">
        <v>45808</v>
      </c>
      <c r="B862" t="s">
        <v>267</v>
      </c>
      <c r="C862" t="s">
        <v>663</v>
      </c>
      <c r="D862" t="s">
        <v>664</v>
      </c>
      <c r="E862" t="s">
        <v>10</v>
      </c>
      <c r="F862">
        <v>676.5</v>
      </c>
      <c r="G862">
        <v>12210.8</v>
      </c>
    </row>
    <row r="863" spans="1:7" hidden="1" x14ac:dyDescent="0.3">
      <c r="A863" s="1">
        <v>45808</v>
      </c>
      <c r="B863" t="s">
        <v>269</v>
      </c>
      <c r="C863" t="s">
        <v>665</v>
      </c>
      <c r="D863" t="s">
        <v>666</v>
      </c>
      <c r="E863" t="s">
        <v>2</v>
      </c>
      <c r="F863">
        <v>649.75</v>
      </c>
      <c r="G863">
        <v>10583.360000000002</v>
      </c>
    </row>
    <row r="864" spans="1:7" hidden="1" x14ac:dyDescent="0.3">
      <c r="A864" s="1">
        <v>45808</v>
      </c>
      <c r="B864" t="s">
        <v>271</v>
      </c>
      <c r="C864" t="s">
        <v>667</v>
      </c>
      <c r="D864" t="s">
        <v>668</v>
      </c>
      <c r="E864" t="s">
        <v>2</v>
      </c>
      <c r="F864">
        <v>576</v>
      </c>
      <c r="G864">
        <v>7347.4</v>
      </c>
    </row>
    <row r="865" spans="1:7" hidden="1" x14ac:dyDescent="0.3">
      <c r="A865" s="1">
        <v>45808</v>
      </c>
      <c r="B865" t="s">
        <v>273</v>
      </c>
      <c r="C865" t="s">
        <v>669</v>
      </c>
      <c r="D865" t="s">
        <v>670</v>
      </c>
      <c r="E865" t="s">
        <v>3</v>
      </c>
      <c r="F865">
        <v>591.25</v>
      </c>
      <c r="G865">
        <v>7696.29</v>
      </c>
    </row>
    <row r="866" spans="1:7" hidden="1" x14ac:dyDescent="0.3">
      <c r="A866" s="1">
        <v>45808</v>
      </c>
      <c r="B866" t="s">
        <v>275</v>
      </c>
      <c r="C866" t="s">
        <v>671</v>
      </c>
      <c r="D866" t="s">
        <v>672</v>
      </c>
      <c r="E866" t="s">
        <v>13</v>
      </c>
      <c r="F866">
        <v>329</v>
      </c>
      <c r="G866">
        <v>5535.71</v>
      </c>
    </row>
    <row r="867" spans="1:7" hidden="1" x14ac:dyDescent="0.3">
      <c r="A867" s="1">
        <v>45808</v>
      </c>
      <c r="B867" t="s">
        <v>277</v>
      </c>
      <c r="C867" t="s">
        <v>673</v>
      </c>
      <c r="D867" t="s">
        <v>674</v>
      </c>
      <c r="E867" t="s">
        <v>3</v>
      </c>
      <c r="F867">
        <v>708</v>
      </c>
      <c r="G867">
        <v>8406.6700000000019</v>
      </c>
    </row>
    <row r="868" spans="1:7" hidden="1" x14ac:dyDescent="0.3">
      <c r="A868" s="1">
        <v>45808</v>
      </c>
      <c r="B868" t="s">
        <v>279</v>
      </c>
      <c r="C868" t="s">
        <v>675</v>
      </c>
      <c r="D868" t="s">
        <v>676</v>
      </c>
      <c r="E868" t="s">
        <v>8</v>
      </c>
      <c r="F868">
        <v>693</v>
      </c>
      <c r="G868">
        <v>9848.5199999999986</v>
      </c>
    </row>
    <row r="869" spans="1:7" hidden="1" x14ac:dyDescent="0.3">
      <c r="A869" s="1">
        <v>45808</v>
      </c>
      <c r="B869" t="s">
        <v>281</v>
      </c>
      <c r="C869" t="s">
        <v>677</v>
      </c>
      <c r="D869" t="s">
        <v>678</v>
      </c>
      <c r="E869" t="s">
        <v>7</v>
      </c>
      <c r="F869">
        <v>624.5</v>
      </c>
      <c r="G869">
        <v>17205.7</v>
      </c>
    </row>
    <row r="870" spans="1:7" hidden="1" x14ac:dyDescent="0.3">
      <c r="A870" s="1">
        <v>45808</v>
      </c>
      <c r="B870" t="s">
        <v>283</v>
      </c>
      <c r="C870" t="s">
        <v>679</v>
      </c>
      <c r="D870" t="s">
        <v>680</v>
      </c>
      <c r="E870" t="s">
        <v>3</v>
      </c>
      <c r="F870">
        <v>476</v>
      </c>
      <c r="G870">
        <v>5728.77</v>
      </c>
    </row>
    <row r="871" spans="1:7" hidden="1" x14ac:dyDescent="0.3">
      <c r="A871" s="1">
        <v>45808</v>
      </c>
      <c r="B871" t="s">
        <v>285</v>
      </c>
      <c r="C871" t="s">
        <v>681</v>
      </c>
      <c r="D871" t="s">
        <v>504</v>
      </c>
      <c r="E871" t="s">
        <v>5</v>
      </c>
      <c r="F871">
        <v>684.75</v>
      </c>
      <c r="G871">
        <v>8236.93</v>
      </c>
    </row>
    <row r="872" spans="1:7" hidden="1" x14ac:dyDescent="0.3">
      <c r="A872" s="1">
        <v>45808</v>
      </c>
      <c r="B872" t="s">
        <v>287</v>
      </c>
      <c r="C872" t="s">
        <v>682</v>
      </c>
      <c r="D872" t="s">
        <v>683</v>
      </c>
      <c r="E872" t="s">
        <v>5</v>
      </c>
      <c r="F872">
        <v>675.75</v>
      </c>
      <c r="G872">
        <v>7544.98</v>
      </c>
    </row>
    <row r="873" spans="1:7" hidden="1" x14ac:dyDescent="0.3">
      <c r="A873" s="1">
        <v>45808</v>
      </c>
      <c r="B873" t="s">
        <v>289</v>
      </c>
      <c r="C873" t="s">
        <v>684</v>
      </c>
      <c r="D873" t="s">
        <v>685</v>
      </c>
      <c r="E873" t="s">
        <v>5</v>
      </c>
      <c r="F873">
        <v>675.75</v>
      </c>
      <c r="G873">
        <v>7955.1600000000008</v>
      </c>
    </row>
    <row r="874" spans="1:7" hidden="1" x14ac:dyDescent="0.3">
      <c r="A874" s="1">
        <v>45808</v>
      </c>
      <c r="B874" t="s">
        <v>291</v>
      </c>
      <c r="C874" t="s">
        <v>686</v>
      </c>
      <c r="D874" t="s">
        <v>534</v>
      </c>
      <c r="E874" t="s">
        <v>14</v>
      </c>
      <c r="F874">
        <v>767</v>
      </c>
      <c r="G874">
        <v>13734.64</v>
      </c>
    </row>
    <row r="875" spans="1:7" hidden="1" x14ac:dyDescent="0.3">
      <c r="A875" s="1">
        <v>45808</v>
      </c>
      <c r="B875" t="s">
        <v>293</v>
      </c>
      <c r="C875" t="s">
        <v>687</v>
      </c>
      <c r="D875" t="s">
        <v>688</v>
      </c>
      <c r="E875" t="s">
        <v>2</v>
      </c>
      <c r="F875">
        <v>696.25</v>
      </c>
      <c r="G875">
        <v>10992.96</v>
      </c>
    </row>
    <row r="876" spans="1:7" hidden="1" x14ac:dyDescent="0.3">
      <c r="A876" s="1">
        <v>45808</v>
      </c>
      <c r="B876" t="s">
        <v>295</v>
      </c>
      <c r="C876" t="s">
        <v>689</v>
      </c>
      <c r="D876" t="s">
        <v>690</v>
      </c>
      <c r="E876" t="s">
        <v>5</v>
      </c>
      <c r="F876">
        <v>519.25</v>
      </c>
      <c r="G876">
        <v>6864.329999999999</v>
      </c>
    </row>
    <row r="877" spans="1:7" hidden="1" x14ac:dyDescent="0.3">
      <c r="A877" s="1">
        <v>45808</v>
      </c>
      <c r="B877" t="s">
        <v>297</v>
      </c>
      <c r="C877" t="s">
        <v>648</v>
      </c>
      <c r="D877" t="s">
        <v>691</v>
      </c>
      <c r="E877" t="s">
        <v>2</v>
      </c>
      <c r="F877">
        <v>660</v>
      </c>
      <c r="G877">
        <v>10426.620000000003</v>
      </c>
    </row>
    <row r="878" spans="1:7" hidden="1" x14ac:dyDescent="0.3">
      <c r="A878" s="1">
        <v>45808</v>
      </c>
      <c r="B878" t="s">
        <v>299</v>
      </c>
      <c r="C878" t="s">
        <v>692</v>
      </c>
      <c r="D878" t="s">
        <v>551</v>
      </c>
      <c r="E878" t="s">
        <v>10</v>
      </c>
      <c r="F878">
        <v>532</v>
      </c>
      <c r="G878">
        <v>9549.3200000000015</v>
      </c>
    </row>
    <row r="879" spans="1:7" hidden="1" x14ac:dyDescent="0.3">
      <c r="A879" s="1">
        <v>45808</v>
      </c>
      <c r="B879" t="s">
        <v>301</v>
      </c>
      <c r="C879" t="s">
        <v>693</v>
      </c>
      <c r="D879" t="s">
        <v>694</v>
      </c>
      <c r="E879" t="s">
        <v>5</v>
      </c>
      <c r="F879">
        <v>540.5</v>
      </c>
      <c r="G879">
        <v>7017.23</v>
      </c>
    </row>
    <row r="880" spans="1:7" hidden="1" x14ac:dyDescent="0.3">
      <c r="A880" s="1">
        <v>45808</v>
      </c>
      <c r="B880" t="s">
        <v>303</v>
      </c>
      <c r="C880" t="s">
        <v>695</v>
      </c>
      <c r="D880" t="s">
        <v>696</v>
      </c>
      <c r="E880" t="s">
        <v>13</v>
      </c>
      <c r="F880">
        <v>335.45</v>
      </c>
      <c r="G880">
        <v>5944.3300000000008</v>
      </c>
    </row>
    <row r="881" spans="1:7" hidden="1" x14ac:dyDescent="0.3">
      <c r="A881" s="1">
        <v>45808</v>
      </c>
      <c r="B881" t="s">
        <v>305</v>
      </c>
      <c r="C881" t="s">
        <v>697</v>
      </c>
      <c r="D881" t="s">
        <v>698</v>
      </c>
      <c r="E881" t="s">
        <v>5</v>
      </c>
      <c r="F881">
        <v>714.75</v>
      </c>
      <c r="G881">
        <v>8279.3500000000022</v>
      </c>
    </row>
    <row r="882" spans="1:7" hidden="1" x14ac:dyDescent="0.3">
      <c r="A882" s="1">
        <v>45808</v>
      </c>
      <c r="B882" t="s">
        <v>307</v>
      </c>
      <c r="C882" t="s">
        <v>699</v>
      </c>
      <c r="D882" t="s">
        <v>456</v>
      </c>
      <c r="E882" t="s">
        <v>13</v>
      </c>
      <c r="F882">
        <v>504.75</v>
      </c>
      <c r="G882">
        <v>9059.8799999999992</v>
      </c>
    </row>
    <row r="883" spans="1:7" hidden="1" x14ac:dyDescent="0.3">
      <c r="A883" s="1">
        <v>45808</v>
      </c>
      <c r="B883" t="s">
        <v>309</v>
      </c>
      <c r="C883" t="s">
        <v>700</v>
      </c>
      <c r="D883" t="s">
        <v>701</v>
      </c>
      <c r="E883" t="s">
        <v>10</v>
      </c>
      <c r="F883">
        <v>776.5</v>
      </c>
      <c r="G883">
        <v>16481.460000000003</v>
      </c>
    </row>
    <row r="884" spans="1:7" hidden="1" x14ac:dyDescent="0.3">
      <c r="A884" s="1">
        <v>45808</v>
      </c>
      <c r="B884" t="s">
        <v>311</v>
      </c>
      <c r="C884" t="s">
        <v>702</v>
      </c>
      <c r="D884" t="s">
        <v>703</v>
      </c>
      <c r="E884" t="s">
        <v>5</v>
      </c>
      <c r="F884">
        <v>638.25</v>
      </c>
      <c r="G884">
        <v>7843.8</v>
      </c>
    </row>
    <row r="885" spans="1:7" hidden="1" x14ac:dyDescent="0.3">
      <c r="A885" s="1">
        <v>45808</v>
      </c>
      <c r="B885" t="s">
        <v>313</v>
      </c>
      <c r="C885" t="s">
        <v>704</v>
      </c>
      <c r="D885" t="s">
        <v>705</v>
      </c>
      <c r="E885" t="s">
        <v>13</v>
      </c>
      <c r="F885">
        <v>618</v>
      </c>
      <c r="G885">
        <v>10185.770000000002</v>
      </c>
    </row>
    <row r="886" spans="1:7" hidden="1" x14ac:dyDescent="0.3">
      <c r="A886" s="1">
        <v>45808</v>
      </c>
      <c r="B886" t="s">
        <v>315</v>
      </c>
      <c r="C886" t="s">
        <v>706</v>
      </c>
      <c r="D886" t="s">
        <v>707</v>
      </c>
      <c r="E886" t="s">
        <v>6</v>
      </c>
      <c r="F886">
        <v>769</v>
      </c>
      <c r="G886">
        <v>9186.9600000000009</v>
      </c>
    </row>
    <row r="887" spans="1:7" hidden="1" x14ac:dyDescent="0.3">
      <c r="A887" s="1">
        <v>45808</v>
      </c>
      <c r="B887" t="s">
        <v>317</v>
      </c>
      <c r="C887" t="s">
        <v>708</v>
      </c>
      <c r="D887" t="s">
        <v>709</v>
      </c>
      <c r="E887" t="s">
        <v>3</v>
      </c>
      <c r="F887">
        <v>45</v>
      </c>
      <c r="G887">
        <v>1701.22</v>
      </c>
    </row>
    <row r="888" spans="1:7" hidden="1" x14ac:dyDescent="0.3">
      <c r="A888" s="1">
        <v>45808</v>
      </c>
      <c r="B888" t="s">
        <v>319</v>
      </c>
      <c r="C888" t="s">
        <v>710</v>
      </c>
      <c r="D888" t="s">
        <v>711</v>
      </c>
      <c r="E888" t="s">
        <v>2</v>
      </c>
      <c r="F888">
        <v>724</v>
      </c>
      <c r="G888">
        <v>11512.060000000001</v>
      </c>
    </row>
    <row r="889" spans="1:7" hidden="1" x14ac:dyDescent="0.3">
      <c r="A889" s="1">
        <v>45808</v>
      </c>
      <c r="B889" t="s">
        <v>321</v>
      </c>
      <c r="C889" t="s">
        <v>712</v>
      </c>
      <c r="D889" t="s">
        <v>713</v>
      </c>
      <c r="E889" t="s">
        <v>2</v>
      </c>
      <c r="F889">
        <v>681</v>
      </c>
      <c r="G889">
        <v>12702.71</v>
      </c>
    </row>
    <row r="890" spans="1:7" hidden="1" x14ac:dyDescent="0.3">
      <c r="A890" s="1">
        <v>45808</v>
      </c>
      <c r="B890" t="s">
        <v>323</v>
      </c>
      <c r="C890" t="s">
        <v>714</v>
      </c>
      <c r="D890" t="s">
        <v>715</v>
      </c>
      <c r="E890" t="s">
        <v>13</v>
      </c>
      <c r="F890">
        <v>287.5</v>
      </c>
      <c r="G890">
        <v>4818.62</v>
      </c>
    </row>
    <row r="891" spans="1:7" hidden="1" x14ac:dyDescent="0.3">
      <c r="A891" s="1">
        <v>45808</v>
      </c>
      <c r="B891" t="s">
        <v>325</v>
      </c>
      <c r="C891" t="s">
        <v>716</v>
      </c>
      <c r="D891" t="s">
        <v>717</v>
      </c>
      <c r="E891" t="s">
        <v>13</v>
      </c>
      <c r="F891">
        <v>416</v>
      </c>
      <c r="G891">
        <v>5768.53</v>
      </c>
    </row>
    <row r="892" spans="1:7" hidden="1" x14ac:dyDescent="0.3">
      <c r="A892" s="1">
        <v>45808</v>
      </c>
      <c r="B892" t="s">
        <v>327</v>
      </c>
      <c r="C892" t="s">
        <v>718</v>
      </c>
      <c r="D892" t="s">
        <v>719</v>
      </c>
      <c r="E892" t="s">
        <v>5</v>
      </c>
      <c r="F892">
        <v>339.25</v>
      </c>
      <c r="G892">
        <v>5118.9000000000005</v>
      </c>
    </row>
    <row r="893" spans="1:7" hidden="1" x14ac:dyDescent="0.3">
      <c r="A893" s="1">
        <v>45808</v>
      </c>
      <c r="B893" t="s">
        <v>329</v>
      </c>
      <c r="C893" t="s">
        <v>720</v>
      </c>
      <c r="D893" t="s">
        <v>721</v>
      </c>
      <c r="E893" t="s">
        <v>6</v>
      </c>
      <c r="F893">
        <v>595.5</v>
      </c>
      <c r="G893">
        <v>7941.97</v>
      </c>
    </row>
    <row r="894" spans="1:7" hidden="1" x14ac:dyDescent="0.3">
      <c r="A894" s="1">
        <v>45808</v>
      </c>
      <c r="B894" t="s">
        <v>331</v>
      </c>
      <c r="C894" t="s">
        <v>722</v>
      </c>
      <c r="D894" t="s">
        <v>723</v>
      </c>
      <c r="E894" t="s">
        <v>3</v>
      </c>
      <c r="F894">
        <v>296</v>
      </c>
      <c r="G894">
        <v>3473.31</v>
      </c>
    </row>
    <row r="895" spans="1:7" hidden="1" x14ac:dyDescent="0.3">
      <c r="A895" s="1">
        <v>45808</v>
      </c>
      <c r="B895" t="s">
        <v>333</v>
      </c>
      <c r="C895" t="s">
        <v>724</v>
      </c>
      <c r="D895" t="s">
        <v>725</v>
      </c>
      <c r="E895" t="s">
        <v>14</v>
      </c>
      <c r="F895">
        <v>348</v>
      </c>
      <c r="G895">
        <v>7073.7200000000012</v>
      </c>
    </row>
    <row r="896" spans="1:7" hidden="1" x14ac:dyDescent="0.3">
      <c r="A896" s="1">
        <v>45808</v>
      </c>
      <c r="B896" t="s">
        <v>366</v>
      </c>
      <c r="C896" t="s">
        <v>751</v>
      </c>
      <c r="D896" t="s">
        <v>601</v>
      </c>
      <c r="E896" t="s">
        <v>5</v>
      </c>
      <c r="F896">
        <v>187.25</v>
      </c>
      <c r="G896">
        <v>2421.2900000000004</v>
      </c>
    </row>
    <row r="897" spans="1:7" hidden="1" x14ac:dyDescent="0.3">
      <c r="A897" s="1">
        <v>45808</v>
      </c>
      <c r="B897" t="s">
        <v>335</v>
      </c>
      <c r="C897" t="s">
        <v>726</v>
      </c>
      <c r="D897" t="s">
        <v>551</v>
      </c>
      <c r="E897" t="s">
        <v>2</v>
      </c>
      <c r="F897">
        <v>433.5</v>
      </c>
      <c r="G897">
        <v>7167.9600000000009</v>
      </c>
    </row>
    <row r="898" spans="1:7" hidden="1" x14ac:dyDescent="0.3">
      <c r="A898" s="1">
        <v>45808</v>
      </c>
      <c r="B898" t="s">
        <v>368</v>
      </c>
      <c r="C898" t="s">
        <v>752</v>
      </c>
      <c r="D898" t="s">
        <v>753</v>
      </c>
      <c r="E898" t="s">
        <v>13</v>
      </c>
      <c r="F898">
        <v>412</v>
      </c>
      <c r="G898">
        <v>6420.58</v>
      </c>
    </row>
    <row r="899" spans="1:7" hidden="1" x14ac:dyDescent="0.3">
      <c r="A899" s="1">
        <v>45808</v>
      </c>
      <c r="B899" t="s">
        <v>370</v>
      </c>
      <c r="C899" t="s">
        <v>727</v>
      </c>
      <c r="D899" t="s">
        <v>728</v>
      </c>
      <c r="E899" t="s">
        <v>5</v>
      </c>
      <c r="F899">
        <v>517</v>
      </c>
      <c r="G899">
        <v>6126.92</v>
      </c>
    </row>
    <row r="900" spans="1:7" hidden="1" x14ac:dyDescent="0.3">
      <c r="A900" s="1">
        <v>45808</v>
      </c>
      <c r="B900" t="s">
        <v>371</v>
      </c>
      <c r="C900" t="s">
        <v>754</v>
      </c>
      <c r="D900" t="s">
        <v>755</v>
      </c>
      <c r="E900" t="s">
        <v>11</v>
      </c>
      <c r="F900">
        <v>164</v>
      </c>
      <c r="G900">
        <v>11677.320000000003</v>
      </c>
    </row>
    <row r="901" spans="1:7" hidden="1" x14ac:dyDescent="0.3">
      <c r="A901" s="1">
        <v>45808</v>
      </c>
      <c r="B901" t="s">
        <v>373</v>
      </c>
      <c r="C901" t="s">
        <v>756</v>
      </c>
      <c r="D901" t="s">
        <v>757</v>
      </c>
      <c r="E901" t="s">
        <v>13</v>
      </c>
      <c r="F901">
        <v>477.75</v>
      </c>
      <c r="G901">
        <v>10442.699999999999</v>
      </c>
    </row>
    <row r="902" spans="1:7" hidden="1" x14ac:dyDescent="0.3">
      <c r="A902" s="1">
        <v>45808</v>
      </c>
      <c r="B902" t="s">
        <v>375</v>
      </c>
      <c r="C902" t="s">
        <v>758</v>
      </c>
      <c r="D902" t="s">
        <v>759</v>
      </c>
      <c r="E902" t="s">
        <v>13</v>
      </c>
      <c r="F902">
        <v>108.5</v>
      </c>
      <c r="G902">
        <v>1638.32</v>
      </c>
    </row>
    <row r="903" spans="1:7" hidden="1" x14ac:dyDescent="0.3">
      <c r="A903" s="1">
        <v>45808</v>
      </c>
      <c r="B903" t="s">
        <v>377</v>
      </c>
      <c r="C903" t="s">
        <v>760</v>
      </c>
      <c r="D903" t="s">
        <v>761</v>
      </c>
      <c r="E903" t="s">
        <v>2</v>
      </c>
      <c r="F903">
        <v>342.5</v>
      </c>
      <c r="G903">
        <v>4170.0600000000004</v>
      </c>
    </row>
    <row r="904" spans="1:7" x14ac:dyDescent="0.3">
      <c r="A904" s="1">
        <v>45808</v>
      </c>
      <c r="B904" t="s">
        <v>379</v>
      </c>
      <c r="C904" t="s">
        <v>739</v>
      </c>
      <c r="D904" t="s">
        <v>519</v>
      </c>
      <c r="E904" t="s">
        <v>2</v>
      </c>
      <c r="F904">
        <v>304.75</v>
      </c>
      <c r="G904">
        <v>3963.8700000000008</v>
      </c>
    </row>
    <row r="905" spans="1:7" hidden="1" x14ac:dyDescent="0.3">
      <c r="A905" s="1">
        <v>45808</v>
      </c>
      <c r="B905" t="s">
        <v>380</v>
      </c>
      <c r="C905" t="s">
        <v>730</v>
      </c>
      <c r="D905" t="s">
        <v>731</v>
      </c>
      <c r="E905" t="s">
        <v>13</v>
      </c>
      <c r="F905">
        <v>482.5</v>
      </c>
      <c r="G905">
        <v>6428.37</v>
      </c>
    </row>
    <row r="906" spans="1:7" hidden="1" x14ac:dyDescent="0.3">
      <c r="A906" s="1">
        <v>45808</v>
      </c>
      <c r="B906" t="s">
        <v>381</v>
      </c>
      <c r="C906" t="s">
        <v>762</v>
      </c>
      <c r="D906" t="s">
        <v>763</v>
      </c>
      <c r="E906" t="s">
        <v>7</v>
      </c>
      <c r="F906">
        <v>416.75</v>
      </c>
      <c r="G906">
        <v>12001.320000000002</v>
      </c>
    </row>
    <row r="907" spans="1:7" hidden="1" x14ac:dyDescent="0.3">
      <c r="A907" s="1">
        <v>45808</v>
      </c>
      <c r="B907" t="s">
        <v>383</v>
      </c>
      <c r="C907" t="s">
        <v>729</v>
      </c>
      <c r="D907" t="s">
        <v>641</v>
      </c>
      <c r="E907" t="s">
        <v>8</v>
      </c>
      <c r="F907">
        <v>390</v>
      </c>
      <c r="G907">
        <v>5431.7199999999984</v>
      </c>
    </row>
    <row r="908" spans="1:7" hidden="1" x14ac:dyDescent="0.3">
      <c r="A908" s="1">
        <v>45808</v>
      </c>
      <c r="B908" t="s">
        <v>384</v>
      </c>
      <c r="C908" t="s">
        <v>764</v>
      </c>
      <c r="D908" t="s">
        <v>581</v>
      </c>
      <c r="E908" t="s">
        <v>2</v>
      </c>
      <c r="F908">
        <v>407.5</v>
      </c>
      <c r="G908">
        <v>6591.8700000000008</v>
      </c>
    </row>
    <row r="909" spans="1:7" hidden="1" x14ac:dyDescent="0.3">
      <c r="A909" s="1">
        <v>45808</v>
      </c>
      <c r="B909" t="s">
        <v>386</v>
      </c>
      <c r="C909" t="s">
        <v>765</v>
      </c>
      <c r="D909" t="s">
        <v>766</v>
      </c>
      <c r="E909" t="s">
        <v>2</v>
      </c>
      <c r="F909">
        <v>377.5</v>
      </c>
      <c r="G909">
        <v>5880.17</v>
      </c>
    </row>
    <row r="910" spans="1:7" hidden="1" x14ac:dyDescent="0.3">
      <c r="A910" s="1">
        <v>45808</v>
      </c>
      <c r="B910" t="s">
        <v>388</v>
      </c>
      <c r="C910" t="s">
        <v>767</v>
      </c>
      <c r="D910" t="s">
        <v>768</v>
      </c>
      <c r="E910" t="s">
        <v>2</v>
      </c>
      <c r="F910">
        <v>256</v>
      </c>
      <c r="G910">
        <v>3804.2900000000004</v>
      </c>
    </row>
    <row r="911" spans="1:7" hidden="1" x14ac:dyDescent="0.3">
      <c r="A911" s="1">
        <v>45808</v>
      </c>
      <c r="B911" t="s">
        <v>390</v>
      </c>
      <c r="C911" t="s">
        <v>769</v>
      </c>
      <c r="D911" t="s">
        <v>770</v>
      </c>
      <c r="E911" t="s">
        <v>3</v>
      </c>
      <c r="F911">
        <v>292.25</v>
      </c>
      <c r="G911">
        <v>3606.94</v>
      </c>
    </row>
    <row r="912" spans="1:7" hidden="1" x14ac:dyDescent="0.3">
      <c r="A912" s="1">
        <v>45808</v>
      </c>
      <c r="B912" t="s">
        <v>392</v>
      </c>
      <c r="C912" t="s">
        <v>771</v>
      </c>
      <c r="D912" t="s">
        <v>498</v>
      </c>
      <c r="E912" t="s">
        <v>2</v>
      </c>
      <c r="F912">
        <v>187.5</v>
      </c>
      <c r="G912">
        <v>2110.9699999999998</v>
      </c>
    </row>
    <row r="913" spans="1:7" hidden="1" x14ac:dyDescent="0.3">
      <c r="A913" s="1">
        <v>45808</v>
      </c>
      <c r="B913" t="s">
        <v>394</v>
      </c>
      <c r="C913" t="s">
        <v>772</v>
      </c>
      <c r="D913" t="s">
        <v>773</v>
      </c>
      <c r="E913" t="s">
        <v>2</v>
      </c>
      <c r="F913">
        <v>303.75</v>
      </c>
      <c r="G913">
        <v>3522.48</v>
      </c>
    </row>
    <row r="914" spans="1:7" hidden="1" x14ac:dyDescent="0.3">
      <c r="A914" s="1">
        <v>45808</v>
      </c>
      <c r="B914" t="s">
        <v>396</v>
      </c>
      <c r="C914" t="s">
        <v>746</v>
      </c>
      <c r="D914" t="s">
        <v>747</v>
      </c>
      <c r="E914" t="s">
        <v>3</v>
      </c>
      <c r="F914">
        <v>230.25</v>
      </c>
      <c r="G914">
        <v>2811.51</v>
      </c>
    </row>
    <row r="915" spans="1:7" hidden="1" x14ac:dyDescent="0.3">
      <c r="A915" s="1">
        <v>45808</v>
      </c>
      <c r="B915" t="s">
        <v>399</v>
      </c>
      <c r="C915" t="s">
        <v>594</v>
      </c>
      <c r="D915" t="s">
        <v>446</v>
      </c>
      <c r="E915" t="s">
        <v>12</v>
      </c>
      <c r="F915">
        <v>252.5</v>
      </c>
      <c r="G915">
        <v>6931.14</v>
      </c>
    </row>
    <row r="916" spans="1:7" hidden="1" x14ac:dyDescent="0.3">
      <c r="A916" s="1">
        <v>45808</v>
      </c>
      <c r="B916" t="s">
        <v>401</v>
      </c>
      <c r="C916" t="s">
        <v>732</v>
      </c>
      <c r="D916" t="s">
        <v>733</v>
      </c>
      <c r="E916" t="s">
        <v>5</v>
      </c>
      <c r="F916">
        <v>69.5</v>
      </c>
      <c r="G916">
        <v>1029.93</v>
      </c>
    </row>
    <row r="917" spans="1:7" hidden="1" x14ac:dyDescent="0.3">
      <c r="A917" s="1">
        <v>45808</v>
      </c>
      <c r="B917" t="s">
        <v>402</v>
      </c>
      <c r="C917" t="s">
        <v>734</v>
      </c>
      <c r="D917" t="s">
        <v>440</v>
      </c>
      <c r="E917" t="s">
        <v>5</v>
      </c>
      <c r="F917">
        <v>268.5</v>
      </c>
      <c r="G917">
        <v>3148.01</v>
      </c>
    </row>
    <row r="918" spans="1:7" hidden="1" x14ac:dyDescent="0.3">
      <c r="A918" s="1">
        <v>45808</v>
      </c>
      <c r="B918" t="s">
        <v>418</v>
      </c>
      <c r="C918" t="s">
        <v>636</v>
      </c>
      <c r="D918" t="s">
        <v>637</v>
      </c>
      <c r="E918" t="s">
        <v>5</v>
      </c>
      <c r="F918">
        <v>91</v>
      </c>
      <c r="G918">
        <v>1115.03</v>
      </c>
    </row>
    <row r="919" spans="1:7" hidden="1" x14ac:dyDescent="0.3">
      <c r="A919" s="1">
        <v>45808</v>
      </c>
      <c r="B919" t="s">
        <v>337</v>
      </c>
      <c r="C919" t="s">
        <v>727</v>
      </c>
      <c r="D919" t="s">
        <v>728</v>
      </c>
      <c r="E919" t="s">
        <v>5</v>
      </c>
      <c r="F919">
        <v>0</v>
      </c>
      <c r="G919">
        <v>566.08000000000004</v>
      </c>
    </row>
    <row r="920" spans="1:7" hidden="1" x14ac:dyDescent="0.3">
      <c r="A920" s="1">
        <v>45808</v>
      </c>
      <c r="B920" t="s">
        <v>339</v>
      </c>
      <c r="C920" t="s">
        <v>729</v>
      </c>
      <c r="D920" t="s">
        <v>641</v>
      </c>
      <c r="E920" t="s">
        <v>8</v>
      </c>
      <c r="F920">
        <v>0</v>
      </c>
      <c r="G920">
        <v>1041.02</v>
      </c>
    </row>
    <row r="921" spans="1:7" hidden="1" x14ac:dyDescent="0.3">
      <c r="A921" s="1">
        <v>45808</v>
      </c>
      <c r="B921" t="s">
        <v>341</v>
      </c>
      <c r="C921" t="s">
        <v>730</v>
      </c>
      <c r="D921" t="s">
        <v>731</v>
      </c>
      <c r="E921" t="s">
        <v>13</v>
      </c>
      <c r="F921">
        <v>0</v>
      </c>
      <c r="G921">
        <v>1338.19</v>
      </c>
    </row>
    <row r="922" spans="1:7" hidden="1" x14ac:dyDescent="0.3">
      <c r="A922" s="1">
        <v>45808</v>
      </c>
      <c r="B922" t="s">
        <v>343</v>
      </c>
      <c r="C922" t="s">
        <v>726</v>
      </c>
      <c r="D922" t="s">
        <v>551</v>
      </c>
      <c r="E922" t="s">
        <v>2</v>
      </c>
      <c r="F922">
        <v>0</v>
      </c>
      <c r="G922">
        <v>11.58</v>
      </c>
    </row>
    <row r="923" spans="1:7" hidden="1" x14ac:dyDescent="0.3">
      <c r="A923" s="1">
        <v>45808</v>
      </c>
      <c r="B923" t="s">
        <v>344</v>
      </c>
      <c r="C923" t="s">
        <v>732</v>
      </c>
      <c r="D923" t="s">
        <v>733</v>
      </c>
      <c r="E923" t="s">
        <v>5</v>
      </c>
      <c r="F923">
        <v>0</v>
      </c>
      <c r="G923">
        <v>1548.24</v>
      </c>
    </row>
    <row r="924" spans="1:7" hidden="1" x14ac:dyDescent="0.3">
      <c r="A924" s="1">
        <v>45808</v>
      </c>
      <c r="B924" t="s">
        <v>346</v>
      </c>
      <c r="C924" t="s">
        <v>734</v>
      </c>
      <c r="D924" t="s">
        <v>440</v>
      </c>
      <c r="E924" t="s">
        <v>5</v>
      </c>
      <c r="F924">
        <v>0</v>
      </c>
      <c r="G924">
        <v>1548.24</v>
      </c>
    </row>
    <row r="925" spans="1:7" hidden="1" x14ac:dyDescent="0.3">
      <c r="A925" s="1">
        <v>45808</v>
      </c>
      <c r="B925" t="s">
        <v>426</v>
      </c>
      <c r="C925" t="s">
        <v>735</v>
      </c>
      <c r="D925" t="s">
        <v>736</v>
      </c>
      <c r="E925" t="s">
        <v>5</v>
      </c>
      <c r="F925">
        <v>0</v>
      </c>
      <c r="G925">
        <v>0</v>
      </c>
    </row>
    <row r="926" spans="1:7" hidden="1" x14ac:dyDescent="0.3">
      <c r="A926" s="1">
        <v>45808</v>
      </c>
      <c r="B926" t="s">
        <v>348</v>
      </c>
      <c r="C926" t="s">
        <v>720</v>
      </c>
      <c r="D926" t="s">
        <v>721</v>
      </c>
      <c r="E926" t="s">
        <v>6</v>
      </c>
      <c r="F926">
        <v>0</v>
      </c>
      <c r="G926">
        <v>23.91</v>
      </c>
    </row>
    <row r="927" spans="1:7" hidden="1" x14ac:dyDescent="0.3">
      <c r="A927" s="1">
        <v>45808</v>
      </c>
      <c r="B927" t="s">
        <v>349</v>
      </c>
      <c r="C927" t="s">
        <v>737</v>
      </c>
      <c r="D927" t="s">
        <v>738</v>
      </c>
      <c r="E927" t="s">
        <v>5</v>
      </c>
      <c r="F927">
        <v>0</v>
      </c>
      <c r="G927">
        <v>931.52</v>
      </c>
    </row>
    <row r="928" spans="1:7" x14ac:dyDescent="0.3">
      <c r="A928" s="1">
        <v>45808</v>
      </c>
      <c r="B928" t="s">
        <v>351</v>
      </c>
      <c r="C928" t="s">
        <v>739</v>
      </c>
      <c r="D928" t="s">
        <v>519</v>
      </c>
      <c r="E928" t="s">
        <v>2</v>
      </c>
      <c r="F928">
        <v>0</v>
      </c>
      <c r="G928">
        <v>27.02</v>
      </c>
    </row>
    <row r="929" spans="1:7" hidden="1" x14ac:dyDescent="0.3">
      <c r="A929" s="1">
        <v>45808</v>
      </c>
      <c r="B929" t="s">
        <v>353</v>
      </c>
      <c r="C929" t="s">
        <v>740</v>
      </c>
      <c r="D929" t="s">
        <v>741</v>
      </c>
      <c r="E929" t="s">
        <v>5</v>
      </c>
      <c r="F929">
        <v>0</v>
      </c>
      <c r="G929">
        <v>2430.4</v>
      </c>
    </row>
    <row r="930" spans="1:7" hidden="1" x14ac:dyDescent="0.3">
      <c r="A930" s="1">
        <v>45808</v>
      </c>
      <c r="B930" t="s">
        <v>355</v>
      </c>
      <c r="C930" t="s">
        <v>742</v>
      </c>
      <c r="D930" t="s">
        <v>743</v>
      </c>
      <c r="E930" t="s">
        <v>5</v>
      </c>
      <c r="F930">
        <v>0</v>
      </c>
      <c r="G930">
        <v>2430.4</v>
      </c>
    </row>
    <row r="931" spans="1:7" hidden="1" x14ac:dyDescent="0.3">
      <c r="A931" s="1">
        <v>45808</v>
      </c>
      <c r="B931" t="s">
        <v>357</v>
      </c>
      <c r="C931" t="s">
        <v>744</v>
      </c>
      <c r="D931" t="s">
        <v>745</v>
      </c>
      <c r="E931" t="s">
        <v>3</v>
      </c>
      <c r="F931">
        <v>0</v>
      </c>
      <c r="G931">
        <v>47.6</v>
      </c>
    </row>
    <row r="932" spans="1:7" hidden="1" x14ac:dyDescent="0.3">
      <c r="A932" s="1">
        <v>45808</v>
      </c>
      <c r="B932" t="s">
        <v>359</v>
      </c>
      <c r="C932" t="s">
        <v>746</v>
      </c>
      <c r="D932" t="s">
        <v>747</v>
      </c>
      <c r="E932" t="s">
        <v>3</v>
      </c>
      <c r="F932">
        <v>0</v>
      </c>
      <c r="G932">
        <v>34.1</v>
      </c>
    </row>
    <row r="933" spans="1:7" hidden="1" x14ac:dyDescent="0.3">
      <c r="A933" s="1">
        <v>45808</v>
      </c>
      <c r="B933" t="s">
        <v>361</v>
      </c>
      <c r="C933" t="s">
        <v>748</v>
      </c>
      <c r="D933" t="s">
        <v>749</v>
      </c>
      <c r="E933" t="s">
        <v>5</v>
      </c>
      <c r="F933">
        <v>0</v>
      </c>
      <c r="G933">
        <v>249.01</v>
      </c>
    </row>
    <row r="934" spans="1:7" hidden="1" x14ac:dyDescent="0.3">
      <c r="A934" s="1">
        <v>45808</v>
      </c>
      <c r="B934" t="s">
        <v>363</v>
      </c>
      <c r="C934" t="s">
        <v>750</v>
      </c>
      <c r="D934" t="s">
        <v>446</v>
      </c>
      <c r="E934" t="s">
        <v>11</v>
      </c>
      <c r="F934">
        <v>0</v>
      </c>
      <c r="G934">
        <v>1415.45</v>
      </c>
    </row>
    <row r="935" spans="1:7" hidden="1" x14ac:dyDescent="0.3">
      <c r="A935" s="1">
        <v>45808</v>
      </c>
      <c r="B935" t="s">
        <v>403</v>
      </c>
      <c r="C935" t="s">
        <v>459</v>
      </c>
      <c r="D935" t="s">
        <v>776</v>
      </c>
      <c r="E935" t="s">
        <v>3</v>
      </c>
      <c r="F935">
        <v>0</v>
      </c>
      <c r="G935">
        <v>31.52</v>
      </c>
    </row>
    <row r="936" spans="1:7" hidden="1" x14ac:dyDescent="0.3">
      <c r="A936" s="1">
        <v>45808</v>
      </c>
      <c r="B936" t="s">
        <v>397</v>
      </c>
      <c r="C936" t="s">
        <v>774</v>
      </c>
      <c r="D936" t="s">
        <v>775</v>
      </c>
      <c r="E936" t="s">
        <v>12</v>
      </c>
      <c r="F936">
        <v>0</v>
      </c>
      <c r="G936">
        <v>1019.76</v>
      </c>
    </row>
    <row r="937" spans="1:7" hidden="1" x14ac:dyDescent="0.3">
      <c r="A937" s="1">
        <v>45808</v>
      </c>
      <c r="B937" t="s">
        <v>405</v>
      </c>
      <c r="C937" t="s">
        <v>777</v>
      </c>
      <c r="D937" t="s">
        <v>498</v>
      </c>
      <c r="E937" t="s">
        <v>5</v>
      </c>
      <c r="F937">
        <v>0</v>
      </c>
      <c r="G937">
        <v>1528.95</v>
      </c>
    </row>
    <row r="938" spans="1:7" hidden="1" x14ac:dyDescent="0.3">
      <c r="A938" s="1">
        <v>45808</v>
      </c>
      <c r="B938" t="s">
        <v>407</v>
      </c>
      <c r="C938" t="s">
        <v>778</v>
      </c>
      <c r="D938" t="s">
        <v>779</v>
      </c>
      <c r="E938" t="s">
        <v>5</v>
      </c>
      <c r="F938">
        <v>0</v>
      </c>
      <c r="G938">
        <v>590.58000000000004</v>
      </c>
    </row>
    <row r="939" spans="1:7" hidden="1" x14ac:dyDescent="0.3">
      <c r="A939" s="1">
        <v>45808</v>
      </c>
      <c r="B939" t="s">
        <v>409</v>
      </c>
      <c r="C939" t="s">
        <v>780</v>
      </c>
      <c r="D939" t="s">
        <v>781</v>
      </c>
      <c r="E939" t="s">
        <v>5</v>
      </c>
      <c r="F939">
        <v>0</v>
      </c>
      <c r="G939">
        <v>590.58000000000004</v>
      </c>
    </row>
    <row r="940" spans="1:7" hidden="1" x14ac:dyDescent="0.3">
      <c r="A940" s="1">
        <v>45808</v>
      </c>
      <c r="B940" t="s">
        <v>411</v>
      </c>
      <c r="C940" t="s">
        <v>782</v>
      </c>
      <c r="D940" t="s">
        <v>783</v>
      </c>
      <c r="E940" t="s">
        <v>5</v>
      </c>
      <c r="F940">
        <v>0</v>
      </c>
      <c r="G940">
        <v>1153.95</v>
      </c>
    </row>
    <row r="941" spans="1:7" hidden="1" x14ac:dyDescent="0.3">
      <c r="A941" s="1">
        <v>45808</v>
      </c>
      <c r="B941" t="s">
        <v>413</v>
      </c>
      <c r="C941" t="s">
        <v>784</v>
      </c>
      <c r="D941" t="s">
        <v>785</v>
      </c>
      <c r="E941" t="s">
        <v>5</v>
      </c>
      <c r="F941">
        <v>0</v>
      </c>
      <c r="G941">
        <v>839.58</v>
      </c>
    </row>
    <row r="942" spans="1:7" hidden="1" x14ac:dyDescent="0.3">
      <c r="A942" s="1">
        <v>45808</v>
      </c>
      <c r="B942" t="s">
        <v>415</v>
      </c>
      <c r="C942" t="s">
        <v>786</v>
      </c>
      <c r="D942" t="s">
        <v>538</v>
      </c>
      <c r="E942" t="s">
        <v>5</v>
      </c>
      <c r="F942">
        <v>0</v>
      </c>
      <c r="G942">
        <v>793.3</v>
      </c>
    </row>
    <row r="943" spans="1:7" hidden="1" x14ac:dyDescent="0.3">
      <c r="A943" s="1">
        <v>45808</v>
      </c>
      <c r="B943" t="s">
        <v>419</v>
      </c>
      <c r="C943" t="s">
        <v>787</v>
      </c>
      <c r="D943" t="s">
        <v>788</v>
      </c>
      <c r="E943" t="s">
        <v>5</v>
      </c>
      <c r="F943">
        <v>0</v>
      </c>
      <c r="G943">
        <v>296.58</v>
      </c>
    </row>
    <row r="944" spans="1:7" hidden="1" x14ac:dyDescent="0.3">
      <c r="A944" s="1">
        <v>45808</v>
      </c>
      <c r="B944" t="s">
        <v>365</v>
      </c>
      <c r="C944" t="s">
        <v>459</v>
      </c>
      <c r="D944" t="s">
        <v>460</v>
      </c>
      <c r="E944" t="s">
        <v>11</v>
      </c>
      <c r="F944">
        <v>0</v>
      </c>
      <c r="G944">
        <v>7250</v>
      </c>
    </row>
    <row r="945" spans="1:7" hidden="1" x14ac:dyDescent="0.3">
      <c r="A945" s="1">
        <v>45838</v>
      </c>
      <c r="B945" t="s">
        <v>29</v>
      </c>
      <c r="C945" t="s">
        <v>437</v>
      </c>
      <c r="D945" t="s">
        <v>438</v>
      </c>
      <c r="E945" t="s">
        <v>2</v>
      </c>
      <c r="F945">
        <v>897.5</v>
      </c>
      <c r="G945">
        <v>12248.3</v>
      </c>
    </row>
    <row r="946" spans="1:7" hidden="1" x14ac:dyDescent="0.3">
      <c r="A946" s="1">
        <v>45838</v>
      </c>
      <c r="B946" t="s">
        <v>41</v>
      </c>
      <c r="C946" t="s">
        <v>449</v>
      </c>
      <c r="D946" t="s">
        <v>450</v>
      </c>
      <c r="E946" t="s">
        <v>15</v>
      </c>
      <c r="F946">
        <v>826.5</v>
      </c>
      <c r="G946">
        <v>19029.070000000003</v>
      </c>
    </row>
    <row r="947" spans="1:7" hidden="1" x14ac:dyDescent="0.3">
      <c r="A947" s="1">
        <v>45838</v>
      </c>
      <c r="B947" t="s">
        <v>31</v>
      </c>
      <c r="C947" t="s">
        <v>439</v>
      </c>
      <c r="D947" t="s">
        <v>440</v>
      </c>
      <c r="E947" t="s">
        <v>7</v>
      </c>
      <c r="F947">
        <v>161.75</v>
      </c>
      <c r="G947">
        <v>7315.119999999999</v>
      </c>
    </row>
    <row r="948" spans="1:7" hidden="1" x14ac:dyDescent="0.3">
      <c r="A948" s="1">
        <v>45838</v>
      </c>
      <c r="B948" t="s">
        <v>43</v>
      </c>
      <c r="C948" t="s">
        <v>451</v>
      </c>
      <c r="D948" t="s">
        <v>452</v>
      </c>
      <c r="E948" t="s">
        <v>3</v>
      </c>
      <c r="F948">
        <v>864.25</v>
      </c>
      <c r="G948">
        <v>19358.71</v>
      </c>
    </row>
    <row r="949" spans="1:7" hidden="1" x14ac:dyDescent="0.3">
      <c r="A949" s="1">
        <v>45838</v>
      </c>
      <c r="B949" t="s">
        <v>51</v>
      </c>
      <c r="C949" t="s">
        <v>459</v>
      </c>
      <c r="D949" t="s">
        <v>460</v>
      </c>
      <c r="E949" t="s">
        <v>13</v>
      </c>
      <c r="F949">
        <v>758.5</v>
      </c>
      <c r="G949">
        <v>51173.109999999993</v>
      </c>
    </row>
    <row r="950" spans="1:7" hidden="1" x14ac:dyDescent="0.3">
      <c r="A950" s="1">
        <v>45838</v>
      </c>
      <c r="B950" t="s">
        <v>47</v>
      </c>
      <c r="C950" t="s">
        <v>455</v>
      </c>
      <c r="D950" t="s">
        <v>456</v>
      </c>
      <c r="E950" t="s">
        <v>4</v>
      </c>
      <c r="F950">
        <v>705.25</v>
      </c>
      <c r="G950">
        <v>14400.329999999998</v>
      </c>
    </row>
    <row r="951" spans="1:7" hidden="1" x14ac:dyDescent="0.3">
      <c r="A951" s="1">
        <v>45838</v>
      </c>
      <c r="B951" t="s">
        <v>55</v>
      </c>
      <c r="C951" t="s">
        <v>463</v>
      </c>
      <c r="D951" t="s">
        <v>464</v>
      </c>
      <c r="E951" t="s">
        <v>12</v>
      </c>
      <c r="F951">
        <v>760.5</v>
      </c>
      <c r="G951">
        <v>20266.119999999992</v>
      </c>
    </row>
    <row r="952" spans="1:7" hidden="1" x14ac:dyDescent="0.3">
      <c r="A952" s="1">
        <v>45838</v>
      </c>
      <c r="B952" t="s">
        <v>45</v>
      </c>
      <c r="C952" t="s">
        <v>453</v>
      </c>
      <c r="D952" t="s">
        <v>454</v>
      </c>
      <c r="E952" t="s">
        <v>3</v>
      </c>
      <c r="F952">
        <v>797.75</v>
      </c>
      <c r="G952">
        <v>15983.349999999999</v>
      </c>
    </row>
    <row r="953" spans="1:7" hidden="1" x14ac:dyDescent="0.3">
      <c r="A953" s="1">
        <v>45838</v>
      </c>
      <c r="B953" t="s">
        <v>53</v>
      </c>
      <c r="C953" t="s">
        <v>461</v>
      </c>
      <c r="D953" t="s">
        <v>462</v>
      </c>
      <c r="E953" t="s">
        <v>13</v>
      </c>
      <c r="F953">
        <v>239</v>
      </c>
      <c r="G953">
        <v>4643.78</v>
      </c>
    </row>
    <row r="954" spans="1:7" hidden="1" x14ac:dyDescent="0.3">
      <c r="A954" s="1">
        <v>45838</v>
      </c>
      <c r="B954" t="s">
        <v>57</v>
      </c>
      <c r="C954" t="s">
        <v>465</v>
      </c>
      <c r="D954" t="s">
        <v>466</v>
      </c>
      <c r="E954" t="s">
        <v>14</v>
      </c>
      <c r="F954">
        <v>919</v>
      </c>
      <c r="G954">
        <v>49366.01999999999</v>
      </c>
    </row>
    <row r="955" spans="1:7" hidden="1" x14ac:dyDescent="0.3">
      <c r="A955" s="1">
        <v>45838</v>
      </c>
      <c r="B955" t="s">
        <v>33</v>
      </c>
      <c r="C955" t="s">
        <v>441</v>
      </c>
      <c r="D955" t="s">
        <v>442</v>
      </c>
      <c r="E955" t="s">
        <v>2</v>
      </c>
      <c r="F955">
        <v>337</v>
      </c>
      <c r="G955">
        <v>8824.4400000000023</v>
      </c>
    </row>
    <row r="956" spans="1:7" hidden="1" x14ac:dyDescent="0.3">
      <c r="A956" s="1">
        <v>45838</v>
      </c>
      <c r="B956" t="s">
        <v>35</v>
      </c>
      <c r="C956" t="s">
        <v>443</v>
      </c>
      <c r="D956" t="s">
        <v>444</v>
      </c>
      <c r="E956" t="s">
        <v>2</v>
      </c>
      <c r="F956">
        <v>838.5</v>
      </c>
      <c r="G956">
        <v>16897.560000000005</v>
      </c>
    </row>
    <row r="957" spans="1:7" hidden="1" x14ac:dyDescent="0.3">
      <c r="A957" s="1">
        <v>45838</v>
      </c>
      <c r="B957" t="s">
        <v>37</v>
      </c>
      <c r="C957" t="s">
        <v>445</v>
      </c>
      <c r="D957" t="s">
        <v>446</v>
      </c>
      <c r="E957" t="s">
        <v>2</v>
      </c>
      <c r="F957">
        <v>774.25</v>
      </c>
      <c r="G957">
        <v>14796.590000000007</v>
      </c>
    </row>
    <row r="958" spans="1:7" hidden="1" x14ac:dyDescent="0.3">
      <c r="A958" s="1">
        <v>45838</v>
      </c>
      <c r="B958" t="s">
        <v>39</v>
      </c>
      <c r="C958" t="s">
        <v>447</v>
      </c>
      <c r="D958" t="s">
        <v>448</v>
      </c>
      <c r="E958" t="s">
        <v>2</v>
      </c>
      <c r="F958">
        <v>731.5</v>
      </c>
      <c r="G958">
        <v>15913.37</v>
      </c>
    </row>
    <row r="959" spans="1:7" hidden="1" x14ac:dyDescent="0.3">
      <c r="A959" s="1">
        <v>45838</v>
      </c>
      <c r="B959" t="s">
        <v>49</v>
      </c>
      <c r="C959" t="s">
        <v>457</v>
      </c>
      <c r="D959" t="s">
        <v>458</v>
      </c>
      <c r="E959" t="s">
        <v>4</v>
      </c>
      <c r="F959">
        <v>831.5</v>
      </c>
      <c r="G959">
        <v>13184.849999999999</v>
      </c>
    </row>
    <row r="960" spans="1:7" hidden="1" x14ac:dyDescent="0.3">
      <c r="A960" s="1">
        <v>45838</v>
      </c>
      <c r="B960" t="s">
        <v>59</v>
      </c>
      <c r="C960" t="s">
        <v>467</v>
      </c>
      <c r="D960" t="s">
        <v>468</v>
      </c>
      <c r="E960" t="s">
        <v>13</v>
      </c>
      <c r="F960">
        <v>0</v>
      </c>
      <c r="G960">
        <v>3188.9600000000005</v>
      </c>
    </row>
    <row r="961" spans="1:7" hidden="1" x14ac:dyDescent="0.3">
      <c r="A961" s="1">
        <v>45838</v>
      </c>
      <c r="B961" t="s">
        <v>61</v>
      </c>
      <c r="C961" t="s">
        <v>469</v>
      </c>
      <c r="D961" t="s">
        <v>470</v>
      </c>
      <c r="E961" t="s">
        <v>3</v>
      </c>
      <c r="F961">
        <v>743.75</v>
      </c>
      <c r="G961">
        <v>10204.66</v>
      </c>
    </row>
    <row r="962" spans="1:7" hidden="1" x14ac:dyDescent="0.3">
      <c r="A962" s="1">
        <v>45838</v>
      </c>
      <c r="B962" t="s">
        <v>63</v>
      </c>
      <c r="C962" t="s">
        <v>471</v>
      </c>
      <c r="D962" t="s">
        <v>472</v>
      </c>
      <c r="E962" t="s">
        <v>2</v>
      </c>
      <c r="F962">
        <v>863.75</v>
      </c>
      <c r="G962">
        <v>12327.53</v>
      </c>
    </row>
    <row r="963" spans="1:7" hidden="1" x14ac:dyDescent="0.3">
      <c r="A963" s="1">
        <v>45838</v>
      </c>
      <c r="B963" t="s">
        <v>65</v>
      </c>
      <c r="C963" t="s">
        <v>473</v>
      </c>
      <c r="D963" t="s">
        <v>474</v>
      </c>
      <c r="E963" t="s">
        <v>2</v>
      </c>
      <c r="F963">
        <v>864.25</v>
      </c>
      <c r="G963">
        <v>10682.38</v>
      </c>
    </row>
    <row r="964" spans="1:7" hidden="1" x14ac:dyDescent="0.3">
      <c r="A964" s="1">
        <v>45838</v>
      </c>
      <c r="B964" t="s">
        <v>67</v>
      </c>
      <c r="C964" t="s">
        <v>475</v>
      </c>
      <c r="D964" t="s">
        <v>476</v>
      </c>
      <c r="E964" t="s">
        <v>2</v>
      </c>
      <c r="F964">
        <v>208.25</v>
      </c>
      <c r="G964">
        <v>4142.1499999999996</v>
      </c>
    </row>
    <row r="965" spans="1:7" hidden="1" x14ac:dyDescent="0.3">
      <c r="A965" s="1">
        <v>45838</v>
      </c>
      <c r="B965" t="s">
        <v>69</v>
      </c>
      <c r="C965" t="s">
        <v>477</v>
      </c>
      <c r="D965" t="s">
        <v>478</v>
      </c>
      <c r="E965" t="s">
        <v>2</v>
      </c>
      <c r="F965">
        <v>869.5</v>
      </c>
      <c r="G965">
        <v>15579.11</v>
      </c>
    </row>
    <row r="966" spans="1:7" hidden="1" x14ac:dyDescent="0.3">
      <c r="A966" s="1">
        <v>45838</v>
      </c>
      <c r="B966" t="s">
        <v>71</v>
      </c>
      <c r="C966" t="s">
        <v>479</v>
      </c>
      <c r="D966" t="s">
        <v>480</v>
      </c>
      <c r="E966" t="s">
        <v>2</v>
      </c>
      <c r="F966">
        <v>281.5</v>
      </c>
      <c r="G966">
        <v>4634.6000000000004</v>
      </c>
    </row>
    <row r="967" spans="1:7" hidden="1" x14ac:dyDescent="0.3">
      <c r="A967" s="1">
        <v>45838</v>
      </c>
      <c r="B967" t="s">
        <v>73</v>
      </c>
      <c r="C967" t="s">
        <v>481</v>
      </c>
      <c r="D967" t="s">
        <v>482</v>
      </c>
      <c r="E967" t="s">
        <v>2</v>
      </c>
      <c r="F967">
        <v>847.5</v>
      </c>
      <c r="G967">
        <v>14540.84</v>
      </c>
    </row>
    <row r="968" spans="1:7" hidden="1" x14ac:dyDescent="0.3">
      <c r="A968" s="1">
        <v>45838</v>
      </c>
      <c r="B968" t="s">
        <v>75</v>
      </c>
      <c r="C968" t="s">
        <v>483</v>
      </c>
      <c r="D968" t="s">
        <v>484</v>
      </c>
      <c r="E968" t="s">
        <v>2</v>
      </c>
      <c r="F968">
        <v>367.5</v>
      </c>
      <c r="G968">
        <v>6214.3600000000015</v>
      </c>
    </row>
    <row r="969" spans="1:7" hidden="1" x14ac:dyDescent="0.3">
      <c r="A969" s="1">
        <v>45838</v>
      </c>
      <c r="B969" t="s">
        <v>77</v>
      </c>
      <c r="C969" t="s">
        <v>443</v>
      </c>
      <c r="D969" t="s">
        <v>485</v>
      </c>
      <c r="E969" t="s">
        <v>15</v>
      </c>
      <c r="F969">
        <v>746.25</v>
      </c>
      <c r="G969">
        <v>10589.04</v>
      </c>
    </row>
    <row r="970" spans="1:7" hidden="1" x14ac:dyDescent="0.3">
      <c r="A970" s="1">
        <v>45838</v>
      </c>
      <c r="B970" t="s">
        <v>79</v>
      </c>
      <c r="C970" t="s">
        <v>486</v>
      </c>
      <c r="D970" t="s">
        <v>487</v>
      </c>
      <c r="E970" t="s">
        <v>2</v>
      </c>
      <c r="F970">
        <v>508.75</v>
      </c>
      <c r="G970">
        <v>12712.569999999998</v>
      </c>
    </row>
    <row r="971" spans="1:7" hidden="1" x14ac:dyDescent="0.3">
      <c r="A971" s="1">
        <v>45838</v>
      </c>
      <c r="B971" t="s">
        <v>81</v>
      </c>
      <c r="C971" t="s">
        <v>488</v>
      </c>
      <c r="D971" t="s">
        <v>489</v>
      </c>
      <c r="E971" t="s">
        <v>2</v>
      </c>
      <c r="F971">
        <v>794.75</v>
      </c>
      <c r="G971">
        <v>19834.429999999997</v>
      </c>
    </row>
    <row r="972" spans="1:7" hidden="1" x14ac:dyDescent="0.3">
      <c r="A972" s="1">
        <v>45838</v>
      </c>
      <c r="B972" t="s">
        <v>83</v>
      </c>
      <c r="C972" t="s">
        <v>490</v>
      </c>
      <c r="D972" t="s">
        <v>440</v>
      </c>
      <c r="E972" t="s">
        <v>12</v>
      </c>
      <c r="F972">
        <v>881</v>
      </c>
      <c r="G972">
        <v>31711.550000000003</v>
      </c>
    </row>
    <row r="973" spans="1:7" hidden="1" x14ac:dyDescent="0.3">
      <c r="A973" s="1">
        <v>45838</v>
      </c>
      <c r="B973" t="s">
        <v>85</v>
      </c>
      <c r="C973" t="s">
        <v>491</v>
      </c>
      <c r="D973" t="s">
        <v>492</v>
      </c>
      <c r="E973" t="s">
        <v>2</v>
      </c>
      <c r="F973">
        <v>911</v>
      </c>
      <c r="G973">
        <v>14844.34</v>
      </c>
    </row>
    <row r="974" spans="1:7" hidden="1" x14ac:dyDescent="0.3">
      <c r="A974" s="1">
        <v>45838</v>
      </c>
      <c r="B974" t="s">
        <v>87</v>
      </c>
      <c r="C974" t="s">
        <v>493</v>
      </c>
      <c r="D974" t="s">
        <v>494</v>
      </c>
      <c r="E974" t="s">
        <v>12</v>
      </c>
      <c r="F974">
        <v>832.25</v>
      </c>
      <c r="G974">
        <v>19469.790000000005</v>
      </c>
    </row>
    <row r="975" spans="1:7" hidden="1" x14ac:dyDescent="0.3">
      <c r="A975" s="1">
        <v>45838</v>
      </c>
      <c r="B975" t="s">
        <v>89</v>
      </c>
      <c r="C975" t="s">
        <v>495</v>
      </c>
      <c r="D975" t="s">
        <v>496</v>
      </c>
      <c r="E975" t="s">
        <v>13</v>
      </c>
      <c r="F975">
        <v>798</v>
      </c>
      <c r="G975">
        <v>36407.799999999996</v>
      </c>
    </row>
    <row r="976" spans="1:7" hidden="1" x14ac:dyDescent="0.3">
      <c r="A976" s="1">
        <v>45838</v>
      </c>
      <c r="B976" t="s">
        <v>91</v>
      </c>
      <c r="C976" t="s">
        <v>497</v>
      </c>
      <c r="D976" t="s">
        <v>498</v>
      </c>
      <c r="E976" t="s">
        <v>5</v>
      </c>
      <c r="F976">
        <v>839.25</v>
      </c>
      <c r="G976">
        <v>10226.269999999999</v>
      </c>
    </row>
    <row r="977" spans="1:7" hidden="1" x14ac:dyDescent="0.3">
      <c r="A977" s="1">
        <v>45838</v>
      </c>
      <c r="B977" t="s">
        <v>93</v>
      </c>
      <c r="C977" t="s">
        <v>499</v>
      </c>
      <c r="D977" t="s">
        <v>500</v>
      </c>
      <c r="E977" t="s">
        <v>2</v>
      </c>
      <c r="F977">
        <v>596</v>
      </c>
      <c r="G977">
        <v>8748.85</v>
      </c>
    </row>
    <row r="978" spans="1:7" hidden="1" x14ac:dyDescent="0.3">
      <c r="A978" s="1">
        <v>45838</v>
      </c>
      <c r="B978" t="s">
        <v>95</v>
      </c>
      <c r="C978" t="s">
        <v>501</v>
      </c>
      <c r="D978" t="s">
        <v>502</v>
      </c>
      <c r="E978" t="s">
        <v>3</v>
      </c>
      <c r="F978">
        <v>880.5</v>
      </c>
      <c r="G978">
        <v>12747.8</v>
      </c>
    </row>
    <row r="979" spans="1:7" hidden="1" x14ac:dyDescent="0.3">
      <c r="A979" s="1">
        <v>45838</v>
      </c>
      <c r="B979" t="s">
        <v>97</v>
      </c>
      <c r="C979" t="s">
        <v>503</v>
      </c>
      <c r="D979" t="s">
        <v>504</v>
      </c>
      <c r="E979" t="s">
        <v>2</v>
      </c>
      <c r="F979">
        <v>820.5</v>
      </c>
      <c r="G979">
        <v>11293.07</v>
      </c>
    </row>
    <row r="980" spans="1:7" hidden="1" x14ac:dyDescent="0.3">
      <c r="A980" s="1">
        <v>45838</v>
      </c>
      <c r="B980" t="s">
        <v>99</v>
      </c>
      <c r="C980" t="s">
        <v>505</v>
      </c>
      <c r="D980" t="s">
        <v>506</v>
      </c>
      <c r="E980" t="s">
        <v>2</v>
      </c>
      <c r="F980">
        <v>543</v>
      </c>
      <c r="G980">
        <v>9616.7800000000025</v>
      </c>
    </row>
    <row r="981" spans="1:7" hidden="1" x14ac:dyDescent="0.3">
      <c r="A981" s="1">
        <v>45838</v>
      </c>
      <c r="B981" t="s">
        <v>101</v>
      </c>
      <c r="C981" t="s">
        <v>507</v>
      </c>
      <c r="D981" t="s">
        <v>508</v>
      </c>
      <c r="E981" t="s">
        <v>13</v>
      </c>
      <c r="F981">
        <v>557.5</v>
      </c>
      <c r="G981">
        <v>8290.4199999999983</v>
      </c>
    </row>
    <row r="982" spans="1:7" hidden="1" x14ac:dyDescent="0.3">
      <c r="A982" s="1">
        <v>45838</v>
      </c>
      <c r="B982" t="s">
        <v>103</v>
      </c>
      <c r="C982" t="s">
        <v>509</v>
      </c>
      <c r="D982" t="s">
        <v>510</v>
      </c>
      <c r="E982" t="s">
        <v>3</v>
      </c>
      <c r="F982">
        <v>421.75</v>
      </c>
      <c r="G982">
        <v>6070.91</v>
      </c>
    </row>
    <row r="983" spans="1:7" hidden="1" x14ac:dyDescent="0.3">
      <c r="A983" s="1">
        <v>45838</v>
      </c>
      <c r="B983" t="s">
        <v>105</v>
      </c>
      <c r="C983" t="s">
        <v>511</v>
      </c>
      <c r="D983" t="s">
        <v>512</v>
      </c>
      <c r="E983" t="s">
        <v>2</v>
      </c>
      <c r="F983">
        <v>836.25</v>
      </c>
      <c r="G983">
        <v>10846.5</v>
      </c>
    </row>
    <row r="984" spans="1:7" hidden="1" x14ac:dyDescent="0.3">
      <c r="A984" s="1">
        <v>45838</v>
      </c>
      <c r="B984" t="s">
        <v>107</v>
      </c>
      <c r="C984" t="s">
        <v>513</v>
      </c>
      <c r="D984" t="s">
        <v>514</v>
      </c>
      <c r="E984" t="s">
        <v>2</v>
      </c>
      <c r="F984">
        <v>481.5</v>
      </c>
      <c r="G984">
        <v>7714.4299999999985</v>
      </c>
    </row>
    <row r="985" spans="1:7" hidden="1" x14ac:dyDescent="0.3">
      <c r="A985" s="1">
        <v>45838</v>
      </c>
      <c r="B985" t="s">
        <v>109</v>
      </c>
      <c r="C985" t="s">
        <v>515</v>
      </c>
      <c r="D985" t="s">
        <v>516</v>
      </c>
      <c r="E985" t="s">
        <v>6</v>
      </c>
      <c r="F985">
        <v>831</v>
      </c>
      <c r="G985">
        <v>24737.119999999999</v>
      </c>
    </row>
    <row r="986" spans="1:7" hidden="1" x14ac:dyDescent="0.3">
      <c r="A986" s="1">
        <v>45838</v>
      </c>
      <c r="B986" t="s">
        <v>111</v>
      </c>
      <c r="C986" t="s">
        <v>517</v>
      </c>
      <c r="D986" t="s">
        <v>496</v>
      </c>
      <c r="E986" t="s">
        <v>14</v>
      </c>
      <c r="F986">
        <v>904</v>
      </c>
      <c r="G986">
        <v>49479.13</v>
      </c>
    </row>
    <row r="987" spans="1:7" hidden="1" x14ac:dyDescent="0.3">
      <c r="A987" s="1">
        <v>45838</v>
      </c>
      <c r="B987" t="s">
        <v>113</v>
      </c>
      <c r="C987" t="s">
        <v>518</v>
      </c>
      <c r="D987" t="s">
        <v>519</v>
      </c>
      <c r="E987" t="s">
        <v>3</v>
      </c>
      <c r="F987">
        <v>680.25</v>
      </c>
      <c r="G987">
        <v>8321.0400000000009</v>
      </c>
    </row>
    <row r="988" spans="1:7" hidden="1" x14ac:dyDescent="0.3">
      <c r="A988" s="1">
        <v>45838</v>
      </c>
      <c r="B988" t="s">
        <v>115</v>
      </c>
      <c r="C988" t="s">
        <v>520</v>
      </c>
      <c r="D988" t="s">
        <v>521</v>
      </c>
      <c r="E988" t="s">
        <v>2</v>
      </c>
      <c r="F988">
        <v>563.25</v>
      </c>
      <c r="G988">
        <v>9781.9</v>
      </c>
    </row>
    <row r="989" spans="1:7" hidden="1" x14ac:dyDescent="0.3">
      <c r="A989" s="1">
        <v>45838</v>
      </c>
      <c r="B989" t="s">
        <v>117</v>
      </c>
      <c r="C989" t="s">
        <v>522</v>
      </c>
      <c r="D989" t="s">
        <v>523</v>
      </c>
      <c r="E989" t="s">
        <v>2</v>
      </c>
      <c r="F989">
        <v>715.75</v>
      </c>
      <c r="G989">
        <v>11387.920000000002</v>
      </c>
    </row>
    <row r="990" spans="1:7" hidden="1" x14ac:dyDescent="0.3">
      <c r="A990" s="1">
        <v>45838</v>
      </c>
      <c r="B990" t="s">
        <v>119</v>
      </c>
      <c r="C990" t="s">
        <v>524</v>
      </c>
      <c r="D990" t="s">
        <v>525</v>
      </c>
      <c r="E990" t="s">
        <v>2</v>
      </c>
      <c r="F990">
        <v>865.5</v>
      </c>
      <c r="G990">
        <v>15558.640000000003</v>
      </c>
    </row>
    <row r="991" spans="1:7" hidden="1" x14ac:dyDescent="0.3">
      <c r="A991" s="1">
        <v>45838</v>
      </c>
      <c r="B991" t="s">
        <v>121</v>
      </c>
      <c r="C991" t="s">
        <v>526</v>
      </c>
      <c r="D991" t="s">
        <v>527</v>
      </c>
      <c r="E991" t="s">
        <v>3</v>
      </c>
      <c r="F991">
        <v>819</v>
      </c>
      <c r="G991">
        <v>15725.209999999995</v>
      </c>
    </row>
    <row r="992" spans="1:7" hidden="1" x14ac:dyDescent="0.3">
      <c r="A992" s="1">
        <v>45838</v>
      </c>
      <c r="B992" t="s">
        <v>123</v>
      </c>
      <c r="C992" t="s">
        <v>528</v>
      </c>
      <c r="D992" t="s">
        <v>529</v>
      </c>
      <c r="E992" t="s">
        <v>5</v>
      </c>
      <c r="F992">
        <v>478.75</v>
      </c>
      <c r="G992">
        <v>6546.9699999999993</v>
      </c>
    </row>
    <row r="993" spans="1:7" hidden="1" x14ac:dyDescent="0.3">
      <c r="A993" s="1">
        <v>45838</v>
      </c>
      <c r="B993" t="s">
        <v>125</v>
      </c>
      <c r="C993" t="s">
        <v>530</v>
      </c>
      <c r="D993" t="s">
        <v>502</v>
      </c>
      <c r="E993" t="s">
        <v>2</v>
      </c>
      <c r="F993">
        <v>872</v>
      </c>
      <c r="G993">
        <v>17668.300000000003</v>
      </c>
    </row>
    <row r="994" spans="1:7" hidden="1" x14ac:dyDescent="0.3">
      <c r="A994" s="1">
        <v>45838</v>
      </c>
      <c r="B994" t="s">
        <v>127</v>
      </c>
      <c r="C994" t="s">
        <v>531</v>
      </c>
      <c r="D994" t="s">
        <v>532</v>
      </c>
      <c r="E994" t="s">
        <v>2</v>
      </c>
      <c r="F994">
        <v>772</v>
      </c>
      <c r="G994">
        <v>14441.309999999998</v>
      </c>
    </row>
    <row r="995" spans="1:7" hidden="1" x14ac:dyDescent="0.3">
      <c r="A995" s="1">
        <v>45838</v>
      </c>
      <c r="B995" t="s">
        <v>129</v>
      </c>
      <c r="C995" t="s">
        <v>533</v>
      </c>
      <c r="D995" t="s">
        <v>534</v>
      </c>
      <c r="E995" t="s">
        <v>11</v>
      </c>
      <c r="F995">
        <v>795.5</v>
      </c>
      <c r="G995">
        <v>33011.660000000003</v>
      </c>
    </row>
    <row r="996" spans="1:7" hidden="1" x14ac:dyDescent="0.3">
      <c r="A996" s="1">
        <v>45838</v>
      </c>
      <c r="B996" t="s">
        <v>131</v>
      </c>
      <c r="C996" t="s">
        <v>535</v>
      </c>
      <c r="D996" t="s">
        <v>536</v>
      </c>
      <c r="E996" t="s">
        <v>2</v>
      </c>
      <c r="F996">
        <v>460.5</v>
      </c>
      <c r="G996">
        <v>9497.42</v>
      </c>
    </row>
    <row r="997" spans="1:7" hidden="1" x14ac:dyDescent="0.3">
      <c r="A997" s="1">
        <v>45838</v>
      </c>
      <c r="B997" t="s">
        <v>133</v>
      </c>
      <c r="C997" t="s">
        <v>537</v>
      </c>
      <c r="D997" t="s">
        <v>538</v>
      </c>
      <c r="E997" t="s">
        <v>2</v>
      </c>
      <c r="F997">
        <v>577.75</v>
      </c>
      <c r="G997">
        <v>11671.06</v>
      </c>
    </row>
    <row r="998" spans="1:7" hidden="1" x14ac:dyDescent="0.3">
      <c r="A998" s="1">
        <v>45838</v>
      </c>
      <c r="B998" t="s">
        <v>135</v>
      </c>
      <c r="C998" t="s">
        <v>539</v>
      </c>
      <c r="D998" t="s">
        <v>540</v>
      </c>
      <c r="E998" t="s">
        <v>3</v>
      </c>
      <c r="F998">
        <v>0</v>
      </c>
      <c r="G998">
        <v>2808.15</v>
      </c>
    </row>
    <row r="999" spans="1:7" hidden="1" x14ac:dyDescent="0.3">
      <c r="A999" s="1">
        <v>45838</v>
      </c>
      <c r="B999" t="s">
        <v>137</v>
      </c>
      <c r="C999" t="s">
        <v>541</v>
      </c>
      <c r="D999" t="s">
        <v>542</v>
      </c>
      <c r="E999" t="s">
        <v>2</v>
      </c>
      <c r="F999">
        <v>722.75</v>
      </c>
      <c r="G999">
        <v>13180.989999999998</v>
      </c>
    </row>
    <row r="1000" spans="1:7" hidden="1" x14ac:dyDescent="0.3">
      <c r="A1000" s="1">
        <v>45838</v>
      </c>
      <c r="B1000" t="s">
        <v>139</v>
      </c>
      <c r="C1000" t="s">
        <v>543</v>
      </c>
      <c r="D1000" t="s">
        <v>544</v>
      </c>
      <c r="E1000" t="s">
        <v>13</v>
      </c>
      <c r="F1000">
        <v>915.5</v>
      </c>
      <c r="G1000">
        <v>18623.13</v>
      </c>
    </row>
    <row r="1001" spans="1:7" hidden="1" x14ac:dyDescent="0.3">
      <c r="A1001" s="1">
        <v>45838</v>
      </c>
      <c r="B1001" t="s">
        <v>141</v>
      </c>
      <c r="C1001" t="s">
        <v>499</v>
      </c>
      <c r="D1001" t="s">
        <v>545</v>
      </c>
      <c r="E1001" t="s">
        <v>11</v>
      </c>
      <c r="F1001">
        <v>391.25</v>
      </c>
      <c r="G1001">
        <v>5836.5300000000007</v>
      </c>
    </row>
    <row r="1002" spans="1:7" hidden="1" x14ac:dyDescent="0.3">
      <c r="A1002" s="1">
        <v>45838</v>
      </c>
      <c r="B1002" t="s">
        <v>143</v>
      </c>
      <c r="C1002" t="s">
        <v>546</v>
      </c>
      <c r="D1002" t="s">
        <v>547</v>
      </c>
      <c r="E1002" t="s">
        <v>2</v>
      </c>
      <c r="F1002">
        <v>638.75</v>
      </c>
      <c r="G1002">
        <v>8360.36</v>
      </c>
    </row>
    <row r="1003" spans="1:7" hidden="1" x14ac:dyDescent="0.3">
      <c r="A1003" s="1">
        <v>45838</v>
      </c>
      <c r="B1003" t="s">
        <v>145</v>
      </c>
      <c r="C1003" t="s">
        <v>548</v>
      </c>
      <c r="D1003" t="s">
        <v>549</v>
      </c>
      <c r="E1003" t="s">
        <v>6</v>
      </c>
      <c r="F1003">
        <v>639.5</v>
      </c>
      <c r="G1003">
        <v>14354.469999999998</v>
      </c>
    </row>
    <row r="1004" spans="1:7" hidden="1" x14ac:dyDescent="0.3">
      <c r="A1004" s="1">
        <v>45838</v>
      </c>
      <c r="B1004" t="s">
        <v>147</v>
      </c>
      <c r="C1004" t="s">
        <v>550</v>
      </c>
      <c r="D1004" t="s">
        <v>551</v>
      </c>
      <c r="E1004" t="s">
        <v>8</v>
      </c>
      <c r="F1004">
        <v>832.25</v>
      </c>
      <c r="G1004">
        <v>18102.64</v>
      </c>
    </row>
    <row r="1005" spans="1:7" hidden="1" x14ac:dyDescent="0.3">
      <c r="A1005" s="1">
        <v>45838</v>
      </c>
      <c r="B1005" t="s">
        <v>149</v>
      </c>
      <c r="C1005" t="s">
        <v>552</v>
      </c>
      <c r="D1005" t="s">
        <v>553</v>
      </c>
      <c r="E1005" t="s">
        <v>10</v>
      </c>
      <c r="F1005">
        <v>0</v>
      </c>
      <c r="G1005">
        <v>6.7199999999999136</v>
      </c>
    </row>
    <row r="1006" spans="1:7" hidden="1" x14ac:dyDescent="0.3">
      <c r="A1006" s="1">
        <v>45838</v>
      </c>
      <c r="B1006" t="s">
        <v>151</v>
      </c>
      <c r="C1006" t="s">
        <v>554</v>
      </c>
      <c r="D1006" t="s">
        <v>555</v>
      </c>
      <c r="E1006" t="s">
        <v>3</v>
      </c>
      <c r="F1006">
        <v>608.5</v>
      </c>
      <c r="G1006">
        <v>7996.8200000000015</v>
      </c>
    </row>
    <row r="1007" spans="1:7" hidden="1" x14ac:dyDescent="0.3">
      <c r="A1007" s="1">
        <v>45838</v>
      </c>
      <c r="B1007" t="s">
        <v>153</v>
      </c>
      <c r="C1007" t="s">
        <v>556</v>
      </c>
      <c r="D1007" t="s">
        <v>557</v>
      </c>
      <c r="E1007" t="s">
        <v>2</v>
      </c>
      <c r="F1007">
        <v>775.5</v>
      </c>
      <c r="G1007">
        <v>12482.740000000002</v>
      </c>
    </row>
    <row r="1008" spans="1:7" hidden="1" x14ac:dyDescent="0.3">
      <c r="A1008" s="1">
        <v>45838</v>
      </c>
      <c r="B1008" t="s">
        <v>155</v>
      </c>
      <c r="C1008" t="s">
        <v>546</v>
      </c>
      <c r="D1008" t="s">
        <v>558</v>
      </c>
      <c r="E1008" t="s">
        <v>7</v>
      </c>
      <c r="F1008">
        <v>619.25</v>
      </c>
      <c r="G1008">
        <v>9951.8199999999979</v>
      </c>
    </row>
    <row r="1009" spans="1:7" hidden="1" x14ac:dyDescent="0.3">
      <c r="A1009" s="1">
        <v>45838</v>
      </c>
      <c r="B1009" t="s">
        <v>157</v>
      </c>
      <c r="C1009" t="s">
        <v>559</v>
      </c>
      <c r="D1009" t="s">
        <v>560</v>
      </c>
      <c r="E1009" t="s">
        <v>2</v>
      </c>
      <c r="F1009">
        <v>727.5</v>
      </c>
      <c r="G1009">
        <v>12788.78</v>
      </c>
    </row>
    <row r="1010" spans="1:7" hidden="1" x14ac:dyDescent="0.3">
      <c r="A1010" s="1">
        <v>45838</v>
      </c>
      <c r="B1010" t="s">
        <v>159</v>
      </c>
      <c r="C1010" t="s">
        <v>561</v>
      </c>
      <c r="D1010" t="s">
        <v>562</v>
      </c>
      <c r="E1010" t="s">
        <v>3</v>
      </c>
      <c r="F1010">
        <v>791.25</v>
      </c>
      <c r="G1010">
        <v>13794.9</v>
      </c>
    </row>
    <row r="1011" spans="1:7" hidden="1" x14ac:dyDescent="0.3">
      <c r="A1011" s="1">
        <v>45838</v>
      </c>
      <c r="B1011" t="s">
        <v>161</v>
      </c>
      <c r="C1011" t="s">
        <v>563</v>
      </c>
      <c r="D1011" t="s">
        <v>564</v>
      </c>
      <c r="E1011" t="s">
        <v>13</v>
      </c>
      <c r="F1011">
        <v>865.25</v>
      </c>
      <c r="G1011">
        <v>13936.46</v>
      </c>
    </row>
    <row r="1012" spans="1:7" hidden="1" x14ac:dyDescent="0.3">
      <c r="A1012" s="1">
        <v>45838</v>
      </c>
      <c r="B1012" t="s">
        <v>163</v>
      </c>
      <c r="C1012" t="s">
        <v>565</v>
      </c>
      <c r="D1012" t="s">
        <v>566</v>
      </c>
      <c r="E1012" t="s">
        <v>8</v>
      </c>
      <c r="F1012">
        <v>845</v>
      </c>
      <c r="G1012">
        <v>18139.100000000002</v>
      </c>
    </row>
    <row r="1013" spans="1:7" hidden="1" x14ac:dyDescent="0.3">
      <c r="A1013" s="1">
        <v>45838</v>
      </c>
      <c r="B1013" t="s">
        <v>165</v>
      </c>
      <c r="C1013" t="s">
        <v>567</v>
      </c>
      <c r="D1013" t="s">
        <v>568</v>
      </c>
      <c r="E1013" t="s">
        <v>3</v>
      </c>
      <c r="F1013">
        <v>736.25</v>
      </c>
      <c r="G1013">
        <v>11126.510000000002</v>
      </c>
    </row>
    <row r="1014" spans="1:7" hidden="1" x14ac:dyDescent="0.3">
      <c r="A1014" s="1">
        <v>45838</v>
      </c>
      <c r="B1014" t="s">
        <v>167</v>
      </c>
      <c r="C1014" t="s">
        <v>569</v>
      </c>
      <c r="D1014" t="s">
        <v>570</v>
      </c>
      <c r="E1014" t="s">
        <v>3</v>
      </c>
      <c r="F1014">
        <v>683.5</v>
      </c>
      <c r="G1014">
        <v>12150.89</v>
      </c>
    </row>
    <row r="1015" spans="1:7" hidden="1" x14ac:dyDescent="0.3">
      <c r="A1015" s="1">
        <v>45838</v>
      </c>
      <c r="B1015" t="s">
        <v>169</v>
      </c>
      <c r="C1015" t="s">
        <v>571</v>
      </c>
      <c r="D1015" t="s">
        <v>572</v>
      </c>
      <c r="E1015" t="s">
        <v>2</v>
      </c>
      <c r="F1015">
        <v>880.5</v>
      </c>
      <c r="G1015">
        <v>12093.14</v>
      </c>
    </row>
    <row r="1016" spans="1:7" hidden="1" x14ac:dyDescent="0.3">
      <c r="A1016" s="1">
        <v>45838</v>
      </c>
      <c r="B1016" t="s">
        <v>171</v>
      </c>
      <c r="C1016" t="s">
        <v>573</v>
      </c>
      <c r="D1016" t="s">
        <v>574</v>
      </c>
      <c r="E1016" t="s">
        <v>3</v>
      </c>
      <c r="F1016">
        <v>814</v>
      </c>
      <c r="G1016">
        <v>9653.5299999999988</v>
      </c>
    </row>
    <row r="1017" spans="1:7" hidden="1" x14ac:dyDescent="0.3">
      <c r="A1017" s="1">
        <v>45838</v>
      </c>
      <c r="B1017" t="s">
        <v>173</v>
      </c>
      <c r="C1017" t="s">
        <v>575</v>
      </c>
      <c r="D1017" t="s">
        <v>576</v>
      </c>
      <c r="E1017" t="s">
        <v>3</v>
      </c>
      <c r="F1017">
        <v>440.75</v>
      </c>
      <c r="G1017">
        <v>7078.7400000000007</v>
      </c>
    </row>
    <row r="1018" spans="1:7" hidden="1" x14ac:dyDescent="0.3">
      <c r="A1018" s="1">
        <v>45838</v>
      </c>
      <c r="B1018" t="s">
        <v>175</v>
      </c>
      <c r="C1018" t="s">
        <v>577</v>
      </c>
      <c r="D1018" t="s">
        <v>578</v>
      </c>
      <c r="E1018" t="s">
        <v>12</v>
      </c>
      <c r="F1018">
        <v>788.75</v>
      </c>
      <c r="G1018">
        <v>17686.019999999997</v>
      </c>
    </row>
    <row r="1019" spans="1:7" hidden="1" x14ac:dyDescent="0.3">
      <c r="A1019" s="1">
        <v>45838</v>
      </c>
      <c r="B1019" t="s">
        <v>177</v>
      </c>
      <c r="C1019" t="s">
        <v>579</v>
      </c>
      <c r="D1019" t="s">
        <v>580</v>
      </c>
      <c r="E1019" t="s">
        <v>2</v>
      </c>
      <c r="F1019">
        <v>0</v>
      </c>
      <c r="G1019">
        <v>194.05000000000018</v>
      </c>
    </row>
    <row r="1020" spans="1:7" hidden="1" x14ac:dyDescent="0.3">
      <c r="A1020" s="1">
        <v>45838</v>
      </c>
      <c r="B1020" t="s">
        <v>179</v>
      </c>
      <c r="C1020" t="s">
        <v>550</v>
      </c>
      <c r="D1020" t="s">
        <v>581</v>
      </c>
      <c r="E1020" t="s">
        <v>2</v>
      </c>
      <c r="F1020">
        <v>741.25</v>
      </c>
      <c r="G1020">
        <v>12705.179999999998</v>
      </c>
    </row>
    <row r="1021" spans="1:7" hidden="1" x14ac:dyDescent="0.3">
      <c r="A1021" s="1">
        <v>45838</v>
      </c>
      <c r="B1021" t="s">
        <v>181</v>
      </c>
      <c r="C1021" t="s">
        <v>582</v>
      </c>
      <c r="D1021" t="s">
        <v>583</v>
      </c>
      <c r="E1021" t="s">
        <v>2</v>
      </c>
      <c r="F1021">
        <v>573.5</v>
      </c>
      <c r="G1021">
        <v>7724.9199999999992</v>
      </c>
    </row>
    <row r="1022" spans="1:7" hidden="1" x14ac:dyDescent="0.3">
      <c r="A1022" s="1">
        <v>45838</v>
      </c>
      <c r="B1022" t="s">
        <v>183</v>
      </c>
      <c r="C1022" t="s">
        <v>584</v>
      </c>
      <c r="D1022" t="s">
        <v>585</v>
      </c>
      <c r="E1022" t="s">
        <v>2</v>
      </c>
      <c r="F1022">
        <v>697.25</v>
      </c>
      <c r="G1022">
        <v>13543.159999999998</v>
      </c>
    </row>
    <row r="1023" spans="1:7" hidden="1" x14ac:dyDescent="0.3">
      <c r="A1023" s="1">
        <v>45838</v>
      </c>
      <c r="B1023" t="s">
        <v>185</v>
      </c>
      <c r="C1023" t="s">
        <v>586</v>
      </c>
      <c r="D1023" t="s">
        <v>587</v>
      </c>
      <c r="E1023" t="s">
        <v>10</v>
      </c>
      <c r="F1023">
        <v>801</v>
      </c>
      <c r="G1023">
        <v>18930.8</v>
      </c>
    </row>
    <row r="1024" spans="1:7" hidden="1" x14ac:dyDescent="0.3">
      <c r="A1024" s="1">
        <v>45838</v>
      </c>
      <c r="B1024" t="s">
        <v>187</v>
      </c>
      <c r="C1024" t="s">
        <v>588</v>
      </c>
      <c r="D1024" t="s">
        <v>589</v>
      </c>
      <c r="E1024" t="s">
        <v>6</v>
      </c>
      <c r="F1024">
        <v>942.25</v>
      </c>
      <c r="G1024">
        <v>27423.330000000005</v>
      </c>
    </row>
    <row r="1025" spans="1:7" hidden="1" x14ac:dyDescent="0.3">
      <c r="A1025" s="1">
        <v>45838</v>
      </c>
      <c r="B1025" t="s">
        <v>189</v>
      </c>
      <c r="C1025" t="s">
        <v>590</v>
      </c>
      <c r="D1025" t="s">
        <v>591</v>
      </c>
      <c r="E1025" t="s">
        <v>2</v>
      </c>
      <c r="F1025">
        <v>842.5</v>
      </c>
      <c r="G1025">
        <v>14888.820000000003</v>
      </c>
    </row>
    <row r="1026" spans="1:7" hidden="1" x14ac:dyDescent="0.3">
      <c r="A1026" s="1">
        <v>45838</v>
      </c>
      <c r="B1026" t="s">
        <v>191</v>
      </c>
      <c r="C1026" t="s">
        <v>592</v>
      </c>
      <c r="D1026" t="s">
        <v>593</v>
      </c>
      <c r="E1026" t="s">
        <v>2</v>
      </c>
      <c r="F1026">
        <v>897.5</v>
      </c>
      <c r="G1026">
        <v>16253.749999999995</v>
      </c>
    </row>
    <row r="1027" spans="1:7" hidden="1" x14ac:dyDescent="0.3">
      <c r="A1027" s="1">
        <v>45838</v>
      </c>
      <c r="B1027" t="s">
        <v>193</v>
      </c>
      <c r="C1027" t="s">
        <v>594</v>
      </c>
      <c r="D1027" t="s">
        <v>595</v>
      </c>
      <c r="E1027" t="s">
        <v>2</v>
      </c>
      <c r="F1027">
        <v>658.75</v>
      </c>
      <c r="G1027">
        <v>12712.819999999998</v>
      </c>
    </row>
    <row r="1028" spans="1:7" hidden="1" x14ac:dyDescent="0.3">
      <c r="A1028" s="1">
        <v>45838</v>
      </c>
      <c r="B1028" t="s">
        <v>195</v>
      </c>
      <c r="C1028" t="s">
        <v>596</v>
      </c>
      <c r="D1028" t="s">
        <v>597</v>
      </c>
      <c r="E1028" t="s">
        <v>8</v>
      </c>
      <c r="F1028">
        <v>836</v>
      </c>
      <c r="G1028">
        <v>25970.269999999997</v>
      </c>
    </row>
    <row r="1029" spans="1:7" hidden="1" x14ac:dyDescent="0.3">
      <c r="A1029" s="1">
        <v>45838</v>
      </c>
      <c r="B1029" t="s">
        <v>197</v>
      </c>
      <c r="C1029" t="s">
        <v>598</v>
      </c>
      <c r="D1029" t="s">
        <v>599</v>
      </c>
      <c r="E1029" t="s">
        <v>3</v>
      </c>
      <c r="F1029">
        <v>597.25</v>
      </c>
      <c r="G1029">
        <v>3395.07</v>
      </c>
    </row>
    <row r="1030" spans="1:7" hidden="1" x14ac:dyDescent="0.3">
      <c r="A1030" s="1">
        <v>45838</v>
      </c>
      <c r="B1030" t="s">
        <v>199</v>
      </c>
      <c r="C1030" t="s">
        <v>600</v>
      </c>
      <c r="D1030" t="s">
        <v>601</v>
      </c>
      <c r="E1030" t="s">
        <v>8</v>
      </c>
      <c r="F1030">
        <v>477</v>
      </c>
      <c r="G1030">
        <v>8361.25</v>
      </c>
    </row>
    <row r="1031" spans="1:7" hidden="1" x14ac:dyDescent="0.3">
      <c r="A1031" s="1">
        <v>45838</v>
      </c>
      <c r="B1031" t="s">
        <v>201</v>
      </c>
      <c r="C1031" t="s">
        <v>602</v>
      </c>
      <c r="D1031" t="s">
        <v>603</v>
      </c>
      <c r="E1031" t="s">
        <v>12</v>
      </c>
      <c r="F1031">
        <v>874</v>
      </c>
      <c r="G1031">
        <v>38727.67</v>
      </c>
    </row>
    <row r="1032" spans="1:7" hidden="1" x14ac:dyDescent="0.3">
      <c r="A1032" s="1">
        <v>45838</v>
      </c>
      <c r="B1032" t="s">
        <v>203</v>
      </c>
      <c r="C1032" t="s">
        <v>604</v>
      </c>
      <c r="D1032" t="s">
        <v>605</v>
      </c>
      <c r="E1032" t="s">
        <v>3</v>
      </c>
      <c r="F1032">
        <v>781.75</v>
      </c>
      <c r="G1032">
        <v>15279.560000000001</v>
      </c>
    </row>
    <row r="1033" spans="1:7" hidden="1" x14ac:dyDescent="0.3">
      <c r="A1033" s="1">
        <v>45838</v>
      </c>
      <c r="B1033" t="s">
        <v>205</v>
      </c>
      <c r="C1033" t="s">
        <v>606</v>
      </c>
      <c r="D1033" t="s">
        <v>607</v>
      </c>
      <c r="E1033" t="s">
        <v>2</v>
      </c>
      <c r="F1033">
        <v>853.5</v>
      </c>
      <c r="G1033">
        <v>13780.839999999998</v>
      </c>
    </row>
    <row r="1034" spans="1:7" hidden="1" x14ac:dyDescent="0.3">
      <c r="A1034" s="1">
        <v>45838</v>
      </c>
      <c r="B1034" t="s">
        <v>207</v>
      </c>
      <c r="C1034" t="s">
        <v>608</v>
      </c>
      <c r="D1034" t="s">
        <v>609</v>
      </c>
      <c r="E1034" t="s">
        <v>12</v>
      </c>
      <c r="F1034">
        <v>387.75</v>
      </c>
      <c r="G1034">
        <v>4770.7699999999995</v>
      </c>
    </row>
    <row r="1035" spans="1:7" hidden="1" x14ac:dyDescent="0.3">
      <c r="A1035" s="1">
        <v>45838</v>
      </c>
      <c r="B1035" t="s">
        <v>209</v>
      </c>
      <c r="C1035" t="s">
        <v>610</v>
      </c>
      <c r="D1035" t="s">
        <v>536</v>
      </c>
      <c r="E1035" t="s">
        <v>2</v>
      </c>
      <c r="F1035">
        <v>622.5</v>
      </c>
      <c r="G1035">
        <v>10578.079999999998</v>
      </c>
    </row>
    <row r="1036" spans="1:7" hidden="1" x14ac:dyDescent="0.3">
      <c r="A1036" s="1">
        <v>45838</v>
      </c>
      <c r="B1036" t="s">
        <v>211</v>
      </c>
      <c r="C1036" t="s">
        <v>611</v>
      </c>
      <c r="D1036" t="s">
        <v>612</v>
      </c>
      <c r="E1036" t="s">
        <v>9</v>
      </c>
      <c r="F1036">
        <v>879.75</v>
      </c>
      <c r="G1036">
        <v>26597.79</v>
      </c>
    </row>
    <row r="1037" spans="1:7" hidden="1" x14ac:dyDescent="0.3">
      <c r="A1037" s="1">
        <v>45838</v>
      </c>
      <c r="B1037" t="s">
        <v>213</v>
      </c>
      <c r="C1037" t="s">
        <v>613</v>
      </c>
      <c r="D1037" t="s">
        <v>614</v>
      </c>
      <c r="E1037" t="s">
        <v>8</v>
      </c>
      <c r="F1037">
        <v>788.25</v>
      </c>
      <c r="G1037">
        <v>18051.77</v>
      </c>
    </row>
    <row r="1038" spans="1:7" hidden="1" x14ac:dyDescent="0.3">
      <c r="A1038" s="1">
        <v>45838</v>
      </c>
      <c r="B1038" t="s">
        <v>215</v>
      </c>
      <c r="C1038" t="s">
        <v>445</v>
      </c>
      <c r="D1038" t="s">
        <v>615</v>
      </c>
      <c r="E1038" t="s">
        <v>7</v>
      </c>
      <c r="F1038">
        <v>866</v>
      </c>
      <c r="G1038">
        <v>12537.670000000002</v>
      </c>
    </row>
    <row r="1039" spans="1:7" hidden="1" x14ac:dyDescent="0.3">
      <c r="A1039" s="1">
        <v>45838</v>
      </c>
      <c r="B1039" t="s">
        <v>217</v>
      </c>
      <c r="C1039" t="s">
        <v>616</v>
      </c>
      <c r="D1039" t="s">
        <v>617</v>
      </c>
      <c r="E1039" t="s">
        <v>2</v>
      </c>
      <c r="F1039">
        <v>750</v>
      </c>
      <c r="G1039">
        <v>12876.839999999997</v>
      </c>
    </row>
    <row r="1040" spans="1:7" hidden="1" x14ac:dyDescent="0.3">
      <c r="A1040" s="1">
        <v>45838</v>
      </c>
      <c r="B1040" t="s">
        <v>219</v>
      </c>
      <c r="C1040" t="s">
        <v>618</v>
      </c>
      <c r="D1040" t="s">
        <v>619</v>
      </c>
      <c r="E1040" t="s">
        <v>15</v>
      </c>
      <c r="F1040">
        <v>838.75</v>
      </c>
      <c r="G1040">
        <v>12249.22</v>
      </c>
    </row>
    <row r="1041" spans="1:7" hidden="1" x14ac:dyDescent="0.3">
      <c r="A1041" s="1">
        <v>45838</v>
      </c>
      <c r="B1041" t="s">
        <v>221</v>
      </c>
      <c r="C1041" t="s">
        <v>620</v>
      </c>
      <c r="D1041" t="s">
        <v>621</v>
      </c>
      <c r="E1041" t="s">
        <v>2</v>
      </c>
      <c r="F1041">
        <v>777</v>
      </c>
      <c r="G1041">
        <v>12658.080000000002</v>
      </c>
    </row>
    <row r="1042" spans="1:7" hidden="1" x14ac:dyDescent="0.3">
      <c r="A1042" s="1">
        <v>45838</v>
      </c>
      <c r="B1042" t="s">
        <v>223</v>
      </c>
      <c r="C1042" t="s">
        <v>622</v>
      </c>
      <c r="D1042" t="s">
        <v>623</v>
      </c>
      <c r="E1042" t="s">
        <v>14</v>
      </c>
      <c r="F1042">
        <v>881</v>
      </c>
      <c r="G1042">
        <v>19297.309999999998</v>
      </c>
    </row>
    <row r="1043" spans="1:7" hidden="1" x14ac:dyDescent="0.3">
      <c r="A1043" s="1">
        <v>45838</v>
      </c>
      <c r="B1043" t="s">
        <v>225</v>
      </c>
      <c r="C1043" t="s">
        <v>624</v>
      </c>
      <c r="D1043" t="s">
        <v>625</v>
      </c>
      <c r="E1043" t="s">
        <v>3</v>
      </c>
      <c r="F1043">
        <v>531.5</v>
      </c>
      <c r="G1043">
        <v>7260.69</v>
      </c>
    </row>
    <row r="1044" spans="1:7" hidden="1" x14ac:dyDescent="0.3">
      <c r="A1044" s="1">
        <v>45838</v>
      </c>
      <c r="B1044" t="s">
        <v>227</v>
      </c>
      <c r="C1044" t="s">
        <v>626</v>
      </c>
      <c r="D1044" t="s">
        <v>627</v>
      </c>
      <c r="E1044" t="s">
        <v>12</v>
      </c>
      <c r="F1044">
        <v>692.75</v>
      </c>
      <c r="G1044">
        <v>21061.599999999999</v>
      </c>
    </row>
    <row r="1045" spans="1:7" hidden="1" x14ac:dyDescent="0.3">
      <c r="A1045" s="1">
        <v>45838</v>
      </c>
      <c r="B1045" t="s">
        <v>229</v>
      </c>
      <c r="C1045" t="s">
        <v>628</v>
      </c>
      <c r="D1045" t="s">
        <v>629</v>
      </c>
      <c r="E1045" t="s">
        <v>2</v>
      </c>
      <c r="F1045">
        <v>561.25</v>
      </c>
      <c r="G1045">
        <v>6788.1500000000015</v>
      </c>
    </row>
    <row r="1046" spans="1:7" hidden="1" x14ac:dyDescent="0.3">
      <c r="A1046" s="1">
        <v>45838</v>
      </c>
      <c r="B1046" t="s">
        <v>231</v>
      </c>
      <c r="C1046" t="s">
        <v>630</v>
      </c>
      <c r="D1046" t="s">
        <v>631</v>
      </c>
      <c r="E1046" t="s">
        <v>2</v>
      </c>
      <c r="F1046">
        <v>864.75</v>
      </c>
      <c r="G1046">
        <v>13514.580000000002</v>
      </c>
    </row>
    <row r="1047" spans="1:7" hidden="1" x14ac:dyDescent="0.3">
      <c r="A1047" s="1">
        <v>45838</v>
      </c>
      <c r="B1047" t="s">
        <v>233</v>
      </c>
      <c r="C1047" t="s">
        <v>632</v>
      </c>
      <c r="D1047" t="s">
        <v>633</v>
      </c>
      <c r="E1047" t="s">
        <v>3</v>
      </c>
      <c r="F1047">
        <v>545.5</v>
      </c>
      <c r="G1047">
        <v>7713.2400000000016</v>
      </c>
    </row>
    <row r="1048" spans="1:7" hidden="1" x14ac:dyDescent="0.3">
      <c r="A1048" s="1">
        <v>45838</v>
      </c>
      <c r="B1048" t="s">
        <v>235</v>
      </c>
      <c r="C1048" t="s">
        <v>634</v>
      </c>
      <c r="D1048" t="s">
        <v>635</v>
      </c>
      <c r="E1048" t="s">
        <v>3</v>
      </c>
      <c r="F1048">
        <v>627.5</v>
      </c>
      <c r="G1048">
        <v>11251.56</v>
      </c>
    </row>
    <row r="1049" spans="1:7" hidden="1" x14ac:dyDescent="0.3">
      <c r="A1049" s="1">
        <v>45838</v>
      </c>
      <c r="B1049" t="s">
        <v>237</v>
      </c>
      <c r="C1049" t="s">
        <v>636</v>
      </c>
      <c r="D1049" t="s">
        <v>637</v>
      </c>
      <c r="E1049" t="s">
        <v>5</v>
      </c>
      <c r="F1049">
        <v>63</v>
      </c>
      <c r="G1049">
        <v>2552.0299999999997</v>
      </c>
    </row>
    <row r="1050" spans="1:7" hidden="1" x14ac:dyDescent="0.3">
      <c r="A1050" s="1">
        <v>45838</v>
      </c>
      <c r="B1050" t="s">
        <v>239</v>
      </c>
      <c r="C1050" t="s">
        <v>638</v>
      </c>
      <c r="D1050" t="s">
        <v>639</v>
      </c>
      <c r="E1050" t="s">
        <v>12</v>
      </c>
      <c r="F1050">
        <v>863.75</v>
      </c>
      <c r="G1050">
        <v>14111.72</v>
      </c>
    </row>
    <row r="1051" spans="1:7" hidden="1" x14ac:dyDescent="0.3">
      <c r="A1051" s="1">
        <v>45838</v>
      </c>
      <c r="B1051" t="s">
        <v>241</v>
      </c>
      <c r="C1051" t="s">
        <v>640</v>
      </c>
      <c r="D1051" t="s">
        <v>641</v>
      </c>
      <c r="E1051" t="s">
        <v>13</v>
      </c>
      <c r="F1051">
        <v>863.75</v>
      </c>
      <c r="G1051">
        <v>34123.770000000004</v>
      </c>
    </row>
    <row r="1052" spans="1:7" hidden="1" x14ac:dyDescent="0.3">
      <c r="A1052" s="1">
        <v>45838</v>
      </c>
      <c r="B1052" t="s">
        <v>243</v>
      </c>
      <c r="C1052" t="s">
        <v>642</v>
      </c>
      <c r="D1052" t="s">
        <v>643</v>
      </c>
      <c r="E1052" t="s">
        <v>5</v>
      </c>
      <c r="F1052">
        <v>813</v>
      </c>
      <c r="G1052">
        <v>9705.9300000000021</v>
      </c>
    </row>
    <row r="1053" spans="1:7" hidden="1" x14ac:dyDescent="0.3">
      <c r="A1053" s="1">
        <v>45838</v>
      </c>
      <c r="B1053" t="s">
        <v>245</v>
      </c>
      <c r="C1053" t="s">
        <v>644</v>
      </c>
      <c r="D1053" t="s">
        <v>555</v>
      </c>
      <c r="E1053" t="s">
        <v>3</v>
      </c>
      <c r="F1053">
        <v>385.5</v>
      </c>
      <c r="G1053">
        <v>5014.68</v>
      </c>
    </row>
    <row r="1054" spans="1:7" hidden="1" x14ac:dyDescent="0.3">
      <c r="A1054" s="1">
        <v>45838</v>
      </c>
      <c r="B1054" t="s">
        <v>247</v>
      </c>
      <c r="C1054" t="s">
        <v>645</v>
      </c>
      <c r="D1054" t="s">
        <v>646</v>
      </c>
      <c r="E1054" t="s">
        <v>2</v>
      </c>
      <c r="F1054">
        <v>795.75</v>
      </c>
      <c r="G1054">
        <v>10305.06</v>
      </c>
    </row>
    <row r="1055" spans="1:7" hidden="1" x14ac:dyDescent="0.3">
      <c r="A1055" s="1">
        <v>45838</v>
      </c>
      <c r="B1055" t="s">
        <v>249</v>
      </c>
      <c r="C1055" t="s">
        <v>647</v>
      </c>
      <c r="D1055" t="s">
        <v>648</v>
      </c>
      <c r="E1055" t="s">
        <v>2</v>
      </c>
      <c r="F1055">
        <v>915.75</v>
      </c>
      <c r="G1055">
        <v>13976.87</v>
      </c>
    </row>
    <row r="1056" spans="1:7" hidden="1" x14ac:dyDescent="0.3">
      <c r="A1056" s="1">
        <v>45838</v>
      </c>
      <c r="B1056" t="s">
        <v>251</v>
      </c>
      <c r="C1056" t="s">
        <v>649</v>
      </c>
      <c r="D1056" t="s">
        <v>460</v>
      </c>
      <c r="E1056" t="s">
        <v>2</v>
      </c>
      <c r="F1056">
        <v>167.25</v>
      </c>
      <c r="G1056">
        <v>4169.43</v>
      </c>
    </row>
    <row r="1057" spans="1:7" hidden="1" x14ac:dyDescent="0.3">
      <c r="A1057" s="1">
        <v>45838</v>
      </c>
      <c r="B1057" t="s">
        <v>253</v>
      </c>
      <c r="C1057" t="s">
        <v>650</v>
      </c>
      <c r="D1057" t="s">
        <v>651</v>
      </c>
      <c r="E1057" t="s">
        <v>5</v>
      </c>
      <c r="F1057">
        <v>659.75</v>
      </c>
      <c r="G1057">
        <v>8691.76</v>
      </c>
    </row>
    <row r="1058" spans="1:7" hidden="1" x14ac:dyDescent="0.3">
      <c r="A1058" s="1">
        <v>45838</v>
      </c>
      <c r="B1058" t="s">
        <v>255</v>
      </c>
      <c r="C1058" t="s">
        <v>652</v>
      </c>
      <c r="D1058" t="s">
        <v>653</v>
      </c>
      <c r="E1058" t="s">
        <v>5</v>
      </c>
      <c r="F1058">
        <v>126</v>
      </c>
      <c r="G1058">
        <v>1528.4600000000003</v>
      </c>
    </row>
    <row r="1059" spans="1:7" hidden="1" x14ac:dyDescent="0.3">
      <c r="A1059" s="1">
        <v>45838</v>
      </c>
      <c r="B1059" t="s">
        <v>257</v>
      </c>
      <c r="C1059" t="s">
        <v>654</v>
      </c>
      <c r="D1059" t="s">
        <v>655</v>
      </c>
      <c r="E1059" t="s">
        <v>5</v>
      </c>
      <c r="F1059">
        <v>0</v>
      </c>
      <c r="G1059">
        <v>2.2400000000000091</v>
      </c>
    </row>
    <row r="1060" spans="1:7" hidden="1" x14ac:dyDescent="0.3">
      <c r="A1060" s="1">
        <v>45838</v>
      </c>
      <c r="B1060" t="s">
        <v>259</v>
      </c>
      <c r="C1060" t="s">
        <v>656</v>
      </c>
      <c r="D1060" t="s">
        <v>657</v>
      </c>
      <c r="E1060" t="s">
        <v>2</v>
      </c>
      <c r="F1060">
        <v>673.75</v>
      </c>
      <c r="G1060">
        <v>11301.710000000003</v>
      </c>
    </row>
    <row r="1061" spans="1:7" hidden="1" x14ac:dyDescent="0.3">
      <c r="A1061" s="1">
        <v>45838</v>
      </c>
      <c r="B1061" t="s">
        <v>261</v>
      </c>
      <c r="C1061" t="s">
        <v>658</v>
      </c>
      <c r="D1061" t="s">
        <v>659</v>
      </c>
      <c r="E1061" t="s">
        <v>13</v>
      </c>
      <c r="F1061">
        <v>136.5</v>
      </c>
      <c r="G1061">
        <v>2509.25</v>
      </c>
    </row>
    <row r="1062" spans="1:7" hidden="1" x14ac:dyDescent="0.3">
      <c r="A1062" s="1">
        <v>45838</v>
      </c>
      <c r="B1062" t="s">
        <v>263</v>
      </c>
      <c r="C1062" t="s">
        <v>660</v>
      </c>
      <c r="D1062" t="s">
        <v>661</v>
      </c>
      <c r="E1062" t="s">
        <v>2</v>
      </c>
      <c r="F1062">
        <v>662.5</v>
      </c>
      <c r="G1062">
        <v>7984.61</v>
      </c>
    </row>
    <row r="1063" spans="1:7" hidden="1" x14ac:dyDescent="0.3">
      <c r="A1063" s="1">
        <v>45838</v>
      </c>
      <c r="B1063" t="s">
        <v>265</v>
      </c>
      <c r="C1063" t="s">
        <v>662</v>
      </c>
      <c r="D1063" t="s">
        <v>646</v>
      </c>
      <c r="E1063" t="s">
        <v>7</v>
      </c>
      <c r="F1063">
        <v>846.5</v>
      </c>
      <c r="G1063">
        <v>34714.910000000003</v>
      </c>
    </row>
    <row r="1064" spans="1:7" hidden="1" x14ac:dyDescent="0.3">
      <c r="A1064" s="1">
        <v>45838</v>
      </c>
      <c r="B1064" t="s">
        <v>267</v>
      </c>
      <c r="C1064" t="s">
        <v>663</v>
      </c>
      <c r="D1064" t="s">
        <v>664</v>
      </c>
      <c r="E1064" t="s">
        <v>10</v>
      </c>
      <c r="F1064">
        <v>820.5</v>
      </c>
      <c r="G1064">
        <v>14738.78</v>
      </c>
    </row>
    <row r="1065" spans="1:7" hidden="1" x14ac:dyDescent="0.3">
      <c r="A1065" s="1">
        <v>45838</v>
      </c>
      <c r="B1065" t="s">
        <v>269</v>
      </c>
      <c r="C1065" t="s">
        <v>665</v>
      </c>
      <c r="D1065" t="s">
        <v>666</v>
      </c>
      <c r="E1065" t="s">
        <v>2</v>
      </c>
      <c r="F1065">
        <v>783.5</v>
      </c>
      <c r="G1065">
        <v>12762.580000000002</v>
      </c>
    </row>
    <row r="1066" spans="1:7" hidden="1" x14ac:dyDescent="0.3">
      <c r="A1066" s="1">
        <v>45838</v>
      </c>
      <c r="B1066" t="s">
        <v>271</v>
      </c>
      <c r="C1066" t="s">
        <v>667</v>
      </c>
      <c r="D1066" t="s">
        <v>668</v>
      </c>
      <c r="E1066" t="s">
        <v>2</v>
      </c>
      <c r="F1066">
        <v>706.5</v>
      </c>
      <c r="G1066">
        <v>8914.8700000000008</v>
      </c>
    </row>
    <row r="1067" spans="1:7" hidden="1" x14ac:dyDescent="0.3">
      <c r="A1067" s="1">
        <v>45838</v>
      </c>
      <c r="B1067" t="s">
        <v>273</v>
      </c>
      <c r="C1067" t="s">
        <v>669</v>
      </c>
      <c r="D1067" t="s">
        <v>670</v>
      </c>
      <c r="E1067" t="s">
        <v>3</v>
      </c>
      <c r="F1067">
        <v>719</v>
      </c>
      <c r="G1067">
        <v>9228.5300000000007</v>
      </c>
    </row>
    <row r="1068" spans="1:7" hidden="1" x14ac:dyDescent="0.3">
      <c r="A1068" s="1">
        <v>45838</v>
      </c>
      <c r="B1068" t="s">
        <v>275</v>
      </c>
      <c r="C1068" t="s">
        <v>671</v>
      </c>
      <c r="D1068" t="s">
        <v>672</v>
      </c>
      <c r="E1068" t="s">
        <v>13</v>
      </c>
      <c r="F1068">
        <v>329</v>
      </c>
      <c r="G1068">
        <v>5535.71</v>
      </c>
    </row>
    <row r="1069" spans="1:7" hidden="1" x14ac:dyDescent="0.3">
      <c r="A1069" s="1">
        <v>45838</v>
      </c>
      <c r="B1069" t="s">
        <v>277</v>
      </c>
      <c r="C1069" t="s">
        <v>673</v>
      </c>
      <c r="D1069" t="s">
        <v>674</v>
      </c>
      <c r="E1069" t="s">
        <v>3</v>
      </c>
      <c r="F1069">
        <v>832.5</v>
      </c>
      <c r="G1069">
        <v>9928.31</v>
      </c>
    </row>
    <row r="1070" spans="1:7" hidden="1" x14ac:dyDescent="0.3">
      <c r="A1070" s="1">
        <v>45838</v>
      </c>
      <c r="B1070" t="s">
        <v>279</v>
      </c>
      <c r="C1070" t="s">
        <v>675</v>
      </c>
      <c r="D1070" t="s">
        <v>676</v>
      </c>
      <c r="E1070" t="s">
        <v>8</v>
      </c>
      <c r="F1070">
        <v>842.75</v>
      </c>
      <c r="G1070">
        <v>11959.77</v>
      </c>
    </row>
    <row r="1071" spans="1:7" hidden="1" x14ac:dyDescent="0.3">
      <c r="A1071" s="1">
        <v>45838</v>
      </c>
      <c r="B1071" t="s">
        <v>281</v>
      </c>
      <c r="C1071" t="s">
        <v>677</v>
      </c>
      <c r="D1071" t="s">
        <v>678</v>
      </c>
      <c r="E1071" t="s">
        <v>7</v>
      </c>
      <c r="F1071">
        <v>754</v>
      </c>
      <c r="G1071">
        <v>17698.850000000002</v>
      </c>
    </row>
    <row r="1072" spans="1:7" hidden="1" x14ac:dyDescent="0.3">
      <c r="A1072" s="1">
        <v>45838</v>
      </c>
      <c r="B1072" t="s">
        <v>283</v>
      </c>
      <c r="C1072" t="s">
        <v>679</v>
      </c>
      <c r="D1072" t="s">
        <v>680</v>
      </c>
      <c r="E1072" t="s">
        <v>3</v>
      </c>
      <c r="F1072">
        <v>536</v>
      </c>
      <c r="G1072">
        <v>6553.8800000000019</v>
      </c>
    </row>
    <row r="1073" spans="1:7" hidden="1" x14ac:dyDescent="0.3">
      <c r="A1073" s="1">
        <v>45838</v>
      </c>
      <c r="B1073" t="s">
        <v>285</v>
      </c>
      <c r="C1073" t="s">
        <v>681</v>
      </c>
      <c r="D1073" t="s">
        <v>504</v>
      </c>
      <c r="E1073" t="s">
        <v>5</v>
      </c>
      <c r="F1073">
        <v>814.75</v>
      </c>
      <c r="G1073">
        <v>9814.51</v>
      </c>
    </row>
    <row r="1074" spans="1:7" hidden="1" x14ac:dyDescent="0.3">
      <c r="A1074" s="1">
        <v>45838</v>
      </c>
      <c r="B1074" t="s">
        <v>287</v>
      </c>
      <c r="C1074" t="s">
        <v>682</v>
      </c>
      <c r="D1074" t="s">
        <v>683</v>
      </c>
      <c r="E1074" t="s">
        <v>5</v>
      </c>
      <c r="F1074">
        <v>800.5</v>
      </c>
      <c r="G1074">
        <v>8975.64</v>
      </c>
    </row>
    <row r="1075" spans="1:7" hidden="1" x14ac:dyDescent="0.3">
      <c r="A1075" s="1">
        <v>45838</v>
      </c>
      <c r="B1075" t="s">
        <v>289</v>
      </c>
      <c r="C1075" t="s">
        <v>684</v>
      </c>
      <c r="D1075" t="s">
        <v>685</v>
      </c>
      <c r="E1075" t="s">
        <v>5</v>
      </c>
      <c r="F1075">
        <v>805.25</v>
      </c>
      <c r="G1075">
        <v>9528.5400000000009</v>
      </c>
    </row>
    <row r="1076" spans="1:7" hidden="1" x14ac:dyDescent="0.3">
      <c r="A1076" s="1">
        <v>45838</v>
      </c>
      <c r="B1076" t="s">
        <v>291</v>
      </c>
      <c r="C1076" t="s">
        <v>686</v>
      </c>
      <c r="D1076" t="s">
        <v>534</v>
      </c>
      <c r="E1076" t="s">
        <v>14</v>
      </c>
      <c r="F1076">
        <v>889</v>
      </c>
      <c r="G1076">
        <v>16247.659999999998</v>
      </c>
    </row>
    <row r="1077" spans="1:7" hidden="1" x14ac:dyDescent="0.3">
      <c r="A1077" s="1">
        <v>45838</v>
      </c>
      <c r="B1077" t="s">
        <v>293</v>
      </c>
      <c r="C1077" t="s">
        <v>687</v>
      </c>
      <c r="D1077" t="s">
        <v>688</v>
      </c>
      <c r="E1077" t="s">
        <v>2</v>
      </c>
      <c r="F1077">
        <v>818.25</v>
      </c>
      <c r="G1077">
        <v>12974.58</v>
      </c>
    </row>
    <row r="1078" spans="1:7" hidden="1" x14ac:dyDescent="0.3">
      <c r="A1078" s="1">
        <v>45838</v>
      </c>
      <c r="B1078" t="s">
        <v>295</v>
      </c>
      <c r="C1078" t="s">
        <v>689</v>
      </c>
      <c r="D1078" t="s">
        <v>690</v>
      </c>
      <c r="E1078" t="s">
        <v>5</v>
      </c>
      <c r="F1078">
        <v>621.75</v>
      </c>
      <c r="G1078">
        <v>8199.26</v>
      </c>
    </row>
    <row r="1079" spans="1:7" hidden="1" x14ac:dyDescent="0.3">
      <c r="A1079" s="1">
        <v>45838</v>
      </c>
      <c r="B1079" t="s">
        <v>297</v>
      </c>
      <c r="C1079" t="s">
        <v>648</v>
      </c>
      <c r="D1079" t="s">
        <v>691</v>
      </c>
      <c r="E1079" t="s">
        <v>2</v>
      </c>
      <c r="F1079">
        <v>806.75</v>
      </c>
      <c r="G1079">
        <v>12628.72</v>
      </c>
    </row>
    <row r="1080" spans="1:7" hidden="1" x14ac:dyDescent="0.3">
      <c r="A1080" s="1">
        <v>45838</v>
      </c>
      <c r="B1080" t="s">
        <v>299</v>
      </c>
      <c r="C1080" t="s">
        <v>692</v>
      </c>
      <c r="D1080" t="s">
        <v>551</v>
      </c>
      <c r="E1080" t="s">
        <v>10</v>
      </c>
      <c r="F1080">
        <v>676.5</v>
      </c>
      <c r="G1080">
        <v>12392.939999999999</v>
      </c>
    </row>
    <row r="1081" spans="1:7" hidden="1" x14ac:dyDescent="0.3">
      <c r="A1081" s="1">
        <v>45838</v>
      </c>
      <c r="B1081" t="s">
        <v>301</v>
      </c>
      <c r="C1081" t="s">
        <v>693</v>
      </c>
      <c r="D1081" t="s">
        <v>694</v>
      </c>
      <c r="E1081" t="s">
        <v>5</v>
      </c>
      <c r="F1081">
        <v>554.5</v>
      </c>
      <c r="G1081">
        <v>7233.1</v>
      </c>
    </row>
    <row r="1082" spans="1:7" hidden="1" x14ac:dyDescent="0.3">
      <c r="A1082" s="1">
        <v>45838</v>
      </c>
      <c r="B1082" t="s">
        <v>303</v>
      </c>
      <c r="C1082" t="s">
        <v>695</v>
      </c>
      <c r="D1082" t="s">
        <v>696</v>
      </c>
      <c r="E1082" t="s">
        <v>13</v>
      </c>
      <c r="F1082">
        <v>335.45</v>
      </c>
      <c r="G1082">
        <v>5944.3300000000008</v>
      </c>
    </row>
    <row r="1083" spans="1:7" hidden="1" x14ac:dyDescent="0.3">
      <c r="A1083" s="1">
        <v>45838</v>
      </c>
      <c r="B1083" t="s">
        <v>305</v>
      </c>
      <c r="C1083" t="s">
        <v>697</v>
      </c>
      <c r="D1083" t="s">
        <v>698</v>
      </c>
      <c r="E1083" t="s">
        <v>5</v>
      </c>
      <c r="F1083">
        <v>854.75</v>
      </c>
      <c r="G1083">
        <v>9940.48</v>
      </c>
    </row>
    <row r="1084" spans="1:7" hidden="1" x14ac:dyDescent="0.3">
      <c r="A1084" s="1">
        <v>45838</v>
      </c>
      <c r="B1084" t="s">
        <v>307</v>
      </c>
      <c r="C1084" t="s">
        <v>699</v>
      </c>
      <c r="D1084" t="s">
        <v>456</v>
      </c>
      <c r="E1084" t="s">
        <v>13</v>
      </c>
      <c r="F1084">
        <v>622.75</v>
      </c>
      <c r="G1084">
        <v>11180.3</v>
      </c>
    </row>
    <row r="1085" spans="1:7" hidden="1" x14ac:dyDescent="0.3">
      <c r="A1085" s="1">
        <v>45838</v>
      </c>
      <c r="B1085" t="s">
        <v>309</v>
      </c>
      <c r="C1085" t="s">
        <v>700</v>
      </c>
      <c r="D1085" t="s">
        <v>701</v>
      </c>
      <c r="E1085" t="s">
        <v>10</v>
      </c>
      <c r="F1085">
        <v>928</v>
      </c>
      <c r="G1085">
        <v>19727.200000000008</v>
      </c>
    </row>
    <row r="1086" spans="1:7" hidden="1" x14ac:dyDescent="0.3">
      <c r="A1086" s="1">
        <v>45838</v>
      </c>
      <c r="B1086" t="s">
        <v>311</v>
      </c>
      <c r="C1086" t="s">
        <v>702</v>
      </c>
      <c r="D1086" t="s">
        <v>703</v>
      </c>
      <c r="E1086" t="s">
        <v>5</v>
      </c>
      <c r="F1086">
        <v>762</v>
      </c>
      <c r="G1086">
        <v>9369.0800000000017</v>
      </c>
    </row>
    <row r="1087" spans="1:7" hidden="1" x14ac:dyDescent="0.3">
      <c r="A1087" s="1">
        <v>45838</v>
      </c>
      <c r="B1087" t="s">
        <v>313</v>
      </c>
      <c r="C1087" t="s">
        <v>704</v>
      </c>
      <c r="D1087" t="s">
        <v>705</v>
      </c>
      <c r="E1087" t="s">
        <v>13</v>
      </c>
      <c r="F1087">
        <v>738</v>
      </c>
      <c r="G1087">
        <v>12071.04</v>
      </c>
    </row>
    <row r="1088" spans="1:7" hidden="1" x14ac:dyDescent="0.3">
      <c r="A1088" s="1">
        <v>45838</v>
      </c>
      <c r="B1088" t="s">
        <v>315</v>
      </c>
      <c r="C1088" t="s">
        <v>706</v>
      </c>
      <c r="D1088" t="s">
        <v>707</v>
      </c>
      <c r="E1088" t="s">
        <v>6</v>
      </c>
      <c r="F1088">
        <v>875.5</v>
      </c>
      <c r="G1088">
        <v>10644.34</v>
      </c>
    </row>
    <row r="1089" spans="1:7" hidden="1" x14ac:dyDescent="0.3">
      <c r="A1089" s="1">
        <v>45838</v>
      </c>
      <c r="B1089" t="s">
        <v>317</v>
      </c>
      <c r="C1089" t="s">
        <v>708</v>
      </c>
      <c r="D1089" t="s">
        <v>709</v>
      </c>
      <c r="E1089" t="s">
        <v>3</v>
      </c>
      <c r="F1089">
        <v>45</v>
      </c>
      <c r="G1089">
        <v>1701.22</v>
      </c>
    </row>
    <row r="1090" spans="1:7" hidden="1" x14ac:dyDescent="0.3">
      <c r="A1090" s="1">
        <v>45838</v>
      </c>
      <c r="B1090" t="s">
        <v>319</v>
      </c>
      <c r="C1090" t="s">
        <v>710</v>
      </c>
      <c r="D1090" t="s">
        <v>711</v>
      </c>
      <c r="E1090" t="s">
        <v>2</v>
      </c>
      <c r="F1090">
        <v>807</v>
      </c>
      <c r="G1090">
        <v>13168.3</v>
      </c>
    </row>
    <row r="1091" spans="1:7" hidden="1" x14ac:dyDescent="0.3">
      <c r="A1091" s="1">
        <v>45838</v>
      </c>
      <c r="B1091" t="s">
        <v>321</v>
      </c>
      <c r="C1091" t="s">
        <v>712</v>
      </c>
      <c r="D1091" t="s">
        <v>713</v>
      </c>
      <c r="E1091" t="s">
        <v>2</v>
      </c>
      <c r="F1091">
        <v>815.5</v>
      </c>
      <c r="G1091">
        <v>15166.7</v>
      </c>
    </row>
    <row r="1092" spans="1:7" hidden="1" x14ac:dyDescent="0.3">
      <c r="A1092" s="1">
        <v>45838</v>
      </c>
      <c r="B1092" t="s">
        <v>323</v>
      </c>
      <c r="C1092" t="s">
        <v>714</v>
      </c>
      <c r="D1092" t="s">
        <v>715</v>
      </c>
      <c r="E1092" t="s">
        <v>13</v>
      </c>
      <c r="F1092">
        <v>287.5</v>
      </c>
      <c r="G1092">
        <v>4818.62</v>
      </c>
    </row>
    <row r="1093" spans="1:7" hidden="1" x14ac:dyDescent="0.3">
      <c r="A1093" s="1">
        <v>45838</v>
      </c>
      <c r="B1093" t="s">
        <v>325</v>
      </c>
      <c r="C1093" t="s">
        <v>716</v>
      </c>
      <c r="D1093" t="s">
        <v>717</v>
      </c>
      <c r="E1093" t="s">
        <v>13</v>
      </c>
      <c r="F1093">
        <v>499.25</v>
      </c>
      <c r="G1093">
        <v>6998.2299999999987</v>
      </c>
    </row>
    <row r="1094" spans="1:7" hidden="1" x14ac:dyDescent="0.3">
      <c r="A1094" s="1">
        <v>45838</v>
      </c>
      <c r="B1094" t="s">
        <v>327</v>
      </c>
      <c r="C1094" t="s">
        <v>718</v>
      </c>
      <c r="D1094" t="s">
        <v>719</v>
      </c>
      <c r="E1094" t="s">
        <v>5</v>
      </c>
      <c r="F1094">
        <v>339.25</v>
      </c>
      <c r="G1094">
        <v>5118.9000000000005</v>
      </c>
    </row>
    <row r="1095" spans="1:7" hidden="1" x14ac:dyDescent="0.3">
      <c r="A1095" s="1">
        <v>45838</v>
      </c>
      <c r="B1095" t="s">
        <v>329</v>
      </c>
      <c r="C1095" t="s">
        <v>720</v>
      </c>
      <c r="D1095" t="s">
        <v>721</v>
      </c>
      <c r="E1095" t="s">
        <v>6</v>
      </c>
      <c r="F1095">
        <v>721.5</v>
      </c>
      <c r="G1095">
        <v>9566.1300000000028</v>
      </c>
    </row>
    <row r="1096" spans="1:7" hidden="1" x14ac:dyDescent="0.3">
      <c r="A1096" s="1">
        <v>45838</v>
      </c>
      <c r="B1096" t="s">
        <v>331</v>
      </c>
      <c r="C1096" t="s">
        <v>722</v>
      </c>
      <c r="D1096" t="s">
        <v>723</v>
      </c>
      <c r="E1096" t="s">
        <v>3</v>
      </c>
      <c r="F1096">
        <v>376</v>
      </c>
      <c r="G1096">
        <v>4438.7499999999991</v>
      </c>
    </row>
    <row r="1097" spans="1:7" hidden="1" x14ac:dyDescent="0.3">
      <c r="A1097" s="1">
        <v>45838</v>
      </c>
      <c r="B1097" t="s">
        <v>333</v>
      </c>
      <c r="C1097" t="s">
        <v>724</v>
      </c>
      <c r="D1097" t="s">
        <v>725</v>
      </c>
      <c r="E1097" t="s">
        <v>14</v>
      </c>
      <c r="F1097">
        <v>568.75</v>
      </c>
      <c r="G1097">
        <v>12681.24</v>
      </c>
    </row>
    <row r="1098" spans="1:7" hidden="1" x14ac:dyDescent="0.3">
      <c r="A1098" s="1">
        <v>45838</v>
      </c>
      <c r="B1098" t="s">
        <v>366</v>
      </c>
      <c r="C1098" t="s">
        <v>751</v>
      </c>
      <c r="D1098" t="s">
        <v>601</v>
      </c>
      <c r="E1098" t="s">
        <v>5</v>
      </c>
      <c r="F1098">
        <v>187.25</v>
      </c>
      <c r="G1098">
        <v>2421.2900000000004</v>
      </c>
    </row>
    <row r="1099" spans="1:7" hidden="1" x14ac:dyDescent="0.3">
      <c r="A1099" s="1">
        <v>45838</v>
      </c>
      <c r="B1099" t="s">
        <v>335</v>
      </c>
      <c r="C1099" t="s">
        <v>726</v>
      </c>
      <c r="D1099" t="s">
        <v>551</v>
      </c>
      <c r="E1099" t="s">
        <v>2</v>
      </c>
      <c r="F1099">
        <v>519</v>
      </c>
      <c r="G1099">
        <v>8586.6</v>
      </c>
    </row>
    <row r="1100" spans="1:7" hidden="1" x14ac:dyDescent="0.3">
      <c r="A1100" s="1">
        <v>45838</v>
      </c>
      <c r="B1100" t="s">
        <v>368</v>
      </c>
      <c r="C1100" t="s">
        <v>752</v>
      </c>
      <c r="D1100" t="s">
        <v>753</v>
      </c>
      <c r="E1100" t="s">
        <v>13</v>
      </c>
      <c r="F1100">
        <v>520.5</v>
      </c>
      <c r="G1100">
        <v>8147.29</v>
      </c>
    </row>
    <row r="1101" spans="1:7" hidden="1" x14ac:dyDescent="0.3">
      <c r="A1101" s="1">
        <v>45838</v>
      </c>
      <c r="B1101" t="s">
        <v>370</v>
      </c>
      <c r="C1101" t="s">
        <v>727</v>
      </c>
      <c r="D1101" t="s">
        <v>728</v>
      </c>
      <c r="E1101" t="s">
        <v>5</v>
      </c>
      <c r="F1101">
        <v>648.75</v>
      </c>
      <c r="G1101">
        <v>7707.159999999998</v>
      </c>
    </row>
    <row r="1102" spans="1:7" hidden="1" x14ac:dyDescent="0.3">
      <c r="A1102" s="1">
        <v>45838</v>
      </c>
      <c r="B1102" t="s">
        <v>371</v>
      </c>
      <c r="C1102" t="s">
        <v>754</v>
      </c>
      <c r="D1102" t="s">
        <v>755</v>
      </c>
      <c r="E1102" t="s">
        <v>11</v>
      </c>
      <c r="F1102">
        <v>212</v>
      </c>
      <c r="G1102">
        <v>14622.89</v>
      </c>
    </row>
    <row r="1103" spans="1:7" hidden="1" x14ac:dyDescent="0.3">
      <c r="A1103" s="1">
        <v>45838</v>
      </c>
      <c r="B1103" t="s">
        <v>373</v>
      </c>
      <c r="C1103" t="s">
        <v>756</v>
      </c>
      <c r="D1103" t="s">
        <v>757</v>
      </c>
      <c r="E1103" t="s">
        <v>13</v>
      </c>
      <c r="F1103">
        <v>613.5</v>
      </c>
      <c r="G1103">
        <v>13479.33</v>
      </c>
    </row>
    <row r="1104" spans="1:7" hidden="1" x14ac:dyDescent="0.3">
      <c r="A1104" s="1">
        <v>45838</v>
      </c>
      <c r="B1104" t="s">
        <v>375</v>
      </c>
      <c r="C1104" t="s">
        <v>758</v>
      </c>
      <c r="D1104" t="s">
        <v>759</v>
      </c>
      <c r="E1104" t="s">
        <v>13</v>
      </c>
      <c r="F1104">
        <v>108.5</v>
      </c>
      <c r="G1104">
        <v>1638.32</v>
      </c>
    </row>
    <row r="1105" spans="1:7" hidden="1" x14ac:dyDescent="0.3">
      <c r="A1105" s="1">
        <v>45838</v>
      </c>
      <c r="B1105" t="s">
        <v>377</v>
      </c>
      <c r="C1105" t="s">
        <v>760</v>
      </c>
      <c r="D1105" t="s">
        <v>761</v>
      </c>
      <c r="E1105" t="s">
        <v>2</v>
      </c>
      <c r="F1105">
        <v>441.5</v>
      </c>
      <c r="G1105">
        <v>5329.42</v>
      </c>
    </row>
    <row r="1106" spans="1:7" x14ac:dyDescent="0.3">
      <c r="A1106" s="1">
        <v>45838</v>
      </c>
      <c r="B1106" t="s">
        <v>379</v>
      </c>
      <c r="C1106" t="s">
        <v>739</v>
      </c>
      <c r="D1106" t="s">
        <v>519</v>
      </c>
      <c r="E1106" t="s">
        <v>2</v>
      </c>
      <c r="F1106">
        <v>391</v>
      </c>
      <c r="G1106">
        <v>5177.8999999999996</v>
      </c>
    </row>
    <row r="1107" spans="1:7" hidden="1" x14ac:dyDescent="0.3">
      <c r="A1107" s="1">
        <v>45838</v>
      </c>
      <c r="B1107" t="s">
        <v>380</v>
      </c>
      <c r="C1107" t="s">
        <v>730</v>
      </c>
      <c r="D1107" t="s">
        <v>731</v>
      </c>
      <c r="E1107" t="s">
        <v>13</v>
      </c>
      <c r="F1107">
        <v>643.5</v>
      </c>
      <c r="G1107">
        <v>8625.8799999999992</v>
      </c>
    </row>
    <row r="1108" spans="1:7" hidden="1" x14ac:dyDescent="0.3">
      <c r="A1108" s="1">
        <v>45838</v>
      </c>
      <c r="B1108" t="s">
        <v>381</v>
      </c>
      <c r="C1108" t="s">
        <v>762</v>
      </c>
      <c r="D1108" t="s">
        <v>763</v>
      </c>
      <c r="E1108" t="s">
        <v>7</v>
      </c>
      <c r="F1108">
        <v>545.75</v>
      </c>
      <c r="G1108">
        <v>16329.3</v>
      </c>
    </row>
    <row r="1109" spans="1:7" hidden="1" x14ac:dyDescent="0.3">
      <c r="A1109" s="1">
        <v>45838</v>
      </c>
      <c r="B1109" t="s">
        <v>383</v>
      </c>
      <c r="C1109" t="s">
        <v>729</v>
      </c>
      <c r="D1109" t="s">
        <v>641</v>
      </c>
      <c r="E1109" t="s">
        <v>8</v>
      </c>
      <c r="F1109">
        <v>525</v>
      </c>
      <c r="G1109">
        <v>7472.44</v>
      </c>
    </row>
    <row r="1110" spans="1:7" hidden="1" x14ac:dyDescent="0.3">
      <c r="A1110" s="1">
        <v>45838</v>
      </c>
      <c r="B1110" t="s">
        <v>384</v>
      </c>
      <c r="C1110" t="s">
        <v>764</v>
      </c>
      <c r="D1110" t="s">
        <v>581</v>
      </c>
      <c r="E1110" t="s">
        <v>2</v>
      </c>
      <c r="F1110">
        <v>549.5</v>
      </c>
      <c r="G1110">
        <v>8803.92</v>
      </c>
    </row>
    <row r="1111" spans="1:7" hidden="1" x14ac:dyDescent="0.3">
      <c r="A1111" s="1">
        <v>45838</v>
      </c>
      <c r="B1111" t="s">
        <v>386</v>
      </c>
      <c r="C1111" t="s">
        <v>765</v>
      </c>
      <c r="D1111" t="s">
        <v>766</v>
      </c>
      <c r="E1111" t="s">
        <v>2</v>
      </c>
      <c r="F1111">
        <v>529.5</v>
      </c>
      <c r="G1111">
        <v>8106.1799999999994</v>
      </c>
    </row>
    <row r="1112" spans="1:7" hidden="1" x14ac:dyDescent="0.3">
      <c r="A1112" s="1">
        <v>45838</v>
      </c>
      <c r="B1112" t="s">
        <v>388</v>
      </c>
      <c r="C1112" t="s">
        <v>767</v>
      </c>
      <c r="D1112" t="s">
        <v>768</v>
      </c>
      <c r="E1112" t="s">
        <v>2</v>
      </c>
      <c r="F1112">
        <v>396.5</v>
      </c>
      <c r="G1112">
        <v>5441.1600000000008</v>
      </c>
    </row>
    <row r="1113" spans="1:7" hidden="1" x14ac:dyDescent="0.3">
      <c r="A1113" s="1">
        <v>45838</v>
      </c>
      <c r="B1113" t="s">
        <v>390</v>
      </c>
      <c r="C1113" t="s">
        <v>769</v>
      </c>
      <c r="D1113" t="s">
        <v>770</v>
      </c>
      <c r="E1113" t="s">
        <v>3</v>
      </c>
      <c r="F1113">
        <v>421.75</v>
      </c>
      <c r="G1113">
        <v>5166.17</v>
      </c>
    </row>
    <row r="1114" spans="1:7" hidden="1" x14ac:dyDescent="0.3">
      <c r="A1114" s="1">
        <v>45838</v>
      </c>
      <c r="B1114" t="s">
        <v>392</v>
      </c>
      <c r="C1114" t="s">
        <v>771</v>
      </c>
      <c r="D1114" t="s">
        <v>498</v>
      </c>
      <c r="E1114" t="s">
        <v>2</v>
      </c>
      <c r="F1114">
        <v>265.5</v>
      </c>
      <c r="G1114">
        <v>3019.05</v>
      </c>
    </row>
    <row r="1115" spans="1:7" hidden="1" x14ac:dyDescent="0.3">
      <c r="A1115" s="1">
        <v>45838</v>
      </c>
      <c r="B1115" t="s">
        <v>394</v>
      </c>
      <c r="C1115" t="s">
        <v>772</v>
      </c>
      <c r="D1115" t="s">
        <v>773</v>
      </c>
      <c r="E1115" t="s">
        <v>2</v>
      </c>
      <c r="F1115">
        <v>454.25</v>
      </c>
      <c r="G1115">
        <v>5245.81</v>
      </c>
    </row>
    <row r="1116" spans="1:7" hidden="1" x14ac:dyDescent="0.3">
      <c r="A1116" s="1">
        <v>45838</v>
      </c>
      <c r="B1116" t="s">
        <v>396</v>
      </c>
      <c r="C1116" t="s">
        <v>746</v>
      </c>
      <c r="D1116" t="s">
        <v>747</v>
      </c>
      <c r="E1116" t="s">
        <v>3</v>
      </c>
      <c r="F1116">
        <v>344.25</v>
      </c>
      <c r="G1116">
        <v>4163.6900000000005</v>
      </c>
    </row>
    <row r="1117" spans="1:7" hidden="1" x14ac:dyDescent="0.3">
      <c r="A1117" s="1">
        <v>45838</v>
      </c>
      <c r="B1117" t="s">
        <v>399</v>
      </c>
      <c r="C1117" t="s">
        <v>594</v>
      </c>
      <c r="D1117" t="s">
        <v>446</v>
      </c>
      <c r="E1117" t="s">
        <v>12</v>
      </c>
      <c r="F1117">
        <v>404.25</v>
      </c>
      <c r="G1117">
        <v>9741.08</v>
      </c>
    </row>
    <row r="1118" spans="1:7" hidden="1" x14ac:dyDescent="0.3">
      <c r="A1118" s="1">
        <v>45838</v>
      </c>
      <c r="B1118" t="s">
        <v>401</v>
      </c>
      <c r="C1118" t="s">
        <v>732</v>
      </c>
      <c r="D1118" t="s">
        <v>733</v>
      </c>
      <c r="E1118" t="s">
        <v>5</v>
      </c>
      <c r="F1118">
        <v>69.5</v>
      </c>
      <c r="G1118">
        <v>1030.42</v>
      </c>
    </row>
    <row r="1119" spans="1:7" hidden="1" x14ac:dyDescent="0.3">
      <c r="A1119" s="1">
        <v>45838</v>
      </c>
      <c r="B1119" t="s">
        <v>402</v>
      </c>
      <c r="C1119" t="s">
        <v>734</v>
      </c>
      <c r="D1119" t="s">
        <v>440</v>
      </c>
      <c r="E1119" t="s">
        <v>5</v>
      </c>
      <c r="F1119">
        <v>398.75</v>
      </c>
      <c r="G1119">
        <v>4715.55</v>
      </c>
    </row>
    <row r="1120" spans="1:7" hidden="1" x14ac:dyDescent="0.3">
      <c r="A1120" s="1">
        <v>45838</v>
      </c>
      <c r="B1120" t="s">
        <v>418</v>
      </c>
      <c r="C1120" t="s">
        <v>636</v>
      </c>
      <c r="D1120" t="s">
        <v>637</v>
      </c>
      <c r="E1120" t="s">
        <v>5</v>
      </c>
      <c r="F1120">
        <v>243</v>
      </c>
      <c r="G1120">
        <v>2763.7800000000007</v>
      </c>
    </row>
    <row r="1121" spans="1:7" hidden="1" x14ac:dyDescent="0.3">
      <c r="A1121" s="1">
        <v>45838</v>
      </c>
      <c r="B1121" t="s">
        <v>337</v>
      </c>
      <c r="C1121" t="s">
        <v>727</v>
      </c>
      <c r="D1121" t="s">
        <v>728</v>
      </c>
      <c r="E1121" t="s">
        <v>5</v>
      </c>
      <c r="F1121">
        <v>0</v>
      </c>
      <c r="G1121">
        <v>566.08000000000004</v>
      </c>
    </row>
    <row r="1122" spans="1:7" hidden="1" x14ac:dyDescent="0.3">
      <c r="A1122" s="1">
        <v>45838</v>
      </c>
      <c r="B1122" t="s">
        <v>339</v>
      </c>
      <c r="C1122" t="s">
        <v>729</v>
      </c>
      <c r="D1122" t="s">
        <v>641</v>
      </c>
      <c r="E1122" t="s">
        <v>8</v>
      </c>
      <c r="F1122">
        <v>0</v>
      </c>
      <c r="G1122">
        <v>1041.02</v>
      </c>
    </row>
    <row r="1123" spans="1:7" hidden="1" x14ac:dyDescent="0.3">
      <c r="A1123" s="1">
        <v>45838</v>
      </c>
      <c r="B1123" t="s">
        <v>341</v>
      </c>
      <c r="C1123" t="s">
        <v>730</v>
      </c>
      <c r="D1123" t="s">
        <v>731</v>
      </c>
      <c r="E1123" t="s">
        <v>13</v>
      </c>
      <c r="F1123">
        <v>0</v>
      </c>
      <c r="G1123">
        <v>1338.19</v>
      </c>
    </row>
    <row r="1124" spans="1:7" hidden="1" x14ac:dyDescent="0.3">
      <c r="A1124" s="1">
        <v>45838</v>
      </c>
      <c r="B1124" t="s">
        <v>343</v>
      </c>
      <c r="C1124" t="s">
        <v>726</v>
      </c>
      <c r="D1124" t="s">
        <v>551</v>
      </c>
      <c r="E1124" t="s">
        <v>2</v>
      </c>
      <c r="F1124">
        <v>0</v>
      </c>
      <c r="G1124">
        <v>11.58</v>
      </c>
    </row>
    <row r="1125" spans="1:7" hidden="1" x14ac:dyDescent="0.3">
      <c r="A1125" s="1">
        <v>45838</v>
      </c>
      <c r="B1125" t="s">
        <v>344</v>
      </c>
      <c r="C1125" t="s">
        <v>732</v>
      </c>
      <c r="D1125" t="s">
        <v>733</v>
      </c>
      <c r="E1125" t="s">
        <v>5</v>
      </c>
      <c r="F1125">
        <v>0</v>
      </c>
      <c r="G1125">
        <v>1548.24</v>
      </c>
    </row>
    <row r="1126" spans="1:7" hidden="1" x14ac:dyDescent="0.3">
      <c r="A1126" s="1">
        <v>45838</v>
      </c>
      <c r="B1126" t="s">
        <v>346</v>
      </c>
      <c r="C1126" t="s">
        <v>734</v>
      </c>
      <c r="D1126" t="s">
        <v>440</v>
      </c>
      <c r="E1126" t="s">
        <v>5</v>
      </c>
      <c r="F1126">
        <v>0</v>
      </c>
      <c r="G1126">
        <v>1548.24</v>
      </c>
    </row>
    <row r="1127" spans="1:7" hidden="1" x14ac:dyDescent="0.3">
      <c r="A1127" s="1">
        <v>45838</v>
      </c>
      <c r="B1127" t="s">
        <v>426</v>
      </c>
      <c r="C1127" t="s">
        <v>735</v>
      </c>
      <c r="D1127" t="s">
        <v>736</v>
      </c>
      <c r="E1127" t="s">
        <v>5</v>
      </c>
      <c r="F1127">
        <v>0</v>
      </c>
      <c r="G1127">
        <v>0</v>
      </c>
    </row>
    <row r="1128" spans="1:7" hidden="1" x14ac:dyDescent="0.3">
      <c r="A1128" s="1">
        <v>45838</v>
      </c>
      <c r="B1128" t="s">
        <v>348</v>
      </c>
      <c r="C1128" t="s">
        <v>720</v>
      </c>
      <c r="D1128" t="s">
        <v>721</v>
      </c>
      <c r="E1128" t="s">
        <v>6</v>
      </c>
      <c r="F1128">
        <v>0</v>
      </c>
      <c r="G1128">
        <v>23.91</v>
      </c>
    </row>
    <row r="1129" spans="1:7" hidden="1" x14ac:dyDescent="0.3">
      <c r="A1129" s="1">
        <v>45838</v>
      </c>
      <c r="B1129" t="s">
        <v>349</v>
      </c>
      <c r="C1129" t="s">
        <v>737</v>
      </c>
      <c r="D1129" t="s">
        <v>738</v>
      </c>
      <c r="E1129" t="s">
        <v>5</v>
      </c>
      <c r="F1129">
        <v>0</v>
      </c>
      <c r="G1129">
        <v>931.52</v>
      </c>
    </row>
    <row r="1130" spans="1:7" x14ac:dyDescent="0.3">
      <c r="A1130" s="1">
        <v>45838</v>
      </c>
      <c r="B1130" t="s">
        <v>351</v>
      </c>
      <c r="C1130" t="s">
        <v>739</v>
      </c>
      <c r="D1130" t="s">
        <v>519</v>
      </c>
      <c r="E1130" t="s">
        <v>2</v>
      </c>
      <c r="F1130">
        <v>0</v>
      </c>
      <c r="G1130">
        <v>27.02</v>
      </c>
    </row>
    <row r="1131" spans="1:7" hidden="1" x14ac:dyDescent="0.3">
      <c r="A1131" s="1">
        <v>45838</v>
      </c>
      <c r="B1131" t="s">
        <v>353</v>
      </c>
      <c r="C1131" t="s">
        <v>740</v>
      </c>
      <c r="D1131" t="s">
        <v>741</v>
      </c>
      <c r="E1131" t="s">
        <v>5</v>
      </c>
      <c r="F1131">
        <v>152</v>
      </c>
      <c r="G1131">
        <v>2946.48</v>
      </c>
    </row>
    <row r="1132" spans="1:7" hidden="1" x14ac:dyDescent="0.3">
      <c r="A1132" s="1">
        <v>45838</v>
      </c>
      <c r="B1132" t="s">
        <v>355</v>
      </c>
      <c r="C1132" t="s">
        <v>742</v>
      </c>
      <c r="D1132" t="s">
        <v>743</v>
      </c>
      <c r="E1132" t="s">
        <v>5</v>
      </c>
      <c r="F1132">
        <v>152</v>
      </c>
      <c r="G1132">
        <v>2946.48</v>
      </c>
    </row>
    <row r="1133" spans="1:7" hidden="1" x14ac:dyDescent="0.3">
      <c r="A1133" s="1">
        <v>45838</v>
      </c>
      <c r="B1133" t="s">
        <v>357</v>
      </c>
      <c r="C1133" t="s">
        <v>744</v>
      </c>
      <c r="D1133" t="s">
        <v>745</v>
      </c>
      <c r="E1133" t="s">
        <v>3</v>
      </c>
      <c r="F1133">
        <v>0</v>
      </c>
      <c r="G1133">
        <v>47.6</v>
      </c>
    </row>
    <row r="1134" spans="1:7" hidden="1" x14ac:dyDescent="0.3">
      <c r="A1134" s="1">
        <v>45838</v>
      </c>
      <c r="B1134" t="s">
        <v>359</v>
      </c>
      <c r="C1134" t="s">
        <v>746</v>
      </c>
      <c r="D1134" t="s">
        <v>747</v>
      </c>
      <c r="E1134" t="s">
        <v>3</v>
      </c>
      <c r="F1134">
        <v>0</v>
      </c>
      <c r="G1134">
        <v>34.1</v>
      </c>
    </row>
    <row r="1135" spans="1:7" hidden="1" x14ac:dyDescent="0.3">
      <c r="A1135" s="1">
        <v>45838</v>
      </c>
      <c r="B1135" t="s">
        <v>361</v>
      </c>
      <c r="C1135" t="s">
        <v>748</v>
      </c>
      <c r="D1135" t="s">
        <v>749</v>
      </c>
      <c r="E1135" t="s">
        <v>5</v>
      </c>
      <c r="F1135">
        <v>0</v>
      </c>
      <c r="G1135">
        <v>249.01</v>
      </c>
    </row>
    <row r="1136" spans="1:7" hidden="1" x14ac:dyDescent="0.3">
      <c r="A1136" s="1">
        <v>45838</v>
      </c>
      <c r="B1136" t="s">
        <v>363</v>
      </c>
      <c r="C1136" t="s">
        <v>750</v>
      </c>
      <c r="D1136" t="s">
        <v>446</v>
      </c>
      <c r="E1136" t="s">
        <v>11</v>
      </c>
      <c r="F1136">
        <v>0</v>
      </c>
      <c r="G1136">
        <v>1415.45</v>
      </c>
    </row>
    <row r="1137" spans="1:7" hidden="1" x14ac:dyDescent="0.3">
      <c r="A1137" s="1">
        <v>45838</v>
      </c>
      <c r="B1137" t="s">
        <v>403</v>
      </c>
      <c r="C1137" t="s">
        <v>459</v>
      </c>
      <c r="D1137" t="s">
        <v>776</v>
      </c>
      <c r="E1137" t="s">
        <v>3</v>
      </c>
      <c r="F1137">
        <v>0</v>
      </c>
      <c r="G1137">
        <v>47.6</v>
      </c>
    </row>
    <row r="1138" spans="1:7" hidden="1" x14ac:dyDescent="0.3">
      <c r="A1138" s="1">
        <v>45838</v>
      </c>
      <c r="B1138" t="s">
        <v>397</v>
      </c>
      <c r="C1138" t="s">
        <v>774</v>
      </c>
      <c r="D1138" t="s">
        <v>775</v>
      </c>
      <c r="E1138" t="s">
        <v>12</v>
      </c>
      <c r="F1138">
        <v>0</v>
      </c>
      <c r="G1138">
        <v>1476.23</v>
      </c>
    </row>
    <row r="1139" spans="1:7" hidden="1" x14ac:dyDescent="0.3">
      <c r="A1139" s="1">
        <v>45838</v>
      </c>
      <c r="B1139" t="s">
        <v>405</v>
      </c>
      <c r="C1139" t="s">
        <v>777</v>
      </c>
      <c r="D1139" t="s">
        <v>498</v>
      </c>
      <c r="E1139" t="s">
        <v>5</v>
      </c>
      <c r="F1139">
        <v>0</v>
      </c>
      <c r="G1139">
        <v>2045.03</v>
      </c>
    </row>
    <row r="1140" spans="1:7" hidden="1" x14ac:dyDescent="0.3">
      <c r="A1140" s="1">
        <v>45838</v>
      </c>
      <c r="B1140" t="s">
        <v>407</v>
      </c>
      <c r="C1140" t="s">
        <v>778</v>
      </c>
      <c r="D1140" t="s">
        <v>779</v>
      </c>
      <c r="E1140" t="s">
        <v>5</v>
      </c>
      <c r="F1140">
        <v>0</v>
      </c>
      <c r="G1140">
        <v>1056.6600000000001</v>
      </c>
    </row>
    <row r="1141" spans="1:7" hidden="1" x14ac:dyDescent="0.3">
      <c r="A1141" s="1">
        <v>45838</v>
      </c>
      <c r="B1141" t="s">
        <v>409</v>
      </c>
      <c r="C1141" t="s">
        <v>780</v>
      </c>
      <c r="D1141" t="s">
        <v>781</v>
      </c>
      <c r="E1141" t="s">
        <v>5</v>
      </c>
      <c r="F1141">
        <v>0</v>
      </c>
      <c r="G1141">
        <v>1056.6600000000001</v>
      </c>
    </row>
    <row r="1142" spans="1:7" hidden="1" x14ac:dyDescent="0.3">
      <c r="A1142" s="1">
        <v>45838</v>
      </c>
      <c r="B1142" t="s">
        <v>411</v>
      </c>
      <c r="C1142" t="s">
        <v>782</v>
      </c>
      <c r="D1142" t="s">
        <v>783</v>
      </c>
      <c r="E1142" t="s">
        <v>5</v>
      </c>
      <c r="F1142">
        <v>0</v>
      </c>
      <c r="G1142">
        <v>1620.03</v>
      </c>
    </row>
    <row r="1143" spans="1:7" hidden="1" x14ac:dyDescent="0.3">
      <c r="A1143" s="1">
        <v>45838</v>
      </c>
      <c r="B1143" t="s">
        <v>413</v>
      </c>
      <c r="C1143" t="s">
        <v>784</v>
      </c>
      <c r="D1143" t="s">
        <v>785</v>
      </c>
      <c r="E1143" t="s">
        <v>5</v>
      </c>
      <c r="F1143">
        <v>0</v>
      </c>
      <c r="G1143">
        <v>1305.6600000000001</v>
      </c>
    </row>
    <row r="1144" spans="1:7" hidden="1" x14ac:dyDescent="0.3">
      <c r="A1144" s="1">
        <v>45838</v>
      </c>
      <c r="B1144" t="s">
        <v>415</v>
      </c>
      <c r="C1144" t="s">
        <v>786</v>
      </c>
      <c r="D1144" t="s">
        <v>538</v>
      </c>
      <c r="E1144" t="s">
        <v>5</v>
      </c>
      <c r="F1144">
        <v>0</v>
      </c>
      <c r="G1144">
        <v>1259.3800000000001</v>
      </c>
    </row>
    <row r="1145" spans="1:7" hidden="1" x14ac:dyDescent="0.3">
      <c r="A1145" s="1">
        <v>45838</v>
      </c>
      <c r="B1145" t="s">
        <v>419</v>
      </c>
      <c r="C1145" t="s">
        <v>787</v>
      </c>
      <c r="D1145" t="s">
        <v>788</v>
      </c>
      <c r="E1145" t="s">
        <v>5</v>
      </c>
      <c r="F1145">
        <v>0</v>
      </c>
      <c r="G1145">
        <v>762.66</v>
      </c>
    </row>
    <row r="1146" spans="1:7" hidden="1" x14ac:dyDescent="0.3">
      <c r="A1146" s="1">
        <v>45838</v>
      </c>
      <c r="B1146" t="s">
        <v>421</v>
      </c>
      <c r="C1146" t="s">
        <v>789</v>
      </c>
      <c r="D1146" t="s">
        <v>790</v>
      </c>
      <c r="E1146" t="s">
        <v>5</v>
      </c>
      <c r="F1146">
        <v>0</v>
      </c>
      <c r="G1146">
        <v>466.08</v>
      </c>
    </row>
    <row r="1147" spans="1:7" hidden="1" x14ac:dyDescent="0.3">
      <c r="A1147" s="1">
        <v>45838</v>
      </c>
      <c r="B1147" t="s">
        <v>423</v>
      </c>
      <c r="C1147" t="s">
        <v>791</v>
      </c>
      <c r="D1147" t="s">
        <v>792</v>
      </c>
      <c r="E1147" t="s">
        <v>5</v>
      </c>
      <c r="F1147">
        <v>0</v>
      </c>
      <c r="G1147">
        <v>566.08000000000004</v>
      </c>
    </row>
    <row r="1148" spans="1:7" hidden="1" x14ac:dyDescent="0.3">
      <c r="A1148" s="1">
        <v>45838</v>
      </c>
      <c r="B1148" t="s">
        <v>365</v>
      </c>
      <c r="C1148" t="s">
        <v>459</v>
      </c>
      <c r="D1148" t="s">
        <v>460</v>
      </c>
      <c r="E1148" t="s">
        <v>11</v>
      </c>
      <c r="F1148">
        <v>0</v>
      </c>
      <c r="G1148">
        <v>8700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4DDD-0535-4BA5-971C-D5ED1D75B5CC}">
  <dimension ref="A1:O214"/>
  <sheetViews>
    <sheetView zoomScale="85" zoomScaleNormal="85" workbookViewId="0">
      <selection activeCell="G218" sqref="G218:G221"/>
    </sheetView>
  </sheetViews>
  <sheetFormatPr defaultRowHeight="14.4" x14ac:dyDescent="0.3"/>
  <cols>
    <col min="1" max="1" width="12.109375" bestFit="1" customWidth="1"/>
    <col min="2" max="2" width="38.109375" bestFit="1" customWidth="1"/>
    <col min="3" max="3" width="28.109375" bestFit="1" customWidth="1"/>
    <col min="4" max="18" width="13.6640625" bestFit="1" customWidth="1"/>
  </cols>
  <sheetData>
    <row r="1" spans="1:15" x14ac:dyDescent="0.3">
      <c r="A1" t="s">
        <v>23</v>
      </c>
      <c r="B1" t="s">
        <v>24</v>
      </c>
      <c r="C1" t="s">
        <v>0</v>
      </c>
      <c r="D1" s="1" t="s">
        <v>793</v>
      </c>
      <c r="E1" s="1" t="s">
        <v>794</v>
      </c>
      <c r="F1" s="1" t="s">
        <v>795</v>
      </c>
      <c r="G1" s="1" t="s">
        <v>796</v>
      </c>
      <c r="H1" s="1" t="s">
        <v>797</v>
      </c>
      <c r="I1" s="1" t="s">
        <v>798</v>
      </c>
      <c r="J1" s="1" t="s">
        <v>799</v>
      </c>
      <c r="K1" s="1" t="s">
        <v>800</v>
      </c>
      <c r="L1" s="1" t="s">
        <v>801</v>
      </c>
      <c r="M1" s="1" t="s">
        <v>802</v>
      </c>
      <c r="N1" s="1" t="s">
        <v>803</v>
      </c>
      <c r="O1" s="1" t="s">
        <v>804</v>
      </c>
    </row>
    <row r="2" spans="1:15" hidden="1" x14ac:dyDescent="0.3">
      <c r="A2" t="s">
        <v>29</v>
      </c>
      <c r="B2" t="s">
        <v>30</v>
      </c>
      <c r="C2" t="s">
        <v>2</v>
      </c>
      <c r="D2">
        <f>IF((D$1*1)&lt;=MAX('DB Costi-Ore YtD'!$A:$A),SUMIFS('DB Costi-Ore YtD'!$G:$G,'DB Costi-Ore YtD'!$A:$A,D$1,'DB Costi-Ore YtD'!$B:$B,$A2,'DB Costi-Ore YtD'!$E:$E,$C2),0)</f>
        <v>2099.1999999999998</v>
      </c>
      <c r="E2">
        <f>IF((E$1*1)&lt;=MAX('DB Costi-Ore YtD'!$A:$A),SUMIFS('DB Costi-Ore YtD'!$G:$G,'DB Costi-Ore YtD'!$A:$A,E$1,'DB Costi-Ore YtD'!$B:$B,$A2,'DB Costi-Ore YtD'!$E:$E,$C2)-SUM($D2:D2),0)</f>
        <v>1952.9499999999998</v>
      </c>
      <c r="F2">
        <f>IF((F$1*1)&lt;=MAX('DB Costi-Ore YtD'!$A:$A),SUMIFS('DB Costi-Ore YtD'!$G:$G,'DB Costi-Ore YtD'!$A:$A,F$1,'DB Costi-Ore YtD'!$B:$B,$A2,'DB Costi-Ore YtD'!$E:$E,$C2)-SUM($D2:E2),0)</f>
        <v>1874.5600000000004</v>
      </c>
      <c r="G2">
        <f>IF((G$1*1)&lt;=MAX('DB Costi-Ore YtD'!$A:$A),SUMIFS('DB Costi-Ore YtD'!$G:$G,'DB Costi-Ore YtD'!$A:$A,G$1,'DB Costi-Ore YtD'!$B:$B,$A2,'DB Costi-Ore YtD'!$E:$E,$C2)-SUM($D2:F2),0)</f>
        <v>2173.3000000000011</v>
      </c>
      <c r="H2">
        <f>IF((H$1*1)&lt;=MAX('DB Costi-Ore YtD'!$A:$A),SUMIFS('DB Costi-Ore YtD'!$G:$G,'DB Costi-Ore YtD'!$A:$A,H$1,'DB Costi-Ore YtD'!$B:$B,$A2,'DB Costi-Ore YtD'!$E:$E,$C2)-SUM($D2:G2),0)</f>
        <v>2066.46</v>
      </c>
      <c r="I2">
        <f>IF((I$1*1)&lt;=MAX('DB Costi-Ore YtD'!$A:$A),SUMIFS('DB Costi-Ore YtD'!$G:$G,'DB Costi-Ore YtD'!$A:$A,I$1,'DB Costi-Ore YtD'!$B:$B,$A2,'DB Costi-Ore YtD'!$E:$E,$C2)-SUM($D2:H2),0)</f>
        <v>2081.8299999999981</v>
      </c>
      <c r="J2">
        <f>IF((J$1*1)&lt;=MAX('DB Costi-Ore YtD'!$A:$A),SUMIFS('DB Costi-Ore YtD'!$G:$G,'DB Costi-Ore YtD'!$A:$A,J$1,'DB Costi-Ore YtD'!$B:$B,$A2,'DB Costi-Ore YtD'!$E:$E,$C2)-SUM($D2:I2),0)</f>
        <v>0</v>
      </c>
      <c r="K2">
        <f>IF((K$1*1)&lt;=MAX('DB Costi-Ore YtD'!$A:$A),SUMIFS('DB Costi-Ore YtD'!$G:$G,'DB Costi-Ore YtD'!$A:$A,K$1,'DB Costi-Ore YtD'!$B:$B,$A2,'DB Costi-Ore YtD'!$E:$E,$C2)-SUM($D2:J2),0)</f>
        <v>0</v>
      </c>
      <c r="L2">
        <f>IF((L$1*1)&lt;=MAX('DB Costi-Ore YtD'!$A:$A),SUMIFS('DB Costi-Ore YtD'!$G:$G,'DB Costi-Ore YtD'!$A:$A,L$1,'DB Costi-Ore YtD'!$B:$B,$A2,'DB Costi-Ore YtD'!$E:$E,$C2)-SUM($D2:K2),0)</f>
        <v>0</v>
      </c>
      <c r="M2">
        <f>IF((M$1*1)&lt;=MAX('DB Costi-Ore YtD'!$A:$A),SUMIFS('DB Costi-Ore YtD'!$G:$G,'DB Costi-Ore YtD'!$A:$A,M$1,'DB Costi-Ore YtD'!$B:$B,$A2,'DB Costi-Ore YtD'!$E:$E,$C2)-SUM($D2:L2),0)</f>
        <v>0</v>
      </c>
      <c r="N2">
        <f>IF((N$1*1)&lt;=MAX('DB Costi-Ore YtD'!$A:$A),SUMIFS('DB Costi-Ore YtD'!$G:$G,'DB Costi-Ore YtD'!$A:$A,N$1,'DB Costi-Ore YtD'!$B:$B,$A2,'DB Costi-Ore YtD'!$E:$E,$C2)-SUM($D2:M2),0)</f>
        <v>0</v>
      </c>
      <c r="O2">
        <f>IF((O$1*1)&lt;=MAX('DB Costi-Ore YtD'!$A:$A),SUMIFS('DB Costi-Ore YtD'!$G:$G,'DB Costi-Ore YtD'!$A:$A,O$1,'DB Costi-Ore YtD'!$B:$B,$A2,'DB Costi-Ore YtD'!$E:$E,$C2)-SUM($D2:N2),0)</f>
        <v>0</v>
      </c>
    </row>
    <row r="3" spans="1:15" hidden="1" x14ac:dyDescent="0.3">
      <c r="A3" t="s">
        <v>31</v>
      </c>
      <c r="B3" t="s">
        <v>32</v>
      </c>
      <c r="C3" t="s">
        <v>2</v>
      </c>
      <c r="D3">
        <f>IF((D$1*1)&lt;=MAX('DB Costi-Ore YtD'!$A:$A),SUMIFS('DB Costi-Ore YtD'!$G:$G,'DB Costi-Ore YtD'!$A:$A,D$1,'DB Costi-Ore YtD'!$B:$B,$A3,'DB Costi-Ore YtD'!$E:$E,$C3),0)</f>
        <v>2127.1999999999998</v>
      </c>
      <c r="E3">
        <f>IF((E$1*1)&lt;=MAX('DB Costi-Ore YtD'!$A:$A),SUMIFS('DB Costi-Ore YtD'!$G:$G,'DB Costi-Ore YtD'!$A:$A,E$1,'DB Costi-Ore YtD'!$B:$B,$A3,'DB Costi-Ore YtD'!$E:$E,$C3)-SUM($D3:D3),0)</f>
        <v>2426.7799999999997</v>
      </c>
      <c r="F3">
        <f>IF((F$1*1)&lt;=MAX('DB Costi-Ore YtD'!$A:$A),SUMIFS('DB Costi-Ore YtD'!$G:$G,'DB Costi-Ore YtD'!$A:$A,F$1,'DB Costi-Ore YtD'!$B:$B,$A3,'DB Costi-Ore YtD'!$E:$E,$C3)-SUM($D3:E3),0)</f>
        <v>1083.1400000000003</v>
      </c>
      <c r="G3">
        <f>IF((G$1*1)&lt;=MAX('DB Costi-Ore YtD'!$A:$A),SUMIFS('DB Costi-Ore YtD'!$G:$G,'DB Costi-Ore YtD'!$A:$A,G$1,'DB Costi-Ore YtD'!$B:$B,$A3,'DB Costi-Ore YtD'!$E:$E,$C3)-SUM($D3:F3),0)</f>
        <v>614.84999999999945</v>
      </c>
      <c r="H3">
        <f>IF((H$1*1)&lt;=MAX('DB Costi-Ore YtD'!$A:$A),SUMIFS('DB Costi-Ore YtD'!$G:$G,'DB Costi-Ore YtD'!$A:$A,H$1,'DB Costi-Ore YtD'!$B:$B,$A3,'DB Costi-Ore YtD'!$E:$E,$C3)-SUM($D3:G3),0)</f>
        <v>-6251.9699999999993</v>
      </c>
      <c r="I3">
        <f>IF((I$1*1)&lt;=MAX('DB Costi-Ore YtD'!$A:$A),SUMIFS('DB Costi-Ore YtD'!$G:$G,'DB Costi-Ore YtD'!$A:$A,I$1,'DB Costi-Ore YtD'!$B:$B,$A3,'DB Costi-Ore YtD'!$E:$E,$C3)-SUM($D3:H3),0)</f>
        <v>0</v>
      </c>
      <c r="J3">
        <f>IF((J$1*1)&lt;=MAX('DB Costi-Ore YtD'!$A:$A),SUMIFS('DB Costi-Ore YtD'!$G:$G,'DB Costi-Ore YtD'!$A:$A,J$1,'DB Costi-Ore YtD'!$B:$B,$A3,'DB Costi-Ore YtD'!$E:$E,$C3)-SUM($D3:I3),0)</f>
        <v>0</v>
      </c>
      <c r="K3">
        <f>IF((K$1*1)&lt;=MAX('DB Costi-Ore YtD'!$A:$A),SUMIFS('DB Costi-Ore YtD'!$G:$G,'DB Costi-Ore YtD'!$A:$A,K$1,'DB Costi-Ore YtD'!$B:$B,$A3,'DB Costi-Ore YtD'!$E:$E,$C3)-SUM($D3:J3),0)</f>
        <v>0</v>
      </c>
      <c r="L3">
        <f>IF((L$1*1)&lt;=MAX('DB Costi-Ore YtD'!$A:$A),SUMIFS('DB Costi-Ore YtD'!$G:$G,'DB Costi-Ore YtD'!$A:$A,L$1,'DB Costi-Ore YtD'!$B:$B,$A3,'DB Costi-Ore YtD'!$E:$E,$C3)-SUM($D3:K3),0)</f>
        <v>0</v>
      </c>
      <c r="M3">
        <f>IF((M$1*1)&lt;=MAX('DB Costi-Ore YtD'!$A:$A),SUMIFS('DB Costi-Ore YtD'!$G:$G,'DB Costi-Ore YtD'!$A:$A,M$1,'DB Costi-Ore YtD'!$B:$B,$A3,'DB Costi-Ore YtD'!$E:$E,$C3)-SUM($D3:L3),0)</f>
        <v>0</v>
      </c>
      <c r="N3">
        <f>IF((N$1*1)&lt;=MAX('DB Costi-Ore YtD'!$A:$A),SUMIFS('DB Costi-Ore YtD'!$G:$G,'DB Costi-Ore YtD'!$A:$A,N$1,'DB Costi-Ore YtD'!$B:$B,$A3,'DB Costi-Ore YtD'!$E:$E,$C3)-SUM($D3:M3),0)</f>
        <v>0</v>
      </c>
      <c r="O3">
        <f>IF((O$1*1)&lt;=MAX('DB Costi-Ore YtD'!$A:$A),SUMIFS('DB Costi-Ore YtD'!$G:$G,'DB Costi-Ore YtD'!$A:$A,O$1,'DB Costi-Ore YtD'!$B:$B,$A3,'DB Costi-Ore YtD'!$E:$E,$C3)-SUM($D3:N3),0)</f>
        <v>0</v>
      </c>
    </row>
    <row r="4" spans="1:15" hidden="1" x14ac:dyDescent="0.3">
      <c r="A4" t="s">
        <v>33</v>
      </c>
      <c r="B4" t="s">
        <v>34</v>
      </c>
      <c r="C4" t="s">
        <v>2</v>
      </c>
      <c r="D4">
        <f>IF((D$1*1)&lt;=MAX('DB Costi-Ore YtD'!$A:$A),SUMIFS('DB Costi-Ore YtD'!$G:$G,'DB Costi-Ore YtD'!$A:$A,D$1,'DB Costi-Ore YtD'!$B:$B,$A4,'DB Costi-Ore YtD'!$E:$E,$C4),0)</f>
        <v>1870.5300000000002</v>
      </c>
      <c r="E4">
        <f>IF((E$1*1)&lt;=MAX('DB Costi-Ore YtD'!$A:$A),SUMIFS('DB Costi-Ore YtD'!$G:$G,'DB Costi-Ore YtD'!$A:$A,E$1,'DB Costi-Ore YtD'!$B:$B,$A4,'DB Costi-Ore YtD'!$E:$E,$C4)-SUM($D4:D4),0)</f>
        <v>1595.08</v>
      </c>
      <c r="F4">
        <f>IF((F$1*1)&lt;=MAX('DB Costi-Ore YtD'!$A:$A),SUMIFS('DB Costi-Ore YtD'!$G:$G,'DB Costi-Ore YtD'!$A:$A,F$1,'DB Costi-Ore YtD'!$B:$B,$A4,'DB Costi-Ore YtD'!$E:$E,$C4)-SUM($D4:E4),0)</f>
        <v>1992.5300000000002</v>
      </c>
      <c r="G4">
        <f>IF((G$1*1)&lt;=MAX('DB Costi-Ore YtD'!$A:$A),SUMIFS('DB Costi-Ore YtD'!$G:$G,'DB Costi-Ore YtD'!$A:$A,G$1,'DB Costi-Ore YtD'!$B:$B,$A4,'DB Costi-Ore YtD'!$E:$E,$C4)-SUM($D4:F4),0)</f>
        <v>1407.63</v>
      </c>
      <c r="H4">
        <f>IF((H$1*1)&lt;=MAX('DB Costi-Ore YtD'!$A:$A),SUMIFS('DB Costi-Ore YtD'!$G:$G,'DB Costi-Ore YtD'!$A:$A,H$1,'DB Costi-Ore YtD'!$B:$B,$A4,'DB Costi-Ore YtD'!$E:$E,$C4)-SUM($D4:G4),0)</f>
        <v>1031.29</v>
      </c>
      <c r="I4">
        <f>IF((I$1*1)&lt;=MAX('DB Costi-Ore YtD'!$A:$A),SUMIFS('DB Costi-Ore YtD'!$G:$G,'DB Costi-Ore YtD'!$A:$A,I$1,'DB Costi-Ore YtD'!$B:$B,$A4,'DB Costi-Ore YtD'!$E:$E,$C4)-SUM($D4:H4),0)</f>
        <v>927.38000000000193</v>
      </c>
      <c r="J4">
        <f>IF((J$1*1)&lt;=MAX('DB Costi-Ore YtD'!$A:$A),SUMIFS('DB Costi-Ore YtD'!$G:$G,'DB Costi-Ore YtD'!$A:$A,J$1,'DB Costi-Ore YtD'!$B:$B,$A4,'DB Costi-Ore YtD'!$E:$E,$C4)-SUM($D4:I4),0)</f>
        <v>0</v>
      </c>
      <c r="K4">
        <f>IF((K$1*1)&lt;=MAX('DB Costi-Ore YtD'!$A:$A),SUMIFS('DB Costi-Ore YtD'!$G:$G,'DB Costi-Ore YtD'!$A:$A,K$1,'DB Costi-Ore YtD'!$B:$B,$A4,'DB Costi-Ore YtD'!$E:$E,$C4)-SUM($D4:J4),0)</f>
        <v>0</v>
      </c>
      <c r="L4">
        <f>IF((L$1*1)&lt;=MAX('DB Costi-Ore YtD'!$A:$A),SUMIFS('DB Costi-Ore YtD'!$G:$G,'DB Costi-Ore YtD'!$A:$A,L$1,'DB Costi-Ore YtD'!$B:$B,$A4,'DB Costi-Ore YtD'!$E:$E,$C4)-SUM($D4:K4),0)</f>
        <v>0</v>
      </c>
      <c r="M4">
        <f>IF((M$1*1)&lt;=MAX('DB Costi-Ore YtD'!$A:$A),SUMIFS('DB Costi-Ore YtD'!$G:$G,'DB Costi-Ore YtD'!$A:$A,M$1,'DB Costi-Ore YtD'!$B:$B,$A4,'DB Costi-Ore YtD'!$E:$E,$C4)-SUM($D4:L4),0)</f>
        <v>0</v>
      </c>
      <c r="N4">
        <f>IF((N$1*1)&lt;=MAX('DB Costi-Ore YtD'!$A:$A),SUMIFS('DB Costi-Ore YtD'!$G:$G,'DB Costi-Ore YtD'!$A:$A,N$1,'DB Costi-Ore YtD'!$B:$B,$A4,'DB Costi-Ore YtD'!$E:$E,$C4)-SUM($D4:M4),0)</f>
        <v>0</v>
      </c>
      <c r="O4">
        <f>IF((O$1*1)&lt;=MAX('DB Costi-Ore YtD'!$A:$A),SUMIFS('DB Costi-Ore YtD'!$G:$G,'DB Costi-Ore YtD'!$A:$A,O$1,'DB Costi-Ore YtD'!$B:$B,$A4,'DB Costi-Ore YtD'!$E:$E,$C4)-SUM($D4:N4),0)</f>
        <v>0</v>
      </c>
    </row>
    <row r="5" spans="1:15" hidden="1" x14ac:dyDescent="0.3">
      <c r="A5" t="s">
        <v>35</v>
      </c>
      <c r="B5" t="s">
        <v>36</v>
      </c>
      <c r="C5" t="s">
        <v>2</v>
      </c>
      <c r="D5">
        <f>IF((D$1*1)&lt;=MAX('DB Costi-Ore YtD'!$A:$A),SUMIFS('DB Costi-Ore YtD'!$G:$G,'DB Costi-Ore YtD'!$A:$A,D$1,'DB Costi-Ore YtD'!$B:$B,$A5,'DB Costi-Ore YtD'!$E:$E,$C5),0)</f>
        <v>3084.9400000000014</v>
      </c>
      <c r="E5">
        <f>IF((E$1*1)&lt;=MAX('DB Costi-Ore YtD'!$A:$A),SUMIFS('DB Costi-Ore YtD'!$G:$G,'DB Costi-Ore YtD'!$A:$A,E$1,'DB Costi-Ore YtD'!$B:$B,$A5,'DB Costi-Ore YtD'!$E:$E,$C5)-SUM($D5:D5),0)</f>
        <v>2584.2799999999988</v>
      </c>
      <c r="F5">
        <f>IF((F$1*1)&lt;=MAX('DB Costi-Ore YtD'!$A:$A),SUMIFS('DB Costi-Ore YtD'!$G:$G,'DB Costi-Ore YtD'!$A:$A,F$1,'DB Costi-Ore YtD'!$B:$B,$A5,'DB Costi-Ore YtD'!$E:$E,$C5)-SUM($D5:E5),0)</f>
        <v>2950.6899999999996</v>
      </c>
      <c r="G5">
        <f>IF((G$1*1)&lt;=MAX('DB Costi-Ore YtD'!$A:$A),SUMIFS('DB Costi-Ore YtD'!$G:$G,'DB Costi-Ore YtD'!$A:$A,G$1,'DB Costi-Ore YtD'!$B:$B,$A5,'DB Costi-Ore YtD'!$E:$E,$C5)-SUM($D5:F5),0)</f>
        <v>3089.8099999999995</v>
      </c>
      <c r="H5">
        <f>IF((H$1*1)&lt;=MAX('DB Costi-Ore YtD'!$A:$A),SUMIFS('DB Costi-Ore YtD'!$G:$G,'DB Costi-Ore YtD'!$A:$A,H$1,'DB Costi-Ore YtD'!$B:$B,$A5,'DB Costi-Ore YtD'!$E:$E,$C5)-SUM($D5:G5),0)</f>
        <v>2933.1700000000019</v>
      </c>
      <c r="I5">
        <f>IF((I$1*1)&lt;=MAX('DB Costi-Ore YtD'!$A:$A),SUMIFS('DB Costi-Ore YtD'!$G:$G,'DB Costi-Ore YtD'!$A:$A,I$1,'DB Costi-Ore YtD'!$B:$B,$A5,'DB Costi-Ore YtD'!$E:$E,$C5)-SUM($D5:H5),0)</f>
        <v>2254.6700000000037</v>
      </c>
      <c r="J5">
        <f>IF((J$1*1)&lt;=MAX('DB Costi-Ore YtD'!$A:$A),SUMIFS('DB Costi-Ore YtD'!$G:$G,'DB Costi-Ore YtD'!$A:$A,J$1,'DB Costi-Ore YtD'!$B:$B,$A5,'DB Costi-Ore YtD'!$E:$E,$C5)-SUM($D5:I5),0)</f>
        <v>0</v>
      </c>
      <c r="K5">
        <f>IF((K$1*1)&lt;=MAX('DB Costi-Ore YtD'!$A:$A),SUMIFS('DB Costi-Ore YtD'!$G:$G,'DB Costi-Ore YtD'!$A:$A,K$1,'DB Costi-Ore YtD'!$B:$B,$A5,'DB Costi-Ore YtD'!$E:$E,$C5)-SUM($D5:J5),0)</f>
        <v>0</v>
      </c>
      <c r="L5">
        <f>IF((L$1*1)&lt;=MAX('DB Costi-Ore YtD'!$A:$A),SUMIFS('DB Costi-Ore YtD'!$G:$G,'DB Costi-Ore YtD'!$A:$A,L$1,'DB Costi-Ore YtD'!$B:$B,$A5,'DB Costi-Ore YtD'!$E:$E,$C5)-SUM($D5:K5),0)</f>
        <v>0</v>
      </c>
      <c r="M5">
        <f>IF((M$1*1)&lt;=MAX('DB Costi-Ore YtD'!$A:$A),SUMIFS('DB Costi-Ore YtD'!$G:$G,'DB Costi-Ore YtD'!$A:$A,M$1,'DB Costi-Ore YtD'!$B:$B,$A5,'DB Costi-Ore YtD'!$E:$E,$C5)-SUM($D5:L5),0)</f>
        <v>0</v>
      </c>
      <c r="N5">
        <f>IF((N$1*1)&lt;=MAX('DB Costi-Ore YtD'!$A:$A),SUMIFS('DB Costi-Ore YtD'!$G:$G,'DB Costi-Ore YtD'!$A:$A,N$1,'DB Costi-Ore YtD'!$B:$B,$A5,'DB Costi-Ore YtD'!$E:$E,$C5)-SUM($D5:M5),0)</f>
        <v>0</v>
      </c>
      <c r="O5">
        <f>IF((O$1*1)&lt;=MAX('DB Costi-Ore YtD'!$A:$A),SUMIFS('DB Costi-Ore YtD'!$G:$G,'DB Costi-Ore YtD'!$A:$A,O$1,'DB Costi-Ore YtD'!$B:$B,$A5,'DB Costi-Ore YtD'!$E:$E,$C5)-SUM($D5:N5),0)</f>
        <v>0</v>
      </c>
    </row>
    <row r="6" spans="1:15" hidden="1" x14ac:dyDescent="0.3">
      <c r="A6" t="s">
        <v>37</v>
      </c>
      <c r="B6" t="s">
        <v>38</v>
      </c>
      <c r="C6" t="s">
        <v>2</v>
      </c>
      <c r="D6">
        <f>IF((D$1*1)&lt;=MAX('DB Costi-Ore YtD'!$A:$A),SUMIFS('DB Costi-Ore YtD'!$G:$G,'DB Costi-Ore YtD'!$A:$A,D$1,'DB Costi-Ore YtD'!$B:$B,$A6,'DB Costi-Ore YtD'!$E:$E,$C6),0)</f>
        <v>2801.2</v>
      </c>
      <c r="E6">
        <f>IF((E$1*1)&lt;=MAX('DB Costi-Ore YtD'!$A:$A),SUMIFS('DB Costi-Ore YtD'!$G:$G,'DB Costi-Ore YtD'!$A:$A,E$1,'DB Costi-Ore YtD'!$B:$B,$A6,'DB Costi-Ore YtD'!$E:$E,$C6)-SUM($D6:D6),0)</f>
        <v>2473.6799999999994</v>
      </c>
      <c r="F6">
        <f>IF((F$1*1)&lt;=MAX('DB Costi-Ore YtD'!$A:$A),SUMIFS('DB Costi-Ore YtD'!$G:$G,'DB Costi-Ore YtD'!$A:$A,F$1,'DB Costi-Ore YtD'!$B:$B,$A6,'DB Costi-Ore YtD'!$E:$E,$C6)-SUM($D6:E6),0)</f>
        <v>2692.8700000000008</v>
      </c>
      <c r="G6">
        <f>IF((G$1*1)&lt;=MAX('DB Costi-Ore YtD'!$A:$A),SUMIFS('DB Costi-Ore YtD'!$G:$G,'DB Costi-Ore YtD'!$A:$A,G$1,'DB Costi-Ore YtD'!$B:$B,$A6,'DB Costi-Ore YtD'!$E:$E,$C6)-SUM($D6:F6),0)</f>
        <v>2785.8799999999992</v>
      </c>
      <c r="H6">
        <f>IF((H$1*1)&lt;=MAX('DB Costi-Ore YtD'!$A:$A),SUMIFS('DB Costi-Ore YtD'!$G:$G,'DB Costi-Ore YtD'!$A:$A,H$1,'DB Costi-Ore YtD'!$B:$B,$A6,'DB Costi-Ore YtD'!$E:$E,$C6)-SUM($D6:G6),0)</f>
        <v>2315.8300000000036</v>
      </c>
      <c r="I6">
        <f>IF((I$1*1)&lt;=MAX('DB Costi-Ore YtD'!$A:$A),SUMIFS('DB Costi-Ore YtD'!$G:$G,'DB Costi-Ore YtD'!$A:$A,I$1,'DB Costi-Ore YtD'!$B:$B,$A6,'DB Costi-Ore YtD'!$E:$E,$C6)-SUM($D6:H6),0)</f>
        <v>1727.1300000000047</v>
      </c>
      <c r="J6">
        <f>IF((J$1*1)&lt;=MAX('DB Costi-Ore YtD'!$A:$A),SUMIFS('DB Costi-Ore YtD'!$G:$G,'DB Costi-Ore YtD'!$A:$A,J$1,'DB Costi-Ore YtD'!$B:$B,$A6,'DB Costi-Ore YtD'!$E:$E,$C6)-SUM($D6:I6),0)</f>
        <v>0</v>
      </c>
      <c r="K6">
        <f>IF((K$1*1)&lt;=MAX('DB Costi-Ore YtD'!$A:$A),SUMIFS('DB Costi-Ore YtD'!$G:$G,'DB Costi-Ore YtD'!$A:$A,K$1,'DB Costi-Ore YtD'!$B:$B,$A6,'DB Costi-Ore YtD'!$E:$E,$C6)-SUM($D6:J6),0)</f>
        <v>0</v>
      </c>
      <c r="L6">
        <f>IF((L$1*1)&lt;=MAX('DB Costi-Ore YtD'!$A:$A),SUMIFS('DB Costi-Ore YtD'!$G:$G,'DB Costi-Ore YtD'!$A:$A,L$1,'DB Costi-Ore YtD'!$B:$B,$A6,'DB Costi-Ore YtD'!$E:$E,$C6)-SUM($D6:K6),0)</f>
        <v>0</v>
      </c>
      <c r="M6">
        <f>IF((M$1*1)&lt;=MAX('DB Costi-Ore YtD'!$A:$A),SUMIFS('DB Costi-Ore YtD'!$G:$G,'DB Costi-Ore YtD'!$A:$A,M$1,'DB Costi-Ore YtD'!$B:$B,$A6,'DB Costi-Ore YtD'!$E:$E,$C6)-SUM($D6:L6),0)</f>
        <v>0</v>
      </c>
      <c r="N6">
        <f>IF((N$1*1)&lt;=MAX('DB Costi-Ore YtD'!$A:$A),SUMIFS('DB Costi-Ore YtD'!$G:$G,'DB Costi-Ore YtD'!$A:$A,N$1,'DB Costi-Ore YtD'!$B:$B,$A6,'DB Costi-Ore YtD'!$E:$E,$C6)-SUM($D6:M6),0)</f>
        <v>0</v>
      </c>
      <c r="O6">
        <f>IF((O$1*1)&lt;=MAX('DB Costi-Ore YtD'!$A:$A),SUMIFS('DB Costi-Ore YtD'!$G:$G,'DB Costi-Ore YtD'!$A:$A,O$1,'DB Costi-Ore YtD'!$B:$B,$A6,'DB Costi-Ore YtD'!$E:$E,$C6)-SUM($D6:N6),0)</f>
        <v>0</v>
      </c>
    </row>
    <row r="7" spans="1:15" hidden="1" x14ac:dyDescent="0.3">
      <c r="A7" t="s">
        <v>39</v>
      </c>
      <c r="B7" t="s">
        <v>40</v>
      </c>
      <c r="C7" t="s">
        <v>2</v>
      </c>
      <c r="D7">
        <f>IF((D$1*1)&lt;=MAX('DB Costi-Ore YtD'!$A:$A),SUMIFS('DB Costi-Ore YtD'!$G:$G,'DB Costi-Ore YtD'!$A:$A,D$1,'DB Costi-Ore YtD'!$B:$B,$A7,'DB Costi-Ore YtD'!$E:$E,$C7),0)</f>
        <v>2898.5</v>
      </c>
      <c r="E7">
        <f>IF((E$1*1)&lt;=MAX('DB Costi-Ore YtD'!$A:$A),SUMIFS('DB Costi-Ore YtD'!$G:$G,'DB Costi-Ore YtD'!$A:$A,E$1,'DB Costi-Ore YtD'!$B:$B,$A7,'DB Costi-Ore YtD'!$E:$E,$C7)-SUM($D7:D7),0)</f>
        <v>2631.9299999999994</v>
      </c>
      <c r="F7">
        <f>IF((F$1*1)&lt;=MAX('DB Costi-Ore YtD'!$A:$A),SUMIFS('DB Costi-Ore YtD'!$G:$G,'DB Costi-Ore YtD'!$A:$A,F$1,'DB Costi-Ore YtD'!$B:$B,$A7,'DB Costi-Ore YtD'!$E:$E,$C7)-SUM($D7:E7),0)</f>
        <v>2156.4600000000009</v>
      </c>
      <c r="G7">
        <f>IF((G$1*1)&lt;=MAX('DB Costi-Ore YtD'!$A:$A),SUMIFS('DB Costi-Ore YtD'!$G:$G,'DB Costi-Ore YtD'!$A:$A,G$1,'DB Costi-Ore YtD'!$B:$B,$A7,'DB Costi-Ore YtD'!$E:$E,$C7)-SUM($D7:F7),0)</f>
        <v>2803.7</v>
      </c>
      <c r="H7">
        <f>IF((H$1*1)&lt;=MAX('DB Costi-Ore YtD'!$A:$A),SUMIFS('DB Costi-Ore YtD'!$G:$G,'DB Costi-Ore YtD'!$A:$A,H$1,'DB Costi-Ore YtD'!$B:$B,$A7,'DB Costi-Ore YtD'!$E:$E,$C7)-SUM($D7:G7),0)</f>
        <v>2616.6699999999983</v>
      </c>
      <c r="I7">
        <f>IF((I$1*1)&lt;=MAX('DB Costi-Ore YtD'!$A:$A),SUMIFS('DB Costi-Ore YtD'!$G:$G,'DB Costi-Ore YtD'!$A:$A,I$1,'DB Costi-Ore YtD'!$B:$B,$A7,'DB Costi-Ore YtD'!$E:$E,$C7)-SUM($D7:H7),0)</f>
        <v>2806.1100000000024</v>
      </c>
      <c r="J7">
        <f>IF((J$1*1)&lt;=MAX('DB Costi-Ore YtD'!$A:$A),SUMIFS('DB Costi-Ore YtD'!$G:$G,'DB Costi-Ore YtD'!$A:$A,J$1,'DB Costi-Ore YtD'!$B:$B,$A7,'DB Costi-Ore YtD'!$E:$E,$C7)-SUM($D7:I7),0)</f>
        <v>0</v>
      </c>
      <c r="K7">
        <f>IF((K$1*1)&lt;=MAX('DB Costi-Ore YtD'!$A:$A),SUMIFS('DB Costi-Ore YtD'!$G:$G,'DB Costi-Ore YtD'!$A:$A,K$1,'DB Costi-Ore YtD'!$B:$B,$A7,'DB Costi-Ore YtD'!$E:$E,$C7)-SUM($D7:J7),0)</f>
        <v>0</v>
      </c>
      <c r="L7">
        <f>IF((L$1*1)&lt;=MAX('DB Costi-Ore YtD'!$A:$A),SUMIFS('DB Costi-Ore YtD'!$G:$G,'DB Costi-Ore YtD'!$A:$A,L$1,'DB Costi-Ore YtD'!$B:$B,$A7,'DB Costi-Ore YtD'!$E:$E,$C7)-SUM($D7:K7),0)</f>
        <v>0</v>
      </c>
      <c r="M7">
        <f>IF((M$1*1)&lt;=MAX('DB Costi-Ore YtD'!$A:$A),SUMIFS('DB Costi-Ore YtD'!$G:$G,'DB Costi-Ore YtD'!$A:$A,M$1,'DB Costi-Ore YtD'!$B:$B,$A7,'DB Costi-Ore YtD'!$E:$E,$C7)-SUM($D7:L7),0)</f>
        <v>0</v>
      </c>
      <c r="N7">
        <f>IF((N$1*1)&lt;=MAX('DB Costi-Ore YtD'!$A:$A),SUMIFS('DB Costi-Ore YtD'!$G:$G,'DB Costi-Ore YtD'!$A:$A,N$1,'DB Costi-Ore YtD'!$B:$B,$A7,'DB Costi-Ore YtD'!$E:$E,$C7)-SUM($D7:M7),0)</f>
        <v>0</v>
      </c>
      <c r="O7">
        <f>IF((O$1*1)&lt;=MAX('DB Costi-Ore YtD'!$A:$A),SUMIFS('DB Costi-Ore YtD'!$G:$G,'DB Costi-Ore YtD'!$A:$A,O$1,'DB Costi-Ore YtD'!$B:$B,$A7,'DB Costi-Ore YtD'!$E:$E,$C7)-SUM($D7:N7),0)</f>
        <v>0</v>
      </c>
    </row>
    <row r="8" spans="1:15" hidden="1" x14ac:dyDescent="0.3">
      <c r="A8" t="s">
        <v>41</v>
      </c>
      <c r="B8" t="s">
        <v>42</v>
      </c>
      <c r="C8" t="s">
        <v>15</v>
      </c>
      <c r="D8">
        <f>IF((D$1*1)&lt;=MAX('DB Costi-Ore YtD'!$A:$A),SUMIFS('DB Costi-Ore YtD'!$G:$G,'DB Costi-Ore YtD'!$A:$A,D$1,'DB Costi-Ore YtD'!$B:$B,$A8,'DB Costi-Ore YtD'!$E:$E,$C8),0)</f>
        <v>3017.4800000000005</v>
      </c>
      <c r="E8">
        <f>IF((E$1*1)&lt;=MAX('DB Costi-Ore YtD'!$A:$A),SUMIFS('DB Costi-Ore YtD'!$G:$G,'DB Costi-Ore YtD'!$A:$A,E$1,'DB Costi-Ore YtD'!$B:$B,$A8,'DB Costi-Ore YtD'!$E:$E,$C8)-SUM($D8:D8),0)</f>
        <v>3090.3099999999986</v>
      </c>
      <c r="F8">
        <f>IF((F$1*1)&lt;=MAX('DB Costi-Ore YtD'!$A:$A),SUMIFS('DB Costi-Ore YtD'!$G:$G,'DB Costi-Ore YtD'!$A:$A,F$1,'DB Costi-Ore YtD'!$B:$B,$A8,'DB Costi-Ore YtD'!$E:$E,$C8)-SUM($D8:E8),0)</f>
        <v>3312.8900000000012</v>
      </c>
      <c r="G8">
        <f>IF((G$1*1)&lt;=MAX('DB Costi-Ore YtD'!$A:$A),SUMIFS('DB Costi-Ore YtD'!$G:$G,'DB Costi-Ore YtD'!$A:$A,G$1,'DB Costi-Ore YtD'!$B:$B,$A8,'DB Costi-Ore YtD'!$E:$E,$C8)-SUM($D8:F8),0)</f>
        <v>3398.74</v>
      </c>
      <c r="H8">
        <f>IF((H$1*1)&lt;=MAX('DB Costi-Ore YtD'!$A:$A),SUMIFS('DB Costi-Ore YtD'!$G:$G,'DB Costi-Ore YtD'!$A:$A,H$1,'DB Costi-Ore YtD'!$B:$B,$A8,'DB Costi-Ore YtD'!$E:$E,$C8)-SUM($D8:G8),0)</f>
        <v>3160.76</v>
      </c>
      <c r="I8">
        <f>IF((I$1*1)&lt;=MAX('DB Costi-Ore YtD'!$A:$A),SUMIFS('DB Costi-Ore YtD'!$G:$G,'DB Costi-Ore YtD'!$A:$A,I$1,'DB Costi-Ore YtD'!$B:$B,$A8,'DB Costi-Ore YtD'!$E:$E,$C8)-SUM($D8:H8),0)</f>
        <v>3048.8900000000031</v>
      </c>
      <c r="J8">
        <f>IF((J$1*1)&lt;=MAX('DB Costi-Ore YtD'!$A:$A),SUMIFS('DB Costi-Ore YtD'!$G:$G,'DB Costi-Ore YtD'!$A:$A,J$1,'DB Costi-Ore YtD'!$B:$B,$A8,'DB Costi-Ore YtD'!$E:$E,$C8)-SUM($D8:I8),0)</f>
        <v>0</v>
      </c>
      <c r="K8">
        <f>IF((K$1*1)&lt;=MAX('DB Costi-Ore YtD'!$A:$A),SUMIFS('DB Costi-Ore YtD'!$G:$G,'DB Costi-Ore YtD'!$A:$A,K$1,'DB Costi-Ore YtD'!$B:$B,$A8,'DB Costi-Ore YtD'!$E:$E,$C8)-SUM($D8:J8),0)</f>
        <v>0</v>
      </c>
      <c r="L8">
        <f>IF((L$1*1)&lt;=MAX('DB Costi-Ore YtD'!$A:$A),SUMIFS('DB Costi-Ore YtD'!$G:$G,'DB Costi-Ore YtD'!$A:$A,L$1,'DB Costi-Ore YtD'!$B:$B,$A8,'DB Costi-Ore YtD'!$E:$E,$C8)-SUM($D8:K8),0)</f>
        <v>0</v>
      </c>
      <c r="M8">
        <f>IF((M$1*1)&lt;=MAX('DB Costi-Ore YtD'!$A:$A),SUMIFS('DB Costi-Ore YtD'!$G:$G,'DB Costi-Ore YtD'!$A:$A,M$1,'DB Costi-Ore YtD'!$B:$B,$A8,'DB Costi-Ore YtD'!$E:$E,$C8)-SUM($D8:L8),0)</f>
        <v>0</v>
      </c>
      <c r="N8">
        <f>IF((N$1*1)&lt;=MAX('DB Costi-Ore YtD'!$A:$A),SUMIFS('DB Costi-Ore YtD'!$G:$G,'DB Costi-Ore YtD'!$A:$A,N$1,'DB Costi-Ore YtD'!$B:$B,$A8,'DB Costi-Ore YtD'!$E:$E,$C8)-SUM($D8:M8),0)</f>
        <v>0</v>
      </c>
      <c r="O8">
        <f>IF((O$1*1)&lt;=MAX('DB Costi-Ore YtD'!$A:$A),SUMIFS('DB Costi-Ore YtD'!$G:$G,'DB Costi-Ore YtD'!$A:$A,O$1,'DB Costi-Ore YtD'!$B:$B,$A8,'DB Costi-Ore YtD'!$E:$E,$C8)-SUM($D8:N8),0)</f>
        <v>0</v>
      </c>
    </row>
    <row r="9" spans="1:15" hidden="1" x14ac:dyDescent="0.3">
      <c r="A9" t="s">
        <v>43</v>
      </c>
      <c r="B9" t="s">
        <v>44</v>
      </c>
      <c r="C9" t="s">
        <v>3</v>
      </c>
      <c r="D9">
        <f>IF((D$1*1)&lt;=MAX('DB Costi-Ore YtD'!$A:$A),SUMIFS('DB Costi-Ore YtD'!$G:$G,'DB Costi-Ore YtD'!$A:$A,D$1,'DB Costi-Ore YtD'!$B:$B,$A9,'DB Costi-Ore YtD'!$E:$E,$C9),0)</f>
        <v>3451.51</v>
      </c>
      <c r="E9">
        <f>IF((E$1*1)&lt;=MAX('DB Costi-Ore YtD'!$A:$A),SUMIFS('DB Costi-Ore YtD'!$G:$G,'DB Costi-Ore YtD'!$A:$A,E$1,'DB Costi-Ore YtD'!$B:$B,$A9,'DB Costi-Ore YtD'!$E:$E,$C9)-SUM($D9:D9),0)</f>
        <v>2736.08</v>
      </c>
      <c r="F9">
        <f>IF((F$1*1)&lt;=MAX('DB Costi-Ore YtD'!$A:$A),SUMIFS('DB Costi-Ore YtD'!$G:$G,'DB Costi-Ore YtD'!$A:$A,F$1,'DB Costi-Ore YtD'!$B:$B,$A9,'DB Costi-Ore YtD'!$E:$E,$C9)-SUM($D9:E9),0)</f>
        <v>3106.8099999999995</v>
      </c>
      <c r="G9">
        <f>IF((G$1*1)&lt;=MAX('DB Costi-Ore YtD'!$A:$A),SUMIFS('DB Costi-Ore YtD'!$G:$G,'DB Costi-Ore YtD'!$A:$A,G$1,'DB Costi-Ore YtD'!$B:$B,$A9,'DB Costi-Ore YtD'!$E:$E,$C9)-SUM($D9:F9),0)</f>
        <v>3623.9200000000019</v>
      </c>
      <c r="H9">
        <f>IF((H$1*1)&lt;=MAX('DB Costi-Ore YtD'!$A:$A),SUMIFS('DB Costi-Ore YtD'!$G:$G,'DB Costi-Ore YtD'!$A:$A,H$1,'DB Costi-Ore YtD'!$B:$B,$A9,'DB Costi-Ore YtD'!$E:$E,$C9)-SUM($D9:G9),0)</f>
        <v>3024.2599999999984</v>
      </c>
      <c r="I9">
        <f>IF((I$1*1)&lt;=MAX('DB Costi-Ore YtD'!$A:$A),SUMIFS('DB Costi-Ore YtD'!$G:$G,'DB Costi-Ore YtD'!$A:$A,I$1,'DB Costi-Ore YtD'!$B:$B,$A9,'DB Costi-Ore YtD'!$E:$E,$C9)-SUM($D9:H9),0)</f>
        <v>3416.1299999999992</v>
      </c>
      <c r="J9">
        <f>IF((J$1*1)&lt;=MAX('DB Costi-Ore YtD'!$A:$A),SUMIFS('DB Costi-Ore YtD'!$G:$G,'DB Costi-Ore YtD'!$A:$A,J$1,'DB Costi-Ore YtD'!$B:$B,$A9,'DB Costi-Ore YtD'!$E:$E,$C9)-SUM($D9:I9),0)</f>
        <v>0</v>
      </c>
      <c r="K9">
        <f>IF((K$1*1)&lt;=MAX('DB Costi-Ore YtD'!$A:$A),SUMIFS('DB Costi-Ore YtD'!$G:$G,'DB Costi-Ore YtD'!$A:$A,K$1,'DB Costi-Ore YtD'!$B:$B,$A9,'DB Costi-Ore YtD'!$E:$E,$C9)-SUM($D9:J9),0)</f>
        <v>0</v>
      </c>
      <c r="L9">
        <f>IF((L$1*1)&lt;=MAX('DB Costi-Ore YtD'!$A:$A),SUMIFS('DB Costi-Ore YtD'!$G:$G,'DB Costi-Ore YtD'!$A:$A,L$1,'DB Costi-Ore YtD'!$B:$B,$A9,'DB Costi-Ore YtD'!$E:$E,$C9)-SUM($D9:K9),0)</f>
        <v>0</v>
      </c>
      <c r="M9">
        <f>IF((M$1*1)&lt;=MAX('DB Costi-Ore YtD'!$A:$A),SUMIFS('DB Costi-Ore YtD'!$G:$G,'DB Costi-Ore YtD'!$A:$A,M$1,'DB Costi-Ore YtD'!$B:$B,$A9,'DB Costi-Ore YtD'!$E:$E,$C9)-SUM($D9:L9),0)</f>
        <v>0</v>
      </c>
      <c r="N9">
        <f>IF((N$1*1)&lt;=MAX('DB Costi-Ore YtD'!$A:$A),SUMIFS('DB Costi-Ore YtD'!$G:$G,'DB Costi-Ore YtD'!$A:$A,N$1,'DB Costi-Ore YtD'!$B:$B,$A9,'DB Costi-Ore YtD'!$E:$E,$C9)-SUM($D9:M9),0)</f>
        <v>0</v>
      </c>
      <c r="O9">
        <f>IF((O$1*1)&lt;=MAX('DB Costi-Ore YtD'!$A:$A),SUMIFS('DB Costi-Ore YtD'!$G:$G,'DB Costi-Ore YtD'!$A:$A,O$1,'DB Costi-Ore YtD'!$B:$B,$A9,'DB Costi-Ore YtD'!$E:$E,$C9)-SUM($D9:N9),0)</f>
        <v>0</v>
      </c>
    </row>
    <row r="10" spans="1:15" hidden="1" x14ac:dyDescent="0.3">
      <c r="A10" t="s">
        <v>45</v>
      </c>
      <c r="B10" t="s">
        <v>46</v>
      </c>
      <c r="C10" t="s">
        <v>3</v>
      </c>
      <c r="D10">
        <f>IF((D$1*1)&lt;=MAX('DB Costi-Ore YtD'!$A:$A),SUMIFS('DB Costi-Ore YtD'!$G:$G,'DB Costi-Ore YtD'!$A:$A,D$1,'DB Costi-Ore YtD'!$B:$B,$A10,'DB Costi-Ore YtD'!$E:$E,$C10),0)</f>
        <v>3140.28</v>
      </c>
      <c r="E10">
        <f>IF((E$1*1)&lt;=MAX('DB Costi-Ore YtD'!$A:$A),SUMIFS('DB Costi-Ore YtD'!$G:$G,'DB Costi-Ore YtD'!$A:$A,E$1,'DB Costi-Ore YtD'!$B:$B,$A10,'DB Costi-Ore YtD'!$E:$E,$C10)-SUM($D10:D10),0)</f>
        <v>2779.9999999999986</v>
      </c>
      <c r="F10">
        <f>IF((F$1*1)&lt;=MAX('DB Costi-Ore YtD'!$A:$A),SUMIFS('DB Costi-Ore YtD'!$G:$G,'DB Costi-Ore YtD'!$A:$A,F$1,'DB Costi-Ore YtD'!$B:$B,$A10,'DB Costi-Ore YtD'!$E:$E,$C10)-SUM($D10:E10),0)</f>
        <v>2743.8500000000004</v>
      </c>
      <c r="G10">
        <f>IF((G$1*1)&lt;=MAX('DB Costi-Ore YtD'!$A:$A),SUMIFS('DB Costi-Ore YtD'!$G:$G,'DB Costi-Ore YtD'!$A:$A,G$1,'DB Costi-Ore YtD'!$B:$B,$A10,'DB Costi-Ore YtD'!$E:$E,$C10)-SUM($D10:F10),0)</f>
        <v>2927.2799999999988</v>
      </c>
      <c r="H10">
        <f>IF((H$1*1)&lt;=MAX('DB Costi-Ore YtD'!$A:$A),SUMIFS('DB Costi-Ore YtD'!$G:$G,'DB Costi-Ore YtD'!$A:$A,H$1,'DB Costi-Ore YtD'!$B:$B,$A10,'DB Costi-Ore YtD'!$E:$E,$C10)-SUM($D10:G10),0)</f>
        <v>2798.5099999999966</v>
      </c>
      <c r="I10">
        <f>IF((I$1*1)&lt;=MAX('DB Costi-Ore YtD'!$A:$A),SUMIFS('DB Costi-Ore YtD'!$G:$G,'DB Costi-Ore YtD'!$A:$A,I$1,'DB Costi-Ore YtD'!$B:$B,$A10,'DB Costi-Ore YtD'!$E:$E,$C10)-SUM($D10:H10),0)</f>
        <v>1593.4300000000039</v>
      </c>
      <c r="J10">
        <f>IF((J$1*1)&lt;=MAX('DB Costi-Ore YtD'!$A:$A),SUMIFS('DB Costi-Ore YtD'!$G:$G,'DB Costi-Ore YtD'!$A:$A,J$1,'DB Costi-Ore YtD'!$B:$B,$A10,'DB Costi-Ore YtD'!$E:$E,$C10)-SUM($D10:I10),0)</f>
        <v>0</v>
      </c>
      <c r="K10">
        <f>IF((K$1*1)&lt;=MAX('DB Costi-Ore YtD'!$A:$A),SUMIFS('DB Costi-Ore YtD'!$G:$G,'DB Costi-Ore YtD'!$A:$A,K$1,'DB Costi-Ore YtD'!$B:$B,$A10,'DB Costi-Ore YtD'!$E:$E,$C10)-SUM($D10:J10),0)</f>
        <v>0</v>
      </c>
      <c r="L10">
        <f>IF((L$1*1)&lt;=MAX('DB Costi-Ore YtD'!$A:$A),SUMIFS('DB Costi-Ore YtD'!$G:$G,'DB Costi-Ore YtD'!$A:$A,L$1,'DB Costi-Ore YtD'!$B:$B,$A10,'DB Costi-Ore YtD'!$E:$E,$C10)-SUM($D10:K10),0)</f>
        <v>0</v>
      </c>
      <c r="M10">
        <f>IF((M$1*1)&lt;=MAX('DB Costi-Ore YtD'!$A:$A),SUMIFS('DB Costi-Ore YtD'!$G:$G,'DB Costi-Ore YtD'!$A:$A,M$1,'DB Costi-Ore YtD'!$B:$B,$A10,'DB Costi-Ore YtD'!$E:$E,$C10)-SUM($D10:L10),0)</f>
        <v>0</v>
      </c>
      <c r="N10">
        <f>IF((N$1*1)&lt;=MAX('DB Costi-Ore YtD'!$A:$A),SUMIFS('DB Costi-Ore YtD'!$G:$G,'DB Costi-Ore YtD'!$A:$A,N$1,'DB Costi-Ore YtD'!$B:$B,$A10,'DB Costi-Ore YtD'!$E:$E,$C10)-SUM($D10:M10),0)</f>
        <v>0</v>
      </c>
      <c r="O10">
        <f>IF((O$1*1)&lt;=MAX('DB Costi-Ore YtD'!$A:$A),SUMIFS('DB Costi-Ore YtD'!$G:$G,'DB Costi-Ore YtD'!$A:$A,O$1,'DB Costi-Ore YtD'!$B:$B,$A10,'DB Costi-Ore YtD'!$E:$E,$C10)-SUM($D10:N10),0)</f>
        <v>0</v>
      </c>
    </row>
    <row r="11" spans="1:15" hidden="1" x14ac:dyDescent="0.3">
      <c r="A11" t="s">
        <v>47</v>
      </c>
      <c r="B11" t="s">
        <v>48</v>
      </c>
      <c r="C11" t="s">
        <v>4</v>
      </c>
      <c r="D11">
        <f>IF((D$1*1)&lt;=MAX('DB Costi-Ore YtD'!$A:$A),SUMIFS('DB Costi-Ore YtD'!$G:$G,'DB Costi-Ore YtD'!$A:$A,D$1,'DB Costi-Ore YtD'!$B:$B,$A11,'DB Costi-Ore YtD'!$E:$E,$C11),0)</f>
        <v>2358.38</v>
      </c>
      <c r="E11">
        <f>IF((E$1*1)&lt;=MAX('DB Costi-Ore YtD'!$A:$A),SUMIFS('DB Costi-Ore YtD'!$G:$G,'DB Costi-Ore YtD'!$A:$A,E$1,'DB Costi-Ore YtD'!$B:$B,$A11,'DB Costi-Ore YtD'!$E:$E,$C11)-SUM($D11:D11),0)</f>
        <v>2462.4300000000003</v>
      </c>
      <c r="F11">
        <f>IF((F$1*1)&lt;=MAX('DB Costi-Ore YtD'!$A:$A),SUMIFS('DB Costi-Ore YtD'!$G:$G,'DB Costi-Ore YtD'!$A:$A,F$1,'DB Costi-Ore YtD'!$B:$B,$A11,'DB Costi-Ore YtD'!$E:$E,$C11)-SUM($D11:E11),0)</f>
        <v>2440.8399999999992</v>
      </c>
      <c r="G11">
        <f>IF((G$1*1)&lt;=MAX('DB Costi-Ore YtD'!$A:$A),SUMIFS('DB Costi-Ore YtD'!$G:$G,'DB Costi-Ore YtD'!$A:$A,G$1,'DB Costi-Ore YtD'!$B:$B,$A11,'DB Costi-Ore YtD'!$E:$E,$C11)-SUM($D11:F11),0)</f>
        <v>2496.1299999999992</v>
      </c>
      <c r="H11">
        <f>IF((H$1*1)&lt;=MAX('DB Costi-Ore YtD'!$A:$A),SUMIFS('DB Costi-Ore YtD'!$G:$G,'DB Costi-Ore YtD'!$A:$A,H$1,'DB Costi-Ore YtD'!$B:$B,$A11,'DB Costi-Ore YtD'!$E:$E,$C11)-SUM($D11:G11),0)</f>
        <v>2340.4799999999977</v>
      </c>
      <c r="I11">
        <f>IF((I$1*1)&lt;=MAX('DB Costi-Ore YtD'!$A:$A),SUMIFS('DB Costi-Ore YtD'!$G:$G,'DB Costi-Ore YtD'!$A:$A,I$1,'DB Costi-Ore YtD'!$B:$B,$A11,'DB Costi-Ore YtD'!$E:$E,$C11)-SUM($D11:H11),0)</f>
        <v>2302.0700000000015</v>
      </c>
      <c r="J11">
        <f>IF((J$1*1)&lt;=MAX('DB Costi-Ore YtD'!$A:$A),SUMIFS('DB Costi-Ore YtD'!$G:$G,'DB Costi-Ore YtD'!$A:$A,J$1,'DB Costi-Ore YtD'!$B:$B,$A11,'DB Costi-Ore YtD'!$E:$E,$C11)-SUM($D11:I11),0)</f>
        <v>0</v>
      </c>
      <c r="K11">
        <f>IF((K$1*1)&lt;=MAX('DB Costi-Ore YtD'!$A:$A),SUMIFS('DB Costi-Ore YtD'!$G:$G,'DB Costi-Ore YtD'!$A:$A,K$1,'DB Costi-Ore YtD'!$B:$B,$A11,'DB Costi-Ore YtD'!$E:$E,$C11)-SUM($D11:J11),0)</f>
        <v>0</v>
      </c>
      <c r="L11">
        <f>IF((L$1*1)&lt;=MAX('DB Costi-Ore YtD'!$A:$A),SUMIFS('DB Costi-Ore YtD'!$G:$G,'DB Costi-Ore YtD'!$A:$A,L$1,'DB Costi-Ore YtD'!$B:$B,$A11,'DB Costi-Ore YtD'!$E:$E,$C11)-SUM($D11:K11),0)</f>
        <v>0</v>
      </c>
      <c r="M11">
        <f>IF((M$1*1)&lt;=MAX('DB Costi-Ore YtD'!$A:$A),SUMIFS('DB Costi-Ore YtD'!$G:$G,'DB Costi-Ore YtD'!$A:$A,M$1,'DB Costi-Ore YtD'!$B:$B,$A11,'DB Costi-Ore YtD'!$E:$E,$C11)-SUM($D11:L11),0)</f>
        <v>0</v>
      </c>
      <c r="N11">
        <f>IF((N$1*1)&lt;=MAX('DB Costi-Ore YtD'!$A:$A),SUMIFS('DB Costi-Ore YtD'!$G:$G,'DB Costi-Ore YtD'!$A:$A,N$1,'DB Costi-Ore YtD'!$B:$B,$A11,'DB Costi-Ore YtD'!$E:$E,$C11)-SUM($D11:M11),0)</f>
        <v>0</v>
      </c>
      <c r="O11">
        <f>IF((O$1*1)&lt;=MAX('DB Costi-Ore YtD'!$A:$A),SUMIFS('DB Costi-Ore YtD'!$G:$G,'DB Costi-Ore YtD'!$A:$A,O$1,'DB Costi-Ore YtD'!$B:$B,$A11,'DB Costi-Ore YtD'!$E:$E,$C11)-SUM($D11:N11),0)</f>
        <v>0</v>
      </c>
    </row>
    <row r="12" spans="1:15" hidden="1" x14ac:dyDescent="0.3">
      <c r="A12" t="s">
        <v>49</v>
      </c>
      <c r="B12" t="s">
        <v>50</v>
      </c>
      <c r="C12" t="s">
        <v>4</v>
      </c>
      <c r="D12">
        <f>IF((D$1*1)&lt;=MAX('DB Costi-Ore YtD'!$A:$A),SUMIFS('DB Costi-Ore YtD'!$G:$G,'DB Costi-Ore YtD'!$A:$A,D$1,'DB Costi-Ore YtD'!$B:$B,$A12,'DB Costi-Ore YtD'!$E:$E,$C12),0)</f>
        <v>2270.89</v>
      </c>
      <c r="E12">
        <f>IF((E$1*1)&lt;=MAX('DB Costi-Ore YtD'!$A:$A),SUMIFS('DB Costi-Ore YtD'!$G:$G,'DB Costi-Ore YtD'!$A:$A,E$1,'DB Costi-Ore YtD'!$B:$B,$A12,'DB Costi-Ore YtD'!$E:$E,$C12)-SUM($D12:D12),0)</f>
        <v>2237.4500000000003</v>
      </c>
      <c r="F12">
        <f>IF((F$1*1)&lt;=MAX('DB Costi-Ore YtD'!$A:$A),SUMIFS('DB Costi-Ore YtD'!$G:$G,'DB Costi-Ore YtD'!$A:$A,F$1,'DB Costi-Ore YtD'!$B:$B,$A12,'DB Costi-Ore YtD'!$E:$E,$C12)-SUM($D12:E12),0)</f>
        <v>2206.2899999999991</v>
      </c>
      <c r="G12">
        <f>IF((G$1*1)&lt;=MAX('DB Costi-Ore YtD'!$A:$A),SUMIFS('DB Costi-Ore YtD'!$G:$G,'DB Costi-Ore YtD'!$A:$A,G$1,'DB Costi-Ore YtD'!$B:$B,$A12,'DB Costi-Ore YtD'!$E:$E,$C12)-SUM($D12:F12),0)</f>
        <v>2135.9600000000009</v>
      </c>
      <c r="H12">
        <f>IF((H$1*1)&lt;=MAX('DB Costi-Ore YtD'!$A:$A),SUMIFS('DB Costi-Ore YtD'!$G:$G,'DB Costi-Ore YtD'!$A:$A,H$1,'DB Costi-Ore YtD'!$B:$B,$A12,'DB Costi-Ore YtD'!$E:$E,$C12)-SUM($D12:G12),0)</f>
        <v>2079.1499999999978</v>
      </c>
      <c r="I12">
        <f>IF((I$1*1)&lt;=MAX('DB Costi-Ore YtD'!$A:$A),SUMIFS('DB Costi-Ore YtD'!$G:$G,'DB Costi-Ore YtD'!$A:$A,I$1,'DB Costi-Ore YtD'!$B:$B,$A12,'DB Costi-Ore YtD'!$E:$E,$C12)-SUM($D12:H12),0)</f>
        <v>2255.1100000000006</v>
      </c>
      <c r="J12">
        <f>IF((J$1*1)&lt;=MAX('DB Costi-Ore YtD'!$A:$A),SUMIFS('DB Costi-Ore YtD'!$G:$G,'DB Costi-Ore YtD'!$A:$A,J$1,'DB Costi-Ore YtD'!$B:$B,$A12,'DB Costi-Ore YtD'!$E:$E,$C12)-SUM($D12:I12),0)</f>
        <v>0</v>
      </c>
      <c r="K12">
        <f>IF((K$1*1)&lt;=MAX('DB Costi-Ore YtD'!$A:$A),SUMIFS('DB Costi-Ore YtD'!$G:$G,'DB Costi-Ore YtD'!$A:$A,K$1,'DB Costi-Ore YtD'!$B:$B,$A12,'DB Costi-Ore YtD'!$E:$E,$C12)-SUM($D12:J12),0)</f>
        <v>0</v>
      </c>
      <c r="L12">
        <f>IF((L$1*1)&lt;=MAX('DB Costi-Ore YtD'!$A:$A),SUMIFS('DB Costi-Ore YtD'!$G:$G,'DB Costi-Ore YtD'!$A:$A,L$1,'DB Costi-Ore YtD'!$B:$B,$A12,'DB Costi-Ore YtD'!$E:$E,$C12)-SUM($D12:K12),0)</f>
        <v>0</v>
      </c>
      <c r="M12">
        <f>IF((M$1*1)&lt;=MAX('DB Costi-Ore YtD'!$A:$A),SUMIFS('DB Costi-Ore YtD'!$G:$G,'DB Costi-Ore YtD'!$A:$A,M$1,'DB Costi-Ore YtD'!$B:$B,$A12,'DB Costi-Ore YtD'!$E:$E,$C12)-SUM($D12:L12),0)</f>
        <v>0</v>
      </c>
      <c r="N12">
        <f>IF((N$1*1)&lt;=MAX('DB Costi-Ore YtD'!$A:$A),SUMIFS('DB Costi-Ore YtD'!$G:$G,'DB Costi-Ore YtD'!$A:$A,N$1,'DB Costi-Ore YtD'!$B:$B,$A12,'DB Costi-Ore YtD'!$E:$E,$C12)-SUM($D12:M12),0)</f>
        <v>0</v>
      </c>
      <c r="O12">
        <f>IF((O$1*1)&lt;=MAX('DB Costi-Ore YtD'!$A:$A),SUMIFS('DB Costi-Ore YtD'!$G:$G,'DB Costi-Ore YtD'!$A:$A,O$1,'DB Costi-Ore YtD'!$B:$B,$A12,'DB Costi-Ore YtD'!$E:$E,$C12)-SUM($D12:N12),0)</f>
        <v>0</v>
      </c>
    </row>
    <row r="13" spans="1:15" x14ac:dyDescent="0.3">
      <c r="A13" t="s">
        <v>51</v>
      </c>
      <c r="B13" t="s">
        <v>52</v>
      </c>
      <c r="C13" t="s">
        <v>13</v>
      </c>
      <c r="D13">
        <f>IF((D$1*1)&lt;=MAX('DB Costi-Ore YtD'!$A:$A),SUMIFS('DB Costi-Ore YtD'!$G:$G,'DB Costi-Ore YtD'!$A:$A,D$1,'DB Costi-Ore YtD'!$B:$B,$A13,'DB Costi-Ore YtD'!$E:$E,$C13),0)</f>
        <v>7620.1600000000008</v>
      </c>
      <c r="E13">
        <f>IF((E$1*1)&lt;=MAX('DB Costi-Ore YtD'!$A:$A),SUMIFS('DB Costi-Ore YtD'!$G:$G,'DB Costi-Ore YtD'!$A:$A,E$1,'DB Costi-Ore YtD'!$B:$B,$A13,'DB Costi-Ore YtD'!$E:$E,$C13)-SUM($D13:D13),0)</f>
        <v>6877.5699999999988</v>
      </c>
      <c r="F13">
        <f>IF((F$1*1)&lt;=MAX('DB Costi-Ore YtD'!$A:$A),SUMIFS('DB Costi-Ore YtD'!$G:$G,'DB Costi-Ore YtD'!$A:$A,F$1,'DB Costi-Ore YtD'!$B:$B,$A13,'DB Costi-Ore YtD'!$E:$E,$C13)-SUM($D13:E13),0)</f>
        <v>6768.9100000000035</v>
      </c>
      <c r="G13">
        <f>IF((G$1*1)&lt;=MAX('DB Costi-Ore YtD'!$A:$A),SUMIFS('DB Costi-Ore YtD'!$G:$G,'DB Costi-Ore YtD'!$A:$A,G$1,'DB Costi-Ore YtD'!$B:$B,$A13,'DB Costi-Ore YtD'!$E:$E,$C13)-SUM($D13:F13),0)</f>
        <v>14328.569999999996</v>
      </c>
      <c r="H13">
        <f>IF((H$1*1)&lt;=MAX('DB Costi-Ore YtD'!$A:$A),SUMIFS('DB Costi-Ore YtD'!$G:$G,'DB Costi-Ore YtD'!$A:$A,H$1,'DB Costi-Ore YtD'!$B:$B,$A13,'DB Costi-Ore YtD'!$E:$E,$C13)-SUM($D13:G13),0)</f>
        <v>7143.7099999999919</v>
      </c>
      <c r="I13">
        <f>IF((I$1*1)&lt;=MAX('DB Costi-Ore YtD'!$A:$A),SUMIFS('DB Costi-Ore YtD'!$G:$G,'DB Costi-Ore YtD'!$A:$A,I$1,'DB Costi-Ore YtD'!$B:$B,$A13,'DB Costi-Ore YtD'!$E:$E,$C13)-SUM($D13:H13),0)</f>
        <v>8434.1900000000023</v>
      </c>
      <c r="J13">
        <f>IF((J$1*1)&lt;=MAX('DB Costi-Ore YtD'!$A:$A),SUMIFS('DB Costi-Ore YtD'!$G:$G,'DB Costi-Ore YtD'!$A:$A,J$1,'DB Costi-Ore YtD'!$B:$B,$A13,'DB Costi-Ore YtD'!$E:$E,$C13)-SUM($D13:I13),0)</f>
        <v>0</v>
      </c>
      <c r="K13">
        <f>IF((K$1*1)&lt;=MAX('DB Costi-Ore YtD'!$A:$A),SUMIFS('DB Costi-Ore YtD'!$G:$G,'DB Costi-Ore YtD'!$A:$A,K$1,'DB Costi-Ore YtD'!$B:$B,$A13,'DB Costi-Ore YtD'!$E:$E,$C13)-SUM($D13:J13),0)</f>
        <v>0</v>
      </c>
      <c r="L13">
        <f>IF((L$1*1)&lt;=MAX('DB Costi-Ore YtD'!$A:$A),SUMIFS('DB Costi-Ore YtD'!$G:$G,'DB Costi-Ore YtD'!$A:$A,L$1,'DB Costi-Ore YtD'!$B:$B,$A13,'DB Costi-Ore YtD'!$E:$E,$C13)-SUM($D13:K13),0)</f>
        <v>0</v>
      </c>
      <c r="M13">
        <f>IF((M$1*1)&lt;=MAX('DB Costi-Ore YtD'!$A:$A),SUMIFS('DB Costi-Ore YtD'!$G:$G,'DB Costi-Ore YtD'!$A:$A,M$1,'DB Costi-Ore YtD'!$B:$B,$A13,'DB Costi-Ore YtD'!$E:$E,$C13)-SUM($D13:L13),0)</f>
        <v>0</v>
      </c>
      <c r="N13">
        <f>IF((N$1*1)&lt;=MAX('DB Costi-Ore YtD'!$A:$A),SUMIFS('DB Costi-Ore YtD'!$G:$G,'DB Costi-Ore YtD'!$A:$A,N$1,'DB Costi-Ore YtD'!$B:$B,$A13,'DB Costi-Ore YtD'!$E:$E,$C13)-SUM($D13:M13),0)</f>
        <v>0</v>
      </c>
      <c r="O13">
        <f>IF((O$1*1)&lt;=MAX('DB Costi-Ore YtD'!$A:$A),SUMIFS('DB Costi-Ore YtD'!$G:$G,'DB Costi-Ore YtD'!$A:$A,O$1,'DB Costi-Ore YtD'!$B:$B,$A13,'DB Costi-Ore YtD'!$E:$E,$C13)-SUM($D13:N13),0)</f>
        <v>0</v>
      </c>
    </row>
    <row r="14" spans="1:15" x14ac:dyDescent="0.3">
      <c r="A14" t="s">
        <v>53</v>
      </c>
      <c r="B14" t="s">
        <v>54</v>
      </c>
      <c r="C14" t="s">
        <v>13</v>
      </c>
      <c r="D14">
        <f>IF((D$1*1)&lt;=MAX('DB Costi-Ore YtD'!$A:$A),SUMIFS('DB Costi-Ore YtD'!$G:$G,'DB Costi-Ore YtD'!$A:$A,D$1,'DB Costi-Ore YtD'!$B:$B,$A14,'DB Costi-Ore YtD'!$E:$E,$C14),0)</f>
        <v>2307.41</v>
      </c>
      <c r="E14">
        <f>IF((E$1*1)&lt;=MAX('DB Costi-Ore YtD'!$A:$A),SUMIFS('DB Costi-Ore YtD'!$G:$G,'DB Costi-Ore YtD'!$A:$A,E$1,'DB Costi-Ore YtD'!$B:$B,$A14,'DB Costi-Ore YtD'!$E:$E,$C14)-SUM($D14:D14),0)</f>
        <v>2336.37</v>
      </c>
      <c r="F14">
        <f>IF((F$1*1)&lt;=MAX('DB Costi-Ore YtD'!$A:$A),SUMIFS('DB Costi-Ore YtD'!$G:$G,'DB Costi-Ore YtD'!$A:$A,F$1,'DB Costi-Ore YtD'!$B:$B,$A14,'DB Costi-Ore YtD'!$E:$E,$C14)-SUM($D14:E14),0)</f>
        <v>0</v>
      </c>
      <c r="G14">
        <f>IF((G$1*1)&lt;=MAX('DB Costi-Ore YtD'!$A:$A),SUMIFS('DB Costi-Ore YtD'!$G:$G,'DB Costi-Ore YtD'!$A:$A,G$1,'DB Costi-Ore YtD'!$B:$B,$A14,'DB Costi-Ore YtD'!$E:$E,$C14)-SUM($D14:F14),0)</f>
        <v>0</v>
      </c>
      <c r="H14">
        <f>IF((H$1*1)&lt;=MAX('DB Costi-Ore YtD'!$A:$A),SUMIFS('DB Costi-Ore YtD'!$G:$G,'DB Costi-Ore YtD'!$A:$A,H$1,'DB Costi-Ore YtD'!$B:$B,$A14,'DB Costi-Ore YtD'!$E:$E,$C14)-SUM($D14:G14),0)</f>
        <v>0</v>
      </c>
      <c r="I14">
        <f>IF((I$1*1)&lt;=MAX('DB Costi-Ore YtD'!$A:$A),SUMIFS('DB Costi-Ore YtD'!$G:$G,'DB Costi-Ore YtD'!$A:$A,I$1,'DB Costi-Ore YtD'!$B:$B,$A14,'DB Costi-Ore YtD'!$E:$E,$C14)-SUM($D14:H14),0)</f>
        <v>0</v>
      </c>
      <c r="J14">
        <f>IF((J$1*1)&lt;=MAX('DB Costi-Ore YtD'!$A:$A),SUMIFS('DB Costi-Ore YtD'!$G:$G,'DB Costi-Ore YtD'!$A:$A,J$1,'DB Costi-Ore YtD'!$B:$B,$A14,'DB Costi-Ore YtD'!$E:$E,$C14)-SUM($D14:I14),0)</f>
        <v>0</v>
      </c>
      <c r="K14">
        <f>IF((K$1*1)&lt;=MAX('DB Costi-Ore YtD'!$A:$A),SUMIFS('DB Costi-Ore YtD'!$G:$G,'DB Costi-Ore YtD'!$A:$A,K$1,'DB Costi-Ore YtD'!$B:$B,$A14,'DB Costi-Ore YtD'!$E:$E,$C14)-SUM($D14:J14),0)</f>
        <v>0</v>
      </c>
      <c r="L14">
        <f>IF((L$1*1)&lt;=MAX('DB Costi-Ore YtD'!$A:$A),SUMIFS('DB Costi-Ore YtD'!$G:$G,'DB Costi-Ore YtD'!$A:$A,L$1,'DB Costi-Ore YtD'!$B:$B,$A14,'DB Costi-Ore YtD'!$E:$E,$C14)-SUM($D14:K14),0)</f>
        <v>0</v>
      </c>
      <c r="M14">
        <f>IF((M$1*1)&lt;=MAX('DB Costi-Ore YtD'!$A:$A),SUMIFS('DB Costi-Ore YtD'!$G:$G,'DB Costi-Ore YtD'!$A:$A,M$1,'DB Costi-Ore YtD'!$B:$B,$A14,'DB Costi-Ore YtD'!$E:$E,$C14)-SUM($D14:L14),0)</f>
        <v>0</v>
      </c>
      <c r="N14">
        <f>IF((N$1*1)&lt;=MAX('DB Costi-Ore YtD'!$A:$A),SUMIFS('DB Costi-Ore YtD'!$G:$G,'DB Costi-Ore YtD'!$A:$A,N$1,'DB Costi-Ore YtD'!$B:$B,$A14,'DB Costi-Ore YtD'!$E:$E,$C14)-SUM($D14:M14),0)</f>
        <v>0</v>
      </c>
      <c r="O14">
        <f>IF((O$1*1)&lt;=MAX('DB Costi-Ore YtD'!$A:$A),SUMIFS('DB Costi-Ore YtD'!$G:$G,'DB Costi-Ore YtD'!$A:$A,O$1,'DB Costi-Ore YtD'!$B:$B,$A14,'DB Costi-Ore YtD'!$E:$E,$C14)-SUM($D14:N14),0)</f>
        <v>0</v>
      </c>
    </row>
    <row r="15" spans="1:15" hidden="1" x14ac:dyDescent="0.3">
      <c r="A15" t="s">
        <v>55</v>
      </c>
      <c r="B15" t="s">
        <v>56</v>
      </c>
      <c r="C15" t="s">
        <v>11</v>
      </c>
      <c r="D15">
        <f>IF((D$1*1)&lt;=MAX('DB Costi-Ore YtD'!$A:$A),SUMIFS('DB Costi-Ore YtD'!$G:$G,'DB Costi-Ore YtD'!$A:$A,D$1,'DB Costi-Ore YtD'!$B:$B,$A15,'DB Costi-Ore YtD'!$E:$E,$C15),0)</f>
        <v>3310.2400000000007</v>
      </c>
      <c r="E15">
        <f>IF((E$1*1)&lt;=MAX('DB Costi-Ore YtD'!$A:$A),SUMIFS('DB Costi-Ore YtD'!$G:$G,'DB Costi-Ore YtD'!$A:$A,E$1,'DB Costi-Ore YtD'!$B:$B,$A15,'DB Costi-Ore YtD'!$E:$E,$C15)-SUM($D15:D15),0)</f>
        <v>3271.9300000000003</v>
      </c>
      <c r="F15">
        <f>IF((F$1*1)&lt;=MAX('DB Costi-Ore YtD'!$A:$A),SUMIFS('DB Costi-Ore YtD'!$G:$G,'DB Costi-Ore YtD'!$A:$A,F$1,'DB Costi-Ore YtD'!$B:$B,$A15,'DB Costi-Ore YtD'!$E:$E,$C15)-SUM($D15:E15),0)</f>
        <v>3377.1499999999987</v>
      </c>
      <c r="G15">
        <f>IF((G$1*1)&lt;=MAX('DB Costi-Ore YtD'!$A:$A),SUMIFS('DB Costi-Ore YtD'!$G:$G,'DB Costi-Ore YtD'!$A:$A,G$1,'DB Costi-Ore YtD'!$B:$B,$A15,'DB Costi-Ore YtD'!$E:$E,$C15)-SUM($D15:F15),0)</f>
        <v>4142.7900000000045</v>
      </c>
      <c r="H15">
        <f>IF((H$1*1)&lt;=MAX('DB Costi-Ore YtD'!$A:$A),SUMIFS('DB Costi-Ore YtD'!$G:$G,'DB Costi-Ore YtD'!$A:$A,H$1,'DB Costi-Ore YtD'!$B:$B,$A15,'DB Costi-Ore YtD'!$E:$E,$C15)-SUM($D15:G15),0)</f>
        <v>-14102.110000000004</v>
      </c>
      <c r="I15">
        <f>IF((I$1*1)&lt;=MAX('DB Costi-Ore YtD'!$A:$A),SUMIFS('DB Costi-Ore YtD'!$G:$G,'DB Costi-Ore YtD'!$A:$A,I$1,'DB Costi-Ore YtD'!$B:$B,$A15,'DB Costi-Ore YtD'!$E:$E,$C15)-SUM($D15:H15),0)</f>
        <v>0</v>
      </c>
      <c r="J15">
        <f>IF((J$1*1)&lt;=MAX('DB Costi-Ore YtD'!$A:$A),SUMIFS('DB Costi-Ore YtD'!$G:$G,'DB Costi-Ore YtD'!$A:$A,J$1,'DB Costi-Ore YtD'!$B:$B,$A15,'DB Costi-Ore YtD'!$E:$E,$C15)-SUM($D15:I15),0)</f>
        <v>0</v>
      </c>
      <c r="K15">
        <f>IF((K$1*1)&lt;=MAX('DB Costi-Ore YtD'!$A:$A),SUMIFS('DB Costi-Ore YtD'!$G:$G,'DB Costi-Ore YtD'!$A:$A,K$1,'DB Costi-Ore YtD'!$B:$B,$A15,'DB Costi-Ore YtD'!$E:$E,$C15)-SUM($D15:J15),0)</f>
        <v>0</v>
      </c>
      <c r="L15">
        <f>IF((L$1*1)&lt;=MAX('DB Costi-Ore YtD'!$A:$A),SUMIFS('DB Costi-Ore YtD'!$G:$G,'DB Costi-Ore YtD'!$A:$A,L$1,'DB Costi-Ore YtD'!$B:$B,$A15,'DB Costi-Ore YtD'!$E:$E,$C15)-SUM($D15:K15),0)</f>
        <v>0</v>
      </c>
      <c r="M15">
        <f>IF((M$1*1)&lt;=MAX('DB Costi-Ore YtD'!$A:$A),SUMIFS('DB Costi-Ore YtD'!$G:$G,'DB Costi-Ore YtD'!$A:$A,M$1,'DB Costi-Ore YtD'!$B:$B,$A15,'DB Costi-Ore YtD'!$E:$E,$C15)-SUM($D15:L15),0)</f>
        <v>0</v>
      </c>
      <c r="N15">
        <f>IF((N$1*1)&lt;=MAX('DB Costi-Ore YtD'!$A:$A),SUMIFS('DB Costi-Ore YtD'!$G:$G,'DB Costi-Ore YtD'!$A:$A,N$1,'DB Costi-Ore YtD'!$B:$B,$A15,'DB Costi-Ore YtD'!$E:$E,$C15)-SUM($D15:M15),0)</f>
        <v>0</v>
      </c>
      <c r="O15">
        <f>IF((O$1*1)&lt;=MAX('DB Costi-Ore YtD'!$A:$A),SUMIFS('DB Costi-Ore YtD'!$G:$G,'DB Costi-Ore YtD'!$A:$A,O$1,'DB Costi-Ore YtD'!$B:$B,$A15,'DB Costi-Ore YtD'!$E:$E,$C15)-SUM($D15:N15),0)</f>
        <v>0</v>
      </c>
    </row>
    <row r="16" spans="1:15" hidden="1" x14ac:dyDescent="0.3">
      <c r="A16" t="s">
        <v>57</v>
      </c>
      <c r="B16" t="s">
        <v>58</v>
      </c>
      <c r="C16" t="s">
        <v>14</v>
      </c>
      <c r="D16">
        <f>IF((D$1*1)&lt;=MAX('DB Costi-Ore YtD'!$A:$A),SUMIFS('DB Costi-Ore YtD'!$G:$G,'DB Costi-Ore YtD'!$A:$A,D$1,'DB Costi-Ore YtD'!$B:$B,$A16,'DB Costi-Ore YtD'!$E:$E,$C16),0)</f>
        <v>13418.04</v>
      </c>
      <c r="E16">
        <f>IF((E$1*1)&lt;=MAX('DB Costi-Ore YtD'!$A:$A),SUMIFS('DB Costi-Ore YtD'!$G:$G,'DB Costi-Ore YtD'!$A:$A,E$1,'DB Costi-Ore YtD'!$B:$B,$A16,'DB Costi-Ore YtD'!$E:$E,$C16)-SUM($D16:D16),0)</f>
        <v>6149.9599999999991</v>
      </c>
      <c r="F16">
        <f>IF((F$1*1)&lt;=MAX('DB Costi-Ore YtD'!$A:$A),SUMIFS('DB Costi-Ore YtD'!$G:$G,'DB Costi-Ore YtD'!$A:$A,F$1,'DB Costi-Ore YtD'!$B:$B,$A16,'DB Costi-Ore YtD'!$E:$E,$C16)-SUM($D16:E16),0)</f>
        <v>6044.4999999999964</v>
      </c>
      <c r="G16">
        <f>IF((G$1*1)&lt;=MAX('DB Costi-Ore YtD'!$A:$A),SUMIFS('DB Costi-Ore YtD'!$G:$G,'DB Costi-Ore YtD'!$A:$A,G$1,'DB Costi-Ore YtD'!$B:$B,$A16,'DB Costi-Ore YtD'!$E:$E,$C16)-SUM($D16:F16),0)</f>
        <v>6068.0900000000038</v>
      </c>
      <c r="H16">
        <f>IF((H$1*1)&lt;=MAX('DB Costi-Ore YtD'!$A:$A),SUMIFS('DB Costi-Ore YtD'!$G:$G,'DB Costi-Ore YtD'!$A:$A,H$1,'DB Costi-Ore YtD'!$B:$B,$A16,'DB Costi-Ore YtD'!$E:$E,$C16)-SUM($D16:G16),0)</f>
        <v>6030.7299999999923</v>
      </c>
      <c r="I16">
        <f>IF((I$1*1)&lt;=MAX('DB Costi-Ore YtD'!$A:$A),SUMIFS('DB Costi-Ore YtD'!$G:$G,'DB Costi-Ore YtD'!$A:$A,I$1,'DB Costi-Ore YtD'!$B:$B,$A16,'DB Costi-Ore YtD'!$E:$E,$C16)-SUM($D16:H16),0)</f>
        <v>11654.699999999997</v>
      </c>
      <c r="J16">
        <f>IF((J$1*1)&lt;=MAX('DB Costi-Ore YtD'!$A:$A),SUMIFS('DB Costi-Ore YtD'!$G:$G,'DB Costi-Ore YtD'!$A:$A,J$1,'DB Costi-Ore YtD'!$B:$B,$A16,'DB Costi-Ore YtD'!$E:$E,$C16)-SUM($D16:I16),0)</f>
        <v>0</v>
      </c>
      <c r="K16">
        <f>IF((K$1*1)&lt;=MAX('DB Costi-Ore YtD'!$A:$A),SUMIFS('DB Costi-Ore YtD'!$G:$G,'DB Costi-Ore YtD'!$A:$A,K$1,'DB Costi-Ore YtD'!$B:$B,$A16,'DB Costi-Ore YtD'!$E:$E,$C16)-SUM($D16:J16),0)</f>
        <v>0</v>
      </c>
      <c r="L16">
        <f>IF((L$1*1)&lt;=MAX('DB Costi-Ore YtD'!$A:$A),SUMIFS('DB Costi-Ore YtD'!$G:$G,'DB Costi-Ore YtD'!$A:$A,L$1,'DB Costi-Ore YtD'!$B:$B,$A16,'DB Costi-Ore YtD'!$E:$E,$C16)-SUM($D16:K16),0)</f>
        <v>0</v>
      </c>
      <c r="M16">
        <f>IF((M$1*1)&lt;=MAX('DB Costi-Ore YtD'!$A:$A),SUMIFS('DB Costi-Ore YtD'!$G:$G,'DB Costi-Ore YtD'!$A:$A,M$1,'DB Costi-Ore YtD'!$B:$B,$A16,'DB Costi-Ore YtD'!$E:$E,$C16)-SUM($D16:L16),0)</f>
        <v>0</v>
      </c>
      <c r="N16">
        <f>IF((N$1*1)&lt;=MAX('DB Costi-Ore YtD'!$A:$A),SUMIFS('DB Costi-Ore YtD'!$G:$G,'DB Costi-Ore YtD'!$A:$A,N$1,'DB Costi-Ore YtD'!$B:$B,$A16,'DB Costi-Ore YtD'!$E:$E,$C16)-SUM($D16:M16),0)</f>
        <v>0</v>
      </c>
      <c r="O16">
        <f>IF((O$1*1)&lt;=MAX('DB Costi-Ore YtD'!$A:$A),SUMIFS('DB Costi-Ore YtD'!$G:$G,'DB Costi-Ore YtD'!$A:$A,O$1,'DB Costi-Ore YtD'!$B:$B,$A16,'DB Costi-Ore YtD'!$E:$E,$C16)-SUM($D16:N16),0)</f>
        <v>0</v>
      </c>
    </row>
    <row r="17" spans="1:15" x14ac:dyDescent="0.3">
      <c r="A17" t="s">
        <v>59</v>
      </c>
      <c r="B17" t="s">
        <v>60</v>
      </c>
      <c r="C17" t="s">
        <v>13</v>
      </c>
      <c r="D17">
        <f>IF((D$1*1)&lt;=MAX('DB Costi-Ore YtD'!$A:$A),SUMIFS('DB Costi-Ore YtD'!$G:$G,'DB Costi-Ore YtD'!$A:$A,D$1,'DB Costi-Ore YtD'!$B:$B,$A17,'DB Costi-Ore YtD'!$E:$E,$C17),0)</f>
        <v>510.83000000000038</v>
      </c>
      <c r="E17">
        <f>IF((E$1*1)&lt;=MAX('DB Costi-Ore YtD'!$A:$A),SUMIFS('DB Costi-Ore YtD'!$G:$G,'DB Costi-Ore YtD'!$A:$A,E$1,'DB Costi-Ore YtD'!$B:$B,$A17,'DB Costi-Ore YtD'!$E:$E,$C17)-SUM($D17:D17),0)</f>
        <v>498.76999999999953</v>
      </c>
      <c r="F17">
        <f>IF((F$1*1)&lt;=MAX('DB Costi-Ore YtD'!$A:$A),SUMIFS('DB Costi-Ore YtD'!$G:$G,'DB Costi-Ore YtD'!$A:$A,F$1,'DB Costi-Ore YtD'!$B:$B,$A17,'DB Costi-Ore YtD'!$E:$E,$C17)-SUM($D17:E17),0)</f>
        <v>521.23000000000047</v>
      </c>
      <c r="G17">
        <f>IF((G$1*1)&lt;=MAX('DB Costi-Ore YtD'!$A:$A),SUMIFS('DB Costi-Ore YtD'!$G:$G,'DB Costi-Ore YtD'!$A:$A,G$1,'DB Costi-Ore YtD'!$B:$B,$A17,'DB Costi-Ore YtD'!$E:$E,$C17)-SUM($D17:F17),0)</f>
        <v>559.75999999999931</v>
      </c>
      <c r="H17">
        <f>IF((H$1*1)&lt;=MAX('DB Costi-Ore YtD'!$A:$A),SUMIFS('DB Costi-Ore YtD'!$G:$G,'DB Costi-Ore YtD'!$A:$A,H$1,'DB Costi-Ore YtD'!$B:$B,$A17,'DB Costi-Ore YtD'!$E:$E,$C17)-SUM($D17:G17),0)</f>
        <v>584.02000000000044</v>
      </c>
      <c r="I17">
        <f>IF((I$1*1)&lt;=MAX('DB Costi-Ore YtD'!$A:$A),SUMIFS('DB Costi-Ore YtD'!$G:$G,'DB Costi-Ore YtD'!$A:$A,I$1,'DB Costi-Ore YtD'!$B:$B,$A17,'DB Costi-Ore YtD'!$E:$E,$C17)-SUM($D17:H17),0)</f>
        <v>514.35000000000036</v>
      </c>
      <c r="J17">
        <f>IF((J$1*1)&lt;=MAX('DB Costi-Ore YtD'!$A:$A),SUMIFS('DB Costi-Ore YtD'!$G:$G,'DB Costi-Ore YtD'!$A:$A,J$1,'DB Costi-Ore YtD'!$B:$B,$A17,'DB Costi-Ore YtD'!$E:$E,$C17)-SUM($D17:I17),0)</f>
        <v>0</v>
      </c>
      <c r="K17">
        <f>IF((K$1*1)&lt;=MAX('DB Costi-Ore YtD'!$A:$A),SUMIFS('DB Costi-Ore YtD'!$G:$G,'DB Costi-Ore YtD'!$A:$A,K$1,'DB Costi-Ore YtD'!$B:$B,$A17,'DB Costi-Ore YtD'!$E:$E,$C17)-SUM($D17:J17),0)</f>
        <v>0</v>
      </c>
      <c r="L17">
        <f>IF((L$1*1)&lt;=MAX('DB Costi-Ore YtD'!$A:$A),SUMIFS('DB Costi-Ore YtD'!$G:$G,'DB Costi-Ore YtD'!$A:$A,L$1,'DB Costi-Ore YtD'!$B:$B,$A17,'DB Costi-Ore YtD'!$E:$E,$C17)-SUM($D17:K17),0)</f>
        <v>0</v>
      </c>
      <c r="M17">
        <f>IF((M$1*1)&lt;=MAX('DB Costi-Ore YtD'!$A:$A),SUMIFS('DB Costi-Ore YtD'!$G:$G,'DB Costi-Ore YtD'!$A:$A,M$1,'DB Costi-Ore YtD'!$B:$B,$A17,'DB Costi-Ore YtD'!$E:$E,$C17)-SUM($D17:L17),0)</f>
        <v>0</v>
      </c>
      <c r="N17">
        <f>IF((N$1*1)&lt;=MAX('DB Costi-Ore YtD'!$A:$A),SUMIFS('DB Costi-Ore YtD'!$G:$G,'DB Costi-Ore YtD'!$A:$A,N$1,'DB Costi-Ore YtD'!$B:$B,$A17,'DB Costi-Ore YtD'!$E:$E,$C17)-SUM($D17:M17),0)</f>
        <v>0</v>
      </c>
      <c r="O17">
        <f>IF((O$1*1)&lt;=MAX('DB Costi-Ore YtD'!$A:$A),SUMIFS('DB Costi-Ore YtD'!$G:$G,'DB Costi-Ore YtD'!$A:$A,O$1,'DB Costi-Ore YtD'!$B:$B,$A17,'DB Costi-Ore YtD'!$E:$E,$C17)-SUM($D17:N17),0)</f>
        <v>0</v>
      </c>
    </row>
    <row r="18" spans="1:15" hidden="1" x14ac:dyDescent="0.3">
      <c r="A18" t="s">
        <v>61</v>
      </c>
      <c r="B18" t="s">
        <v>62</v>
      </c>
      <c r="C18" t="s">
        <v>3</v>
      </c>
      <c r="D18">
        <f>IF((D$1*1)&lt;=MAX('DB Costi-Ore YtD'!$A:$A),SUMIFS('DB Costi-Ore YtD'!$G:$G,'DB Costi-Ore YtD'!$A:$A,D$1,'DB Costi-Ore YtD'!$B:$B,$A18,'DB Costi-Ore YtD'!$E:$E,$C18),0)</f>
        <v>1038.51</v>
      </c>
      <c r="E18">
        <f>IF((E$1*1)&lt;=MAX('DB Costi-Ore YtD'!$A:$A),SUMIFS('DB Costi-Ore YtD'!$G:$G,'DB Costi-Ore YtD'!$A:$A,E$1,'DB Costi-Ore YtD'!$B:$B,$A18,'DB Costi-Ore YtD'!$E:$E,$C18)-SUM($D18:D18),0)</f>
        <v>1846.7700000000002</v>
      </c>
      <c r="F18">
        <f>IF((F$1*1)&lt;=MAX('DB Costi-Ore YtD'!$A:$A),SUMIFS('DB Costi-Ore YtD'!$G:$G,'DB Costi-Ore YtD'!$A:$A,F$1,'DB Costi-Ore YtD'!$B:$B,$A18,'DB Costi-Ore YtD'!$E:$E,$C18)-SUM($D18:E18),0)</f>
        <v>1790.8699999999994</v>
      </c>
      <c r="G18">
        <f>IF((G$1*1)&lt;=MAX('DB Costi-Ore YtD'!$A:$A),SUMIFS('DB Costi-Ore YtD'!$G:$G,'DB Costi-Ore YtD'!$A:$A,G$1,'DB Costi-Ore YtD'!$B:$B,$A18,'DB Costi-Ore YtD'!$E:$E,$C18)-SUM($D18:F18),0)</f>
        <v>1896.4300000000003</v>
      </c>
      <c r="H18">
        <f>IF((H$1*1)&lt;=MAX('DB Costi-Ore YtD'!$A:$A),SUMIFS('DB Costi-Ore YtD'!$G:$G,'DB Costi-Ore YtD'!$A:$A,H$1,'DB Costi-Ore YtD'!$B:$B,$A18,'DB Costi-Ore YtD'!$E:$E,$C18)-SUM($D18:G18),0)</f>
        <v>1840.369999999999</v>
      </c>
      <c r="I18">
        <f>IF((I$1*1)&lt;=MAX('DB Costi-Ore YtD'!$A:$A),SUMIFS('DB Costi-Ore YtD'!$G:$G,'DB Costi-Ore YtD'!$A:$A,I$1,'DB Costi-Ore YtD'!$B:$B,$A18,'DB Costi-Ore YtD'!$E:$E,$C18)-SUM($D18:H18),0)</f>
        <v>1791.7100000000009</v>
      </c>
      <c r="J18">
        <f>IF((J$1*1)&lt;=MAX('DB Costi-Ore YtD'!$A:$A),SUMIFS('DB Costi-Ore YtD'!$G:$G,'DB Costi-Ore YtD'!$A:$A,J$1,'DB Costi-Ore YtD'!$B:$B,$A18,'DB Costi-Ore YtD'!$E:$E,$C18)-SUM($D18:I18),0)</f>
        <v>0</v>
      </c>
      <c r="K18">
        <f>IF((K$1*1)&lt;=MAX('DB Costi-Ore YtD'!$A:$A),SUMIFS('DB Costi-Ore YtD'!$G:$G,'DB Costi-Ore YtD'!$A:$A,K$1,'DB Costi-Ore YtD'!$B:$B,$A18,'DB Costi-Ore YtD'!$E:$E,$C18)-SUM($D18:J18),0)</f>
        <v>0</v>
      </c>
      <c r="L18">
        <f>IF((L$1*1)&lt;=MAX('DB Costi-Ore YtD'!$A:$A),SUMIFS('DB Costi-Ore YtD'!$G:$G,'DB Costi-Ore YtD'!$A:$A,L$1,'DB Costi-Ore YtD'!$B:$B,$A18,'DB Costi-Ore YtD'!$E:$E,$C18)-SUM($D18:K18),0)</f>
        <v>0</v>
      </c>
      <c r="M18">
        <f>IF((M$1*1)&lt;=MAX('DB Costi-Ore YtD'!$A:$A),SUMIFS('DB Costi-Ore YtD'!$G:$G,'DB Costi-Ore YtD'!$A:$A,M$1,'DB Costi-Ore YtD'!$B:$B,$A18,'DB Costi-Ore YtD'!$E:$E,$C18)-SUM($D18:L18),0)</f>
        <v>0</v>
      </c>
      <c r="N18">
        <f>IF((N$1*1)&lt;=MAX('DB Costi-Ore YtD'!$A:$A),SUMIFS('DB Costi-Ore YtD'!$G:$G,'DB Costi-Ore YtD'!$A:$A,N$1,'DB Costi-Ore YtD'!$B:$B,$A18,'DB Costi-Ore YtD'!$E:$E,$C18)-SUM($D18:M18),0)</f>
        <v>0</v>
      </c>
      <c r="O18">
        <f>IF((O$1*1)&lt;=MAX('DB Costi-Ore YtD'!$A:$A),SUMIFS('DB Costi-Ore YtD'!$G:$G,'DB Costi-Ore YtD'!$A:$A,O$1,'DB Costi-Ore YtD'!$B:$B,$A18,'DB Costi-Ore YtD'!$E:$E,$C18)-SUM($D18:N18),0)</f>
        <v>0</v>
      </c>
    </row>
    <row r="19" spans="1:15" hidden="1" x14ac:dyDescent="0.3">
      <c r="A19" t="s">
        <v>63</v>
      </c>
      <c r="B19" t="s">
        <v>64</v>
      </c>
      <c r="C19" t="s">
        <v>2</v>
      </c>
      <c r="D19">
        <f>IF((D$1*1)&lt;=MAX('DB Costi-Ore YtD'!$A:$A),SUMIFS('DB Costi-Ore YtD'!$G:$G,'DB Costi-Ore YtD'!$A:$A,D$1,'DB Costi-Ore YtD'!$B:$B,$A19,'DB Costi-Ore YtD'!$E:$E,$C19),0)</f>
        <v>2211.54</v>
      </c>
      <c r="E19">
        <f>IF((E$1*1)&lt;=MAX('DB Costi-Ore YtD'!$A:$A),SUMIFS('DB Costi-Ore YtD'!$G:$G,'DB Costi-Ore YtD'!$A:$A,E$1,'DB Costi-Ore YtD'!$B:$B,$A19,'DB Costi-Ore YtD'!$E:$E,$C19)-SUM($D19:D19),0)</f>
        <v>2094.1100000000006</v>
      </c>
      <c r="F19">
        <f>IF((F$1*1)&lt;=MAX('DB Costi-Ore YtD'!$A:$A),SUMIFS('DB Costi-Ore YtD'!$G:$G,'DB Costi-Ore YtD'!$A:$A,F$1,'DB Costi-Ore YtD'!$B:$B,$A19,'DB Costi-Ore YtD'!$E:$E,$C19)-SUM($D19:E19),0)</f>
        <v>2050.4799999999996</v>
      </c>
      <c r="G19">
        <f>IF((G$1*1)&lt;=MAX('DB Costi-Ore YtD'!$A:$A),SUMIFS('DB Costi-Ore YtD'!$G:$G,'DB Costi-Ore YtD'!$A:$A,G$1,'DB Costi-Ore YtD'!$B:$B,$A19,'DB Costi-Ore YtD'!$E:$E,$C19)-SUM($D19:F19),0)</f>
        <v>2122.3900000000003</v>
      </c>
      <c r="H19">
        <f>IF((H$1*1)&lt;=MAX('DB Costi-Ore YtD'!$A:$A),SUMIFS('DB Costi-Ore YtD'!$G:$G,'DB Costi-Ore YtD'!$A:$A,H$1,'DB Costi-Ore YtD'!$B:$B,$A19,'DB Costi-Ore YtD'!$E:$E,$C19)-SUM($D19:G19),0)</f>
        <v>2098.1399999999994</v>
      </c>
      <c r="I19">
        <f>IF((I$1*1)&lt;=MAX('DB Costi-Ore YtD'!$A:$A),SUMIFS('DB Costi-Ore YtD'!$G:$G,'DB Costi-Ore YtD'!$A:$A,I$1,'DB Costi-Ore YtD'!$B:$B,$A19,'DB Costi-Ore YtD'!$E:$E,$C19)-SUM($D19:H19),0)</f>
        <v>1750.8700000000008</v>
      </c>
      <c r="J19">
        <f>IF((J$1*1)&lt;=MAX('DB Costi-Ore YtD'!$A:$A),SUMIFS('DB Costi-Ore YtD'!$G:$G,'DB Costi-Ore YtD'!$A:$A,J$1,'DB Costi-Ore YtD'!$B:$B,$A19,'DB Costi-Ore YtD'!$E:$E,$C19)-SUM($D19:I19),0)</f>
        <v>0</v>
      </c>
      <c r="K19">
        <f>IF((K$1*1)&lt;=MAX('DB Costi-Ore YtD'!$A:$A),SUMIFS('DB Costi-Ore YtD'!$G:$G,'DB Costi-Ore YtD'!$A:$A,K$1,'DB Costi-Ore YtD'!$B:$B,$A19,'DB Costi-Ore YtD'!$E:$E,$C19)-SUM($D19:J19),0)</f>
        <v>0</v>
      </c>
      <c r="L19">
        <f>IF((L$1*1)&lt;=MAX('DB Costi-Ore YtD'!$A:$A),SUMIFS('DB Costi-Ore YtD'!$G:$G,'DB Costi-Ore YtD'!$A:$A,L$1,'DB Costi-Ore YtD'!$B:$B,$A19,'DB Costi-Ore YtD'!$E:$E,$C19)-SUM($D19:K19),0)</f>
        <v>0</v>
      </c>
      <c r="M19">
        <f>IF((M$1*1)&lt;=MAX('DB Costi-Ore YtD'!$A:$A),SUMIFS('DB Costi-Ore YtD'!$G:$G,'DB Costi-Ore YtD'!$A:$A,M$1,'DB Costi-Ore YtD'!$B:$B,$A19,'DB Costi-Ore YtD'!$E:$E,$C19)-SUM($D19:L19),0)</f>
        <v>0</v>
      </c>
      <c r="N19">
        <f>IF((N$1*1)&lt;=MAX('DB Costi-Ore YtD'!$A:$A),SUMIFS('DB Costi-Ore YtD'!$G:$G,'DB Costi-Ore YtD'!$A:$A,N$1,'DB Costi-Ore YtD'!$B:$B,$A19,'DB Costi-Ore YtD'!$E:$E,$C19)-SUM($D19:M19),0)</f>
        <v>0</v>
      </c>
      <c r="O19">
        <f>IF((O$1*1)&lt;=MAX('DB Costi-Ore YtD'!$A:$A),SUMIFS('DB Costi-Ore YtD'!$G:$G,'DB Costi-Ore YtD'!$A:$A,O$1,'DB Costi-Ore YtD'!$B:$B,$A19,'DB Costi-Ore YtD'!$E:$E,$C19)-SUM($D19:N19),0)</f>
        <v>0</v>
      </c>
    </row>
    <row r="20" spans="1:15" hidden="1" x14ac:dyDescent="0.3">
      <c r="A20" t="s">
        <v>65</v>
      </c>
      <c r="B20" t="s">
        <v>66</v>
      </c>
      <c r="C20" t="s">
        <v>2</v>
      </c>
      <c r="D20">
        <f>IF((D$1*1)&lt;=MAX('DB Costi-Ore YtD'!$A:$A),SUMIFS('DB Costi-Ore YtD'!$G:$G,'DB Costi-Ore YtD'!$A:$A,D$1,'DB Costi-Ore YtD'!$B:$B,$A20,'DB Costi-Ore YtD'!$E:$E,$C20),0)</f>
        <v>1833.45</v>
      </c>
      <c r="E20">
        <f>IF((E$1*1)&lt;=MAX('DB Costi-Ore YtD'!$A:$A),SUMIFS('DB Costi-Ore YtD'!$G:$G,'DB Costi-Ore YtD'!$A:$A,E$1,'DB Costi-Ore YtD'!$B:$B,$A20,'DB Costi-Ore YtD'!$E:$E,$C20)-SUM($D20:D20),0)</f>
        <v>1815.0399999999997</v>
      </c>
      <c r="F20">
        <f>IF((F$1*1)&lt;=MAX('DB Costi-Ore YtD'!$A:$A),SUMIFS('DB Costi-Ore YtD'!$G:$G,'DB Costi-Ore YtD'!$A:$A,F$1,'DB Costi-Ore YtD'!$B:$B,$A20,'DB Costi-Ore YtD'!$E:$E,$C20)-SUM($D20:E20),0)</f>
        <v>1780.9000000000005</v>
      </c>
      <c r="G20">
        <f>IF((G$1*1)&lt;=MAX('DB Costi-Ore YtD'!$A:$A),SUMIFS('DB Costi-Ore YtD'!$G:$G,'DB Costi-Ore YtD'!$A:$A,G$1,'DB Costi-Ore YtD'!$B:$B,$A20,'DB Costi-Ore YtD'!$E:$E,$C20)-SUM($D20:F20),0)</f>
        <v>1744.8899999999994</v>
      </c>
      <c r="H20">
        <f>IF((H$1*1)&lt;=MAX('DB Costi-Ore YtD'!$A:$A),SUMIFS('DB Costi-Ore YtD'!$G:$G,'DB Costi-Ore YtD'!$A:$A,H$1,'DB Costi-Ore YtD'!$B:$B,$A20,'DB Costi-Ore YtD'!$E:$E,$C20)-SUM($D20:G20),0)</f>
        <v>1724.1100000000015</v>
      </c>
      <c r="I20">
        <f>IF((I$1*1)&lt;=MAX('DB Costi-Ore YtD'!$A:$A),SUMIFS('DB Costi-Ore YtD'!$G:$G,'DB Costi-Ore YtD'!$A:$A,I$1,'DB Costi-Ore YtD'!$B:$B,$A20,'DB Costi-Ore YtD'!$E:$E,$C20)-SUM($D20:H20),0)</f>
        <v>1783.989999999998</v>
      </c>
      <c r="J20">
        <f>IF((J$1*1)&lt;=MAX('DB Costi-Ore YtD'!$A:$A),SUMIFS('DB Costi-Ore YtD'!$G:$G,'DB Costi-Ore YtD'!$A:$A,J$1,'DB Costi-Ore YtD'!$B:$B,$A20,'DB Costi-Ore YtD'!$E:$E,$C20)-SUM($D20:I20),0)</f>
        <v>0</v>
      </c>
      <c r="K20">
        <f>IF((K$1*1)&lt;=MAX('DB Costi-Ore YtD'!$A:$A),SUMIFS('DB Costi-Ore YtD'!$G:$G,'DB Costi-Ore YtD'!$A:$A,K$1,'DB Costi-Ore YtD'!$B:$B,$A20,'DB Costi-Ore YtD'!$E:$E,$C20)-SUM($D20:J20),0)</f>
        <v>0</v>
      </c>
      <c r="L20">
        <f>IF((L$1*1)&lt;=MAX('DB Costi-Ore YtD'!$A:$A),SUMIFS('DB Costi-Ore YtD'!$G:$G,'DB Costi-Ore YtD'!$A:$A,L$1,'DB Costi-Ore YtD'!$B:$B,$A20,'DB Costi-Ore YtD'!$E:$E,$C20)-SUM($D20:K20),0)</f>
        <v>0</v>
      </c>
      <c r="M20">
        <f>IF((M$1*1)&lt;=MAX('DB Costi-Ore YtD'!$A:$A),SUMIFS('DB Costi-Ore YtD'!$G:$G,'DB Costi-Ore YtD'!$A:$A,M$1,'DB Costi-Ore YtD'!$B:$B,$A20,'DB Costi-Ore YtD'!$E:$E,$C20)-SUM($D20:L20),0)</f>
        <v>0</v>
      </c>
      <c r="N20">
        <f>IF((N$1*1)&lt;=MAX('DB Costi-Ore YtD'!$A:$A),SUMIFS('DB Costi-Ore YtD'!$G:$G,'DB Costi-Ore YtD'!$A:$A,N$1,'DB Costi-Ore YtD'!$B:$B,$A20,'DB Costi-Ore YtD'!$E:$E,$C20)-SUM($D20:M20),0)</f>
        <v>0</v>
      </c>
      <c r="O20">
        <f>IF((O$1*1)&lt;=MAX('DB Costi-Ore YtD'!$A:$A),SUMIFS('DB Costi-Ore YtD'!$G:$G,'DB Costi-Ore YtD'!$A:$A,O$1,'DB Costi-Ore YtD'!$B:$B,$A20,'DB Costi-Ore YtD'!$E:$E,$C20)-SUM($D20:N20),0)</f>
        <v>0</v>
      </c>
    </row>
    <row r="21" spans="1:15" hidden="1" x14ac:dyDescent="0.3">
      <c r="A21" t="s">
        <v>67</v>
      </c>
      <c r="B21" t="s">
        <v>68</v>
      </c>
      <c r="C21" t="s">
        <v>2</v>
      </c>
      <c r="D21">
        <f>IF((D$1*1)&lt;=MAX('DB Costi-Ore YtD'!$A:$A),SUMIFS('DB Costi-Ore YtD'!$G:$G,'DB Costi-Ore YtD'!$A:$A,D$1,'DB Costi-Ore YtD'!$B:$B,$A21,'DB Costi-Ore YtD'!$E:$E,$C21),0)</f>
        <v>2321.0700000000002</v>
      </c>
      <c r="E21">
        <f>IF((E$1*1)&lt;=MAX('DB Costi-Ore YtD'!$A:$A),SUMIFS('DB Costi-Ore YtD'!$G:$G,'DB Costi-Ore YtD'!$A:$A,E$1,'DB Costi-Ore YtD'!$B:$B,$A21,'DB Costi-Ore YtD'!$E:$E,$C21)-SUM($D21:D21),0)</f>
        <v>1560.4099999999999</v>
      </c>
      <c r="F21">
        <f>IF((F$1*1)&lt;=MAX('DB Costi-Ore YtD'!$A:$A),SUMIFS('DB Costi-Ore YtD'!$G:$G,'DB Costi-Ore YtD'!$A:$A,F$1,'DB Costi-Ore YtD'!$B:$B,$A21,'DB Costi-Ore YtD'!$E:$E,$C21)-SUM($D21:E21),0)</f>
        <v>260.67000000000053</v>
      </c>
      <c r="G21">
        <f>IF((G$1*1)&lt;=MAX('DB Costi-Ore YtD'!$A:$A),SUMIFS('DB Costi-Ore YtD'!$G:$G,'DB Costi-Ore YtD'!$A:$A,G$1,'DB Costi-Ore YtD'!$B:$B,$A21,'DB Costi-Ore YtD'!$E:$E,$C21)-SUM($D21:F21),0)</f>
        <v>0</v>
      </c>
      <c r="H21">
        <f>IF((H$1*1)&lt;=MAX('DB Costi-Ore YtD'!$A:$A),SUMIFS('DB Costi-Ore YtD'!$G:$G,'DB Costi-Ore YtD'!$A:$A,H$1,'DB Costi-Ore YtD'!$B:$B,$A21,'DB Costi-Ore YtD'!$E:$E,$C21)-SUM($D21:G21),0)</f>
        <v>-9.0949470177292824E-13</v>
      </c>
      <c r="I21">
        <f>IF((I$1*1)&lt;=MAX('DB Costi-Ore YtD'!$A:$A),SUMIFS('DB Costi-Ore YtD'!$G:$G,'DB Costi-Ore YtD'!$A:$A,I$1,'DB Costi-Ore YtD'!$B:$B,$A21,'DB Costi-Ore YtD'!$E:$E,$C21)-SUM($D21:H21),0)</f>
        <v>0</v>
      </c>
      <c r="J21">
        <f>IF((J$1*1)&lt;=MAX('DB Costi-Ore YtD'!$A:$A),SUMIFS('DB Costi-Ore YtD'!$G:$G,'DB Costi-Ore YtD'!$A:$A,J$1,'DB Costi-Ore YtD'!$B:$B,$A21,'DB Costi-Ore YtD'!$E:$E,$C21)-SUM($D21:I21),0)</f>
        <v>0</v>
      </c>
      <c r="K21">
        <f>IF((K$1*1)&lt;=MAX('DB Costi-Ore YtD'!$A:$A),SUMIFS('DB Costi-Ore YtD'!$G:$G,'DB Costi-Ore YtD'!$A:$A,K$1,'DB Costi-Ore YtD'!$B:$B,$A21,'DB Costi-Ore YtD'!$E:$E,$C21)-SUM($D21:J21),0)</f>
        <v>0</v>
      </c>
      <c r="L21">
        <f>IF((L$1*1)&lt;=MAX('DB Costi-Ore YtD'!$A:$A),SUMIFS('DB Costi-Ore YtD'!$G:$G,'DB Costi-Ore YtD'!$A:$A,L$1,'DB Costi-Ore YtD'!$B:$B,$A21,'DB Costi-Ore YtD'!$E:$E,$C21)-SUM($D21:K21),0)</f>
        <v>0</v>
      </c>
      <c r="M21">
        <f>IF((M$1*1)&lt;=MAX('DB Costi-Ore YtD'!$A:$A),SUMIFS('DB Costi-Ore YtD'!$G:$G,'DB Costi-Ore YtD'!$A:$A,M$1,'DB Costi-Ore YtD'!$B:$B,$A21,'DB Costi-Ore YtD'!$E:$E,$C21)-SUM($D21:L21),0)</f>
        <v>0</v>
      </c>
      <c r="N21">
        <f>IF((N$1*1)&lt;=MAX('DB Costi-Ore YtD'!$A:$A),SUMIFS('DB Costi-Ore YtD'!$G:$G,'DB Costi-Ore YtD'!$A:$A,N$1,'DB Costi-Ore YtD'!$B:$B,$A21,'DB Costi-Ore YtD'!$E:$E,$C21)-SUM($D21:M21),0)</f>
        <v>0</v>
      </c>
      <c r="O21">
        <f>IF((O$1*1)&lt;=MAX('DB Costi-Ore YtD'!$A:$A),SUMIFS('DB Costi-Ore YtD'!$G:$G,'DB Costi-Ore YtD'!$A:$A,O$1,'DB Costi-Ore YtD'!$B:$B,$A21,'DB Costi-Ore YtD'!$E:$E,$C21)-SUM($D21:N21),0)</f>
        <v>0</v>
      </c>
    </row>
    <row r="22" spans="1:15" hidden="1" x14ac:dyDescent="0.3">
      <c r="A22" t="s">
        <v>69</v>
      </c>
      <c r="B22" t="s">
        <v>70</v>
      </c>
      <c r="C22" t="s">
        <v>2</v>
      </c>
      <c r="D22">
        <f>IF((D$1*1)&lt;=MAX('DB Costi-Ore YtD'!$A:$A),SUMIFS('DB Costi-Ore YtD'!$G:$G,'DB Costi-Ore YtD'!$A:$A,D$1,'DB Costi-Ore YtD'!$B:$B,$A22,'DB Costi-Ore YtD'!$E:$E,$C22),0)</f>
        <v>2831.5599999999995</v>
      </c>
      <c r="E22">
        <f>IF((E$1*1)&lt;=MAX('DB Costi-Ore YtD'!$A:$A),SUMIFS('DB Costi-Ore YtD'!$G:$G,'DB Costi-Ore YtD'!$A:$A,E$1,'DB Costi-Ore YtD'!$B:$B,$A22,'DB Costi-Ore YtD'!$E:$E,$C22)-SUM($D22:D22),0)</f>
        <v>2530.4300000000003</v>
      </c>
      <c r="F22">
        <f>IF((F$1*1)&lt;=MAX('DB Costi-Ore YtD'!$A:$A),SUMIFS('DB Costi-Ore YtD'!$G:$G,'DB Costi-Ore YtD'!$A:$A,F$1,'DB Costi-Ore YtD'!$B:$B,$A22,'DB Costi-Ore YtD'!$E:$E,$C22)-SUM($D22:E22),0)</f>
        <v>2510.5000000000009</v>
      </c>
      <c r="G22">
        <f>IF((G$1*1)&lt;=MAX('DB Costi-Ore YtD'!$A:$A),SUMIFS('DB Costi-Ore YtD'!$G:$G,'DB Costi-Ore YtD'!$A:$A,G$1,'DB Costi-Ore YtD'!$B:$B,$A22,'DB Costi-Ore YtD'!$E:$E,$C22)-SUM($D22:F22),0)</f>
        <v>2743.6099999999997</v>
      </c>
      <c r="H22">
        <f>IF((H$1*1)&lt;=MAX('DB Costi-Ore YtD'!$A:$A),SUMIFS('DB Costi-Ore YtD'!$G:$G,'DB Costi-Ore YtD'!$A:$A,H$1,'DB Costi-Ore YtD'!$B:$B,$A22,'DB Costi-Ore YtD'!$E:$E,$C22)-SUM($D22:G22),0)</f>
        <v>2629.99</v>
      </c>
      <c r="I22">
        <f>IF((I$1*1)&lt;=MAX('DB Costi-Ore YtD'!$A:$A),SUMIFS('DB Costi-Ore YtD'!$G:$G,'DB Costi-Ore YtD'!$A:$A,I$1,'DB Costi-Ore YtD'!$B:$B,$A22,'DB Costi-Ore YtD'!$E:$E,$C22)-SUM($D22:H22),0)</f>
        <v>2333.0200000000004</v>
      </c>
      <c r="J22">
        <f>IF((J$1*1)&lt;=MAX('DB Costi-Ore YtD'!$A:$A),SUMIFS('DB Costi-Ore YtD'!$G:$G,'DB Costi-Ore YtD'!$A:$A,J$1,'DB Costi-Ore YtD'!$B:$B,$A22,'DB Costi-Ore YtD'!$E:$E,$C22)-SUM($D22:I22),0)</f>
        <v>0</v>
      </c>
      <c r="K22">
        <f>IF((K$1*1)&lt;=MAX('DB Costi-Ore YtD'!$A:$A),SUMIFS('DB Costi-Ore YtD'!$G:$G,'DB Costi-Ore YtD'!$A:$A,K$1,'DB Costi-Ore YtD'!$B:$B,$A22,'DB Costi-Ore YtD'!$E:$E,$C22)-SUM($D22:J22),0)</f>
        <v>0</v>
      </c>
      <c r="L22">
        <f>IF((L$1*1)&lt;=MAX('DB Costi-Ore YtD'!$A:$A),SUMIFS('DB Costi-Ore YtD'!$G:$G,'DB Costi-Ore YtD'!$A:$A,L$1,'DB Costi-Ore YtD'!$B:$B,$A22,'DB Costi-Ore YtD'!$E:$E,$C22)-SUM($D22:K22),0)</f>
        <v>0</v>
      </c>
      <c r="M22">
        <f>IF((M$1*1)&lt;=MAX('DB Costi-Ore YtD'!$A:$A),SUMIFS('DB Costi-Ore YtD'!$G:$G,'DB Costi-Ore YtD'!$A:$A,M$1,'DB Costi-Ore YtD'!$B:$B,$A22,'DB Costi-Ore YtD'!$E:$E,$C22)-SUM($D22:L22),0)</f>
        <v>0</v>
      </c>
      <c r="N22">
        <f>IF((N$1*1)&lt;=MAX('DB Costi-Ore YtD'!$A:$A),SUMIFS('DB Costi-Ore YtD'!$G:$G,'DB Costi-Ore YtD'!$A:$A,N$1,'DB Costi-Ore YtD'!$B:$B,$A22,'DB Costi-Ore YtD'!$E:$E,$C22)-SUM($D22:M22),0)</f>
        <v>0</v>
      </c>
      <c r="O22">
        <f>IF((O$1*1)&lt;=MAX('DB Costi-Ore YtD'!$A:$A),SUMIFS('DB Costi-Ore YtD'!$G:$G,'DB Costi-Ore YtD'!$A:$A,O$1,'DB Costi-Ore YtD'!$B:$B,$A22,'DB Costi-Ore YtD'!$E:$E,$C22)-SUM($D22:N22),0)</f>
        <v>0</v>
      </c>
    </row>
    <row r="23" spans="1:15" hidden="1" x14ac:dyDescent="0.3">
      <c r="A23" t="s">
        <v>71</v>
      </c>
      <c r="B23" t="s">
        <v>72</v>
      </c>
      <c r="C23" t="s">
        <v>2</v>
      </c>
      <c r="D23">
        <f>IF((D$1*1)&lt;=MAX('DB Costi-Ore YtD'!$A:$A),SUMIFS('DB Costi-Ore YtD'!$G:$G,'DB Costi-Ore YtD'!$A:$A,D$1,'DB Costi-Ore YtD'!$B:$B,$A23,'DB Costi-Ore YtD'!$E:$E,$C23),0)</f>
        <v>11.700000000000017</v>
      </c>
      <c r="E23">
        <f>IF((E$1*1)&lt;=MAX('DB Costi-Ore YtD'!$A:$A),SUMIFS('DB Costi-Ore YtD'!$G:$G,'DB Costi-Ore YtD'!$A:$A,E$1,'DB Costi-Ore YtD'!$B:$B,$A23,'DB Costi-Ore YtD'!$E:$E,$C23)-SUM($D23:D23),0)</f>
        <v>13.849999999999994</v>
      </c>
      <c r="F23">
        <f>IF((F$1*1)&lt;=MAX('DB Costi-Ore YtD'!$A:$A),SUMIFS('DB Costi-Ore YtD'!$G:$G,'DB Costi-Ore YtD'!$A:$A,F$1,'DB Costi-Ore YtD'!$B:$B,$A23,'DB Costi-Ore YtD'!$E:$E,$C23)-SUM($D23:E23),0)</f>
        <v>11.289999999999992</v>
      </c>
      <c r="G23">
        <f>IF((G$1*1)&lt;=MAX('DB Costi-Ore YtD'!$A:$A),SUMIFS('DB Costi-Ore YtD'!$G:$G,'DB Costi-Ore YtD'!$A:$A,G$1,'DB Costi-Ore YtD'!$B:$B,$A23,'DB Costi-Ore YtD'!$E:$E,$C23)-SUM($D23:F23),0)</f>
        <v>11.860000000000014</v>
      </c>
      <c r="H23">
        <f>IF((H$1*1)&lt;=MAX('DB Costi-Ore YtD'!$A:$A),SUMIFS('DB Costi-Ore YtD'!$G:$G,'DB Costi-Ore YtD'!$A:$A,H$1,'DB Costi-Ore YtD'!$B:$B,$A23,'DB Costi-Ore YtD'!$E:$E,$C23)-SUM($D23:G23),0)</f>
        <v>2219.98</v>
      </c>
      <c r="I23">
        <f>IF((I$1*1)&lt;=MAX('DB Costi-Ore YtD'!$A:$A),SUMIFS('DB Costi-Ore YtD'!$G:$G,'DB Costi-Ore YtD'!$A:$A,I$1,'DB Costi-Ore YtD'!$B:$B,$A23,'DB Costi-Ore YtD'!$E:$E,$C23)-SUM($D23:H23),0)</f>
        <v>2365.9200000000005</v>
      </c>
      <c r="J23">
        <f>IF((J$1*1)&lt;=MAX('DB Costi-Ore YtD'!$A:$A),SUMIFS('DB Costi-Ore YtD'!$G:$G,'DB Costi-Ore YtD'!$A:$A,J$1,'DB Costi-Ore YtD'!$B:$B,$A23,'DB Costi-Ore YtD'!$E:$E,$C23)-SUM($D23:I23),0)</f>
        <v>0</v>
      </c>
      <c r="K23">
        <f>IF((K$1*1)&lt;=MAX('DB Costi-Ore YtD'!$A:$A),SUMIFS('DB Costi-Ore YtD'!$G:$G,'DB Costi-Ore YtD'!$A:$A,K$1,'DB Costi-Ore YtD'!$B:$B,$A23,'DB Costi-Ore YtD'!$E:$E,$C23)-SUM($D23:J23),0)</f>
        <v>0</v>
      </c>
      <c r="L23">
        <f>IF((L$1*1)&lt;=MAX('DB Costi-Ore YtD'!$A:$A),SUMIFS('DB Costi-Ore YtD'!$G:$G,'DB Costi-Ore YtD'!$A:$A,L$1,'DB Costi-Ore YtD'!$B:$B,$A23,'DB Costi-Ore YtD'!$E:$E,$C23)-SUM($D23:K23),0)</f>
        <v>0</v>
      </c>
      <c r="M23">
        <f>IF((M$1*1)&lt;=MAX('DB Costi-Ore YtD'!$A:$A),SUMIFS('DB Costi-Ore YtD'!$G:$G,'DB Costi-Ore YtD'!$A:$A,M$1,'DB Costi-Ore YtD'!$B:$B,$A23,'DB Costi-Ore YtD'!$E:$E,$C23)-SUM($D23:L23),0)</f>
        <v>0</v>
      </c>
      <c r="N23">
        <f>IF((N$1*1)&lt;=MAX('DB Costi-Ore YtD'!$A:$A),SUMIFS('DB Costi-Ore YtD'!$G:$G,'DB Costi-Ore YtD'!$A:$A,N$1,'DB Costi-Ore YtD'!$B:$B,$A23,'DB Costi-Ore YtD'!$E:$E,$C23)-SUM($D23:M23),0)</f>
        <v>0</v>
      </c>
      <c r="O23">
        <f>IF((O$1*1)&lt;=MAX('DB Costi-Ore YtD'!$A:$A),SUMIFS('DB Costi-Ore YtD'!$G:$G,'DB Costi-Ore YtD'!$A:$A,O$1,'DB Costi-Ore YtD'!$B:$B,$A23,'DB Costi-Ore YtD'!$E:$E,$C23)-SUM($D23:N23),0)</f>
        <v>0</v>
      </c>
    </row>
    <row r="24" spans="1:15" hidden="1" x14ac:dyDescent="0.3">
      <c r="A24" t="s">
        <v>73</v>
      </c>
      <c r="B24" t="s">
        <v>74</v>
      </c>
      <c r="C24" t="s">
        <v>2</v>
      </c>
      <c r="D24">
        <f>IF((D$1*1)&lt;=MAX('DB Costi-Ore YtD'!$A:$A),SUMIFS('DB Costi-Ore YtD'!$G:$G,'DB Costi-Ore YtD'!$A:$A,D$1,'DB Costi-Ore YtD'!$B:$B,$A24,'DB Costi-Ore YtD'!$E:$E,$C24),0)</f>
        <v>2612.5</v>
      </c>
      <c r="E24">
        <f>IF((E$1*1)&lt;=MAX('DB Costi-Ore YtD'!$A:$A),SUMIFS('DB Costi-Ore YtD'!$G:$G,'DB Costi-Ore YtD'!$A:$A,E$1,'DB Costi-Ore YtD'!$B:$B,$A24,'DB Costi-Ore YtD'!$E:$E,$C24)-SUM($D24:D24),0)</f>
        <v>2096.0099999999993</v>
      </c>
      <c r="F24">
        <f>IF((F$1*1)&lt;=MAX('DB Costi-Ore YtD'!$A:$A),SUMIFS('DB Costi-Ore YtD'!$G:$G,'DB Costi-Ore YtD'!$A:$A,F$1,'DB Costi-Ore YtD'!$B:$B,$A24,'DB Costi-Ore YtD'!$E:$E,$C24)-SUM($D24:E24),0)</f>
        <v>2374.2200000000003</v>
      </c>
      <c r="G24">
        <f>IF((G$1*1)&lt;=MAX('DB Costi-Ore YtD'!$A:$A),SUMIFS('DB Costi-Ore YtD'!$G:$G,'DB Costi-Ore YtD'!$A:$A,G$1,'DB Costi-Ore YtD'!$B:$B,$A24,'DB Costi-Ore YtD'!$E:$E,$C24)-SUM($D24:F24),0)</f>
        <v>2543.9899999999998</v>
      </c>
      <c r="H24">
        <f>IF((H$1*1)&lt;=MAX('DB Costi-Ore YtD'!$A:$A),SUMIFS('DB Costi-Ore YtD'!$G:$G,'DB Costi-Ore YtD'!$A:$A,H$1,'DB Costi-Ore YtD'!$B:$B,$A24,'DB Costi-Ore YtD'!$E:$E,$C24)-SUM($D24:G24),0)</f>
        <v>2559.1800000000021</v>
      </c>
      <c r="I24">
        <f>IF((I$1*1)&lt;=MAX('DB Costi-Ore YtD'!$A:$A),SUMIFS('DB Costi-Ore YtD'!$G:$G,'DB Costi-Ore YtD'!$A:$A,I$1,'DB Costi-Ore YtD'!$B:$B,$A24,'DB Costi-Ore YtD'!$E:$E,$C24)-SUM($D24:H24),0)</f>
        <v>2354.9399999999987</v>
      </c>
      <c r="J24">
        <f>IF((J$1*1)&lt;=MAX('DB Costi-Ore YtD'!$A:$A),SUMIFS('DB Costi-Ore YtD'!$G:$G,'DB Costi-Ore YtD'!$A:$A,J$1,'DB Costi-Ore YtD'!$B:$B,$A24,'DB Costi-Ore YtD'!$E:$E,$C24)-SUM($D24:I24),0)</f>
        <v>0</v>
      </c>
      <c r="K24">
        <f>IF((K$1*1)&lt;=MAX('DB Costi-Ore YtD'!$A:$A),SUMIFS('DB Costi-Ore YtD'!$G:$G,'DB Costi-Ore YtD'!$A:$A,K$1,'DB Costi-Ore YtD'!$B:$B,$A24,'DB Costi-Ore YtD'!$E:$E,$C24)-SUM($D24:J24),0)</f>
        <v>0</v>
      </c>
      <c r="L24">
        <f>IF((L$1*1)&lt;=MAX('DB Costi-Ore YtD'!$A:$A),SUMIFS('DB Costi-Ore YtD'!$G:$G,'DB Costi-Ore YtD'!$A:$A,L$1,'DB Costi-Ore YtD'!$B:$B,$A24,'DB Costi-Ore YtD'!$E:$E,$C24)-SUM($D24:K24),0)</f>
        <v>0</v>
      </c>
      <c r="M24">
        <f>IF((M$1*1)&lt;=MAX('DB Costi-Ore YtD'!$A:$A),SUMIFS('DB Costi-Ore YtD'!$G:$G,'DB Costi-Ore YtD'!$A:$A,M$1,'DB Costi-Ore YtD'!$B:$B,$A24,'DB Costi-Ore YtD'!$E:$E,$C24)-SUM($D24:L24),0)</f>
        <v>0</v>
      </c>
      <c r="N24">
        <f>IF((N$1*1)&lt;=MAX('DB Costi-Ore YtD'!$A:$A),SUMIFS('DB Costi-Ore YtD'!$G:$G,'DB Costi-Ore YtD'!$A:$A,N$1,'DB Costi-Ore YtD'!$B:$B,$A24,'DB Costi-Ore YtD'!$E:$E,$C24)-SUM($D24:M24),0)</f>
        <v>0</v>
      </c>
      <c r="O24">
        <f>IF((O$1*1)&lt;=MAX('DB Costi-Ore YtD'!$A:$A),SUMIFS('DB Costi-Ore YtD'!$G:$G,'DB Costi-Ore YtD'!$A:$A,O$1,'DB Costi-Ore YtD'!$B:$B,$A24,'DB Costi-Ore YtD'!$E:$E,$C24)-SUM($D24:N24),0)</f>
        <v>0</v>
      </c>
    </row>
    <row r="25" spans="1:15" hidden="1" x14ac:dyDescent="0.3">
      <c r="A25" t="s">
        <v>75</v>
      </c>
      <c r="B25" t="s">
        <v>76</v>
      </c>
      <c r="C25" t="s">
        <v>2</v>
      </c>
      <c r="D25">
        <f>IF((D$1*1)&lt;=MAX('DB Costi-Ore YtD'!$A:$A),SUMIFS('DB Costi-Ore YtD'!$G:$G,'DB Costi-Ore YtD'!$A:$A,D$1,'DB Costi-Ore YtD'!$B:$B,$A25,'DB Costi-Ore YtD'!$E:$E,$C25),0)</f>
        <v>949.82</v>
      </c>
      <c r="E25">
        <f>IF((E$1*1)&lt;=MAX('DB Costi-Ore YtD'!$A:$A),SUMIFS('DB Costi-Ore YtD'!$G:$G,'DB Costi-Ore YtD'!$A:$A,E$1,'DB Costi-Ore YtD'!$B:$B,$A25,'DB Costi-Ore YtD'!$E:$E,$C25)-SUM($D25:D25),0)</f>
        <v>1069.1799999999998</v>
      </c>
      <c r="F25">
        <f>IF((F$1*1)&lt;=MAX('DB Costi-Ore YtD'!$A:$A),SUMIFS('DB Costi-Ore YtD'!$G:$G,'DB Costi-Ore YtD'!$A:$A,F$1,'DB Costi-Ore YtD'!$B:$B,$A25,'DB Costi-Ore YtD'!$E:$E,$C25)-SUM($D25:E25),0)</f>
        <v>1070.4299999999998</v>
      </c>
      <c r="G25">
        <f>IF((G$1*1)&lt;=MAX('DB Costi-Ore YtD'!$A:$A),SUMIFS('DB Costi-Ore YtD'!$G:$G,'DB Costi-Ore YtD'!$A:$A,G$1,'DB Costi-Ore YtD'!$B:$B,$A25,'DB Costi-Ore YtD'!$E:$E,$C25)-SUM($D25:F25),0)</f>
        <v>1020.56</v>
      </c>
      <c r="H25">
        <f>IF((H$1*1)&lt;=MAX('DB Costi-Ore YtD'!$A:$A),SUMIFS('DB Costi-Ore YtD'!$G:$G,'DB Costi-Ore YtD'!$A:$A,H$1,'DB Costi-Ore YtD'!$B:$B,$A25,'DB Costi-Ore YtD'!$E:$E,$C25)-SUM($D25:G25),0)</f>
        <v>1035.0700000000015</v>
      </c>
      <c r="I25">
        <f>IF((I$1*1)&lt;=MAX('DB Costi-Ore YtD'!$A:$A),SUMIFS('DB Costi-Ore YtD'!$G:$G,'DB Costi-Ore YtD'!$A:$A,I$1,'DB Costi-Ore YtD'!$B:$B,$A25,'DB Costi-Ore YtD'!$E:$E,$C25)-SUM($D25:H25),0)</f>
        <v>1069.3000000000002</v>
      </c>
      <c r="J25">
        <f>IF((J$1*1)&lt;=MAX('DB Costi-Ore YtD'!$A:$A),SUMIFS('DB Costi-Ore YtD'!$G:$G,'DB Costi-Ore YtD'!$A:$A,J$1,'DB Costi-Ore YtD'!$B:$B,$A25,'DB Costi-Ore YtD'!$E:$E,$C25)-SUM($D25:I25),0)</f>
        <v>0</v>
      </c>
      <c r="K25">
        <f>IF((K$1*1)&lt;=MAX('DB Costi-Ore YtD'!$A:$A),SUMIFS('DB Costi-Ore YtD'!$G:$G,'DB Costi-Ore YtD'!$A:$A,K$1,'DB Costi-Ore YtD'!$B:$B,$A25,'DB Costi-Ore YtD'!$E:$E,$C25)-SUM($D25:J25),0)</f>
        <v>0</v>
      </c>
      <c r="L25">
        <f>IF((L$1*1)&lt;=MAX('DB Costi-Ore YtD'!$A:$A),SUMIFS('DB Costi-Ore YtD'!$G:$G,'DB Costi-Ore YtD'!$A:$A,L$1,'DB Costi-Ore YtD'!$B:$B,$A25,'DB Costi-Ore YtD'!$E:$E,$C25)-SUM($D25:K25),0)</f>
        <v>0</v>
      </c>
      <c r="M25">
        <f>IF((M$1*1)&lt;=MAX('DB Costi-Ore YtD'!$A:$A),SUMIFS('DB Costi-Ore YtD'!$G:$G,'DB Costi-Ore YtD'!$A:$A,M$1,'DB Costi-Ore YtD'!$B:$B,$A25,'DB Costi-Ore YtD'!$E:$E,$C25)-SUM($D25:L25),0)</f>
        <v>0</v>
      </c>
      <c r="N25">
        <f>IF((N$1*1)&lt;=MAX('DB Costi-Ore YtD'!$A:$A),SUMIFS('DB Costi-Ore YtD'!$G:$G,'DB Costi-Ore YtD'!$A:$A,N$1,'DB Costi-Ore YtD'!$B:$B,$A25,'DB Costi-Ore YtD'!$E:$E,$C25)-SUM($D25:M25),0)</f>
        <v>0</v>
      </c>
      <c r="O25">
        <f>IF((O$1*1)&lt;=MAX('DB Costi-Ore YtD'!$A:$A),SUMIFS('DB Costi-Ore YtD'!$G:$G,'DB Costi-Ore YtD'!$A:$A,O$1,'DB Costi-Ore YtD'!$B:$B,$A25,'DB Costi-Ore YtD'!$E:$E,$C25)-SUM($D25:N25),0)</f>
        <v>0</v>
      </c>
    </row>
    <row r="26" spans="1:15" hidden="1" x14ac:dyDescent="0.3">
      <c r="A26" t="s">
        <v>77</v>
      </c>
      <c r="B26" t="s">
        <v>78</v>
      </c>
      <c r="C26" t="s">
        <v>15</v>
      </c>
      <c r="D26">
        <f>IF((D$1*1)&lt;=MAX('DB Costi-Ore YtD'!$A:$A),SUMIFS('DB Costi-Ore YtD'!$G:$G,'DB Costi-Ore YtD'!$A:$A,D$1,'DB Costi-Ore YtD'!$B:$B,$A26,'DB Costi-Ore YtD'!$E:$E,$C26),0)</f>
        <v>1870.5600000000002</v>
      </c>
      <c r="E26">
        <f>IF((E$1*1)&lt;=MAX('DB Costi-Ore YtD'!$A:$A),SUMIFS('DB Costi-Ore YtD'!$G:$G,'DB Costi-Ore YtD'!$A:$A,E$1,'DB Costi-Ore YtD'!$B:$B,$A26,'DB Costi-Ore YtD'!$E:$E,$C26)-SUM($D26:D26),0)</f>
        <v>1460.8900000000006</v>
      </c>
      <c r="F26">
        <f>IF((F$1*1)&lt;=MAX('DB Costi-Ore YtD'!$A:$A),SUMIFS('DB Costi-Ore YtD'!$G:$G,'DB Costi-Ore YtD'!$A:$A,F$1,'DB Costi-Ore YtD'!$B:$B,$A26,'DB Costi-Ore YtD'!$E:$E,$C26)-SUM($D26:E26),0)</f>
        <v>1766.4599999999991</v>
      </c>
      <c r="G26">
        <f>IF((G$1*1)&lt;=MAX('DB Costi-Ore YtD'!$A:$A),SUMIFS('DB Costi-Ore YtD'!$G:$G,'DB Costi-Ore YtD'!$A:$A,G$1,'DB Costi-Ore YtD'!$B:$B,$A26,'DB Costi-Ore YtD'!$E:$E,$C26)-SUM($D26:F26),0)</f>
        <v>1959.92</v>
      </c>
      <c r="H26">
        <f>IF((H$1*1)&lt;=MAX('DB Costi-Ore YtD'!$A:$A),SUMIFS('DB Costi-Ore YtD'!$G:$G,'DB Costi-Ore YtD'!$A:$A,H$1,'DB Costi-Ore YtD'!$B:$B,$A26,'DB Costi-Ore YtD'!$E:$E,$C26)-SUM($D26:G26),0)</f>
        <v>1747.67</v>
      </c>
      <c r="I26">
        <f>IF((I$1*1)&lt;=MAX('DB Costi-Ore YtD'!$A:$A),SUMIFS('DB Costi-Ore YtD'!$G:$G,'DB Costi-Ore YtD'!$A:$A,I$1,'DB Costi-Ore YtD'!$B:$B,$A26,'DB Costi-Ore YtD'!$E:$E,$C26)-SUM($D26:H26),0)</f>
        <v>1783.5400000000009</v>
      </c>
      <c r="J26">
        <f>IF((J$1*1)&lt;=MAX('DB Costi-Ore YtD'!$A:$A),SUMIFS('DB Costi-Ore YtD'!$G:$G,'DB Costi-Ore YtD'!$A:$A,J$1,'DB Costi-Ore YtD'!$B:$B,$A26,'DB Costi-Ore YtD'!$E:$E,$C26)-SUM($D26:I26),0)</f>
        <v>0</v>
      </c>
      <c r="K26">
        <f>IF((K$1*1)&lt;=MAX('DB Costi-Ore YtD'!$A:$A),SUMIFS('DB Costi-Ore YtD'!$G:$G,'DB Costi-Ore YtD'!$A:$A,K$1,'DB Costi-Ore YtD'!$B:$B,$A26,'DB Costi-Ore YtD'!$E:$E,$C26)-SUM($D26:J26),0)</f>
        <v>0</v>
      </c>
      <c r="L26">
        <f>IF((L$1*1)&lt;=MAX('DB Costi-Ore YtD'!$A:$A),SUMIFS('DB Costi-Ore YtD'!$G:$G,'DB Costi-Ore YtD'!$A:$A,L$1,'DB Costi-Ore YtD'!$B:$B,$A26,'DB Costi-Ore YtD'!$E:$E,$C26)-SUM($D26:K26),0)</f>
        <v>0</v>
      </c>
      <c r="M26">
        <f>IF((M$1*1)&lt;=MAX('DB Costi-Ore YtD'!$A:$A),SUMIFS('DB Costi-Ore YtD'!$G:$G,'DB Costi-Ore YtD'!$A:$A,M$1,'DB Costi-Ore YtD'!$B:$B,$A26,'DB Costi-Ore YtD'!$E:$E,$C26)-SUM($D26:L26),0)</f>
        <v>0</v>
      </c>
      <c r="N26">
        <f>IF((N$1*1)&lt;=MAX('DB Costi-Ore YtD'!$A:$A),SUMIFS('DB Costi-Ore YtD'!$G:$G,'DB Costi-Ore YtD'!$A:$A,N$1,'DB Costi-Ore YtD'!$B:$B,$A26,'DB Costi-Ore YtD'!$E:$E,$C26)-SUM($D26:M26),0)</f>
        <v>0</v>
      </c>
      <c r="O26">
        <f>IF((O$1*1)&lt;=MAX('DB Costi-Ore YtD'!$A:$A),SUMIFS('DB Costi-Ore YtD'!$G:$G,'DB Costi-Ore YtD'!$A:$A,O$1,'DB Costi-Ore YtD'!$B:$B,$A26,'DB Costi-Ore YtD'!$E:$E,$C26)-SUM($D26:N26),0)</f>
        <v>0</v>
      </c>
    </row>
    <row r="27" spans="1:15" hidden="1" x14ac:dyDescent="0.3">
      <c r="A27" t="s">
        <v>79</v>
      </c>
      <c r="B27" t="s">
        <v>80</v>
      </c>
      <c r="C27" t="s">
        <v>2</v>
      </c>
      <c r="D27">
        <f>IF((D$1*1)&lt;=MAX('DB Costi-Ore YtD'!$A:$A),SUMIFS('DB Costi-Ore YtD'!$G:$G,'DB Costi-Ore YtD'!$A:$A,D$1,'DB Costi-Ore YtD'!$B:$B,$A27,'DB Costi-Ore YtD'!$E:$E,$C27),0)</f>
        <v>2696.85</v>
      </c>
      <c r="E27">
        <f>IF((E$1*1)&lt;=MAX('DB Costi-Ore YtD'!$A:$A),SUMIFS('DB Costi-Ore YtD'!$G:$G,'DB Costi-Ore YtD'!$A:$A,E$1,'DB Costi-Ore YtD'!$B:$B,$A27,'DB Costi-Ore YtD'!$E:$E,$C27)-SUM($D27:D27),0)</f>
        <v>2552.6099999999992</v>
      </c>
      <c r="F27">
        <f>IF((F$1*1)&lt;=MAX('DB Costi-Ore YtD'!$A:$A),SUMIFS('DB Costi-Ore YtD'!$G:$G,'DB Costi-Ore YtD'!$A:$A,F$1,'DB Costi-Ore YtD'!$B:$B,$A27,'DB Costi-Ore YtD'!$E:$E,$C27)-SUM($D27:E27),0)</f>
        <v>1816.6000000000022</v>
      </c>
      <c r="G27">
        <f>IF((G$1*1)&lt;=MAX('DB Costi-Ore YtD'!$A:$A),SUMIFS('DB Costi-Ore YtD'!$G:$G,'DB Costi-Ore YtD'!$A:$A,G$1,'DB Costi-Ore YtD'!$B:$B,$A27,'DB Costi-Ore YtD'!$E:$E,$C27)-SUM($D27:F27),0)</f>
        <v>1170.7599999999984</v>
      </c>
      <c r="H27">
        <f>IF((H$1*1)&lt;=MAX('DB Costi-Ore YtD'!$A:$A),SUMIFS('DB Costi-Ore YtD'!$G:$G,'DB Costi-Ore YtD'!$A:$A,H$1,'DB Costi-Ore YtD'!$B:$B,$A27,'DB Costi-Ore YtD'!$E:$E,$C27)-SUM($D27:G27),0)</f>
        <v>1837.6600000000017</v>
      </c>
      <c r="I27">
        <f>IF((I$1*1)&lt;=MAX('DB Costi-Ore YtD'!$A:$A),SUMIFS('DB Costi-Ore YtD'!$G:$G,'DB Costi-Ore YtD'!$A:$A,I$1,'DB Costi-Ore YtD'!$B:$B,$A27,'DB Costi-Ore YtD'!$E:$E,$C27)-SUM($D27:H27),0)</f>
        <v>2638.0899999999965</v>
      </c>
      <c r="J27">
        <f>IF((J$1*1)&lt;=MAX('DB Costi-Ore YtD'!$A:$A),SUMIFS('DB Costi-Ore YtD'!$G:$G,'DB Costi-Ore YtD'!$A:$A,J$1,'DB Costi-Ore YtD'!$B:$B,$A27,'DB Costi-Ore YtD'!$E:$E,$C27)-SUM($D27:I27),0)</f>
        <v>0</v>
      </c>
      <c r="K27">
        <f>IF((K$1*1)&lt;=MAX('DB Costi-Ore YtD'!$A:$A),SUMIFS('DB Costi-Ore YtD'!$G:$G,'DB Costi-Ore YtD'!$A:$A,K$1,'DB Costi-Ore YtD'!$B:$B,$A27,'DB Costi-Ore YtD'!$E:$E,$C27)-SUM($D27:J27),0)</f>
        <v>0</v>
      </c>
      <c r="L27">
        <f>IF((L$1*1)&lt;=MAX('DB Costi-Ore YtD'!$A:$A),SUMIFS('DB Costi-Ore YtD'!$G:$G,'DB Costi-Ore YtD'!$A:$A,L$1,'DB Costi-Ore YtD'!$B:$B,$A27,'DB Costi-Ore YtD'!$E:$E,$C27)-SUM($D27:K27),0)</f>
        <v>0</v>
      </c>
      <c r="M27">
        <f>IF((M$1*1)&lt;=MAX('DB Costi-Ore YtD'!$A:$A),SUMIFS('DB Costi-Ore YtD'!$G:$G,'DB Costi-Ore YtD'!$A:$A,M$1,'DB Costi-Ore YtD'!$B:$B,$A27,'DB Costi-Ore YtD'!$E:$E,$C27)-SUM($D27:L27),0)</f>
        <v>0</v>
      </c>
      <c r="N27">
        <f>IF((N$1*1)&lt;=MAX('DB Costi-Ore YtD'!$A:$A),SUMIFS('DB Costi-Ore YtD'!$G:$G,'DB Costi-Ore YtD'!$A:$A,N$1,'DB Costi-Ore YtD'!$B:$B,$A27,'DB Costi-Ore YtD'!$E:$E,$C27)-SUM($D27:M27),0)</f>
        <v>0</v>
      </c>
      <c r="O27">
        <f>IF((O$1*1)&lt;=MAX('DB Costi-Ore YtD'!$A:$A),SUMIFS('DB Costi-Ore YtD'!$G:$G,'DB Costi-Ore YtD'!$A:$A,O$1,'DB Costi-Ore YtD'!$B:$B,$A27,'DB Costi-Ore YtD'!$E:$E,$C27)-SUM($D27:N27),0)</f>
        <v>0</v>
      </c>
    </row>
    <row r="28" spans="1:15" hidden="1" x14ac:dyDescent="0.3">
      <c r="A28" t="s">
        <v>81</v>
      </c>
      <c r="B28" t="s">
        <v>82</v>
      </c>
      <c r="C28" t="s">
        <v>2</v>
      </c>
      <c r="D28">
        <f>IF((D$1*1)&lt;=MAX('DB Costi-Ore YtD'!$A:$A),SUMIFS('DB Costi-Ore YtD'!$G:$G,'DB Costi-Ore YtD'!$A:$A,D$1,'DB Costi-Ore YtD'!$B:$B,$A28,'DB Costi-Ore YtD'!$E:$E,$C28),0)</f>
        <v>3854.0199999999995</v>
      </c>
      <c r="E28">
        <f>IF((E$1*1)&lt;=MAX('DB Costi-Ore YtD'!$A:$A),SUMIFS('DB Costi-Ore YtD'!$G:$G,'DB Costi-Ore YtD'!$A:$A,E$1,'DB Costi-Ore YtD'!$B:$B,$A28,'DB Costi-Ore YtD'!$E:$E,$C28)-SUM($D28:D28),0)</f>
        <v>2850.3900000000012</v>
      </c>
      <c r="F28">
        <f>IF((F$1*1)&lt;=MAX('DB Costi-Ore YtD'!$A:$A),SUMIFS('DB Costi-Ore YtD'!$G:$G,'DB Costi-Ore YtD'!$A:$A,F$1,'DB Costi-Ore YtD'!$B:$B,$A28,'DB Costi-Ore YtD'!$E:$E,$C28)-SUM($D28:E28),0)</f>
        <v>2383.3199999999988</v>
      </c>
      <c r="G28">
        <f>IF((G$1*1)&lt;=MAX('DB Costi-Ore YtD'!$A:$A),SUMIFS('DB Costi-Ore YtD'!$G:$G,'DB Costi-Ore YtD'!$A:$A,G$1,'DB Costi-Ore YtD'!$B:$B,$A28,'DB Costi-Ore YtD'!$E:$E,$C28)-SUM($D28:F28),0)</f>
        <v>3609.0300000000025</v>
      </c>
      <c r="H28">
        <f>IF((H$1*1)&lt;=MAX('DB Costi-Ore YtD'!$A:$A),SUMIFS('DB Costi-Ore YtD'!$G:$G,'DB Costi-Ore YtD'!$A:$A,H$1,'DB Costi-Ore YtD'!$B:$B,$A28,'DB Costi-Ore YtD'!$E:$E,$C28)-SUM($D28:G28),0)</f>
        <v>3491.7799999999952</v>
      </c>
      <c r="I28">
        <f>IF((I$1*1)&lt;=MAX('DB Costi-Ore YtD'!$A:$A),SUMIFS('DB Costi-Ore YtD'!$G:$G,'DB Costi-Ore YtD'!$A:$A,I$1,'DB Costi-Ore YtD'!$B:$B,$A28,'DB Costi-Ore YtD'!$E:$E,$C28)-SUM($D28:H28),0)</f>
        <v>3645.8899999999994</v>
      </c>
      <c r="J28">
        <f>IF((J$1*1)&lt;=MAX('DB Costi-Ore YtD'!$A:$A),SUMIFS('DB Costi-Ore YtD'!$G:$G,'DB Costi-Ore YtD'!$A:$A,J$1,'DB Costi-Ore YtD'!$B:$B,$A28,'DB Costi-Ore YtD'!$E:$E,$C28)-SUM($D28:I28),0)</f>
        <v>0</v>
      </c>
      <c r="K28">
        <f>IF((K$1*1)&lt;=MAX('DB Costi-Ore YtD'!$A:$A),SUMIFS('DB Costi-Ore YtD'!$G:$G,'DB Costi-Ore YtD'!$A:$A,K$1,'DB Costi-Ore YtD'!$B:$B,$A28,'DB Costi-Ore YtD'!$E:$E,$C28)-SUM($D28:J28),0)</f>
        <v>0</v>
      </c>
      <c r="L28">
        <f>IF((L$1*1)&lt;=MAX('DB Costi-Ore YtD'!$A:$A),SUMIFS('DB Costi-Ore YtD'!$G:$G,'DB Costi-Ore YtD'!$A:$A,L$1,'DB Costi-Ore YtD'!$B:$B,$A28,'DB Costi-Ore YtD'!$E:$E,$C28)-SUM($D28:K28),0)</f>
        <v>0</v>
      </c>
      <c r="M28">
        <f>IF((M$1*1)&lt;=MAX('DB Costi-Ore YtD'!$A:$A),SUMIFS('DB Costi-Ore YtD'!$G:$G,'DB Costi-Ore YtD'!$A:$A,M$1,'DB Costi-Ore YtD'!$B:$B,$A28,'DB Costi-Ore YtD'!$E:$E,$C28)-SUM($D28:L28),0)</f>
        <v>0</v>
      </c>
      <c r="N28">
        <f>IF((N$1*1)&lt;=MAX('DB Costi-Ore YtD'!$A:$A),SUMIFS('DB Costi-Ore YtD'!$G:$G,'DB Costi-Ore YtD'!$A:$A,N$1,'DB Costi-Ore YtD'!$B:$B,$A28,'DB Costi-Ore YtD'!$E:$E,$C28)-SUM($D28:M28),0)</f>
        <v>0</v>
      </c>
      <c r="O28">
        <f>IF((O$1*1)&lt;=MAX('DB Costi-Ore YtD'!$A:$A),SUMIFS('DB Costi-Ore YtD'!$G:$G,'DB Costi-Ore YtD'!$A:$A,O$1,'DB Costi-Ore YtD'!$B:$B,$A28,'DB Costi-Ore YtD'!$E:$E,$C28)-SUM($D28:N28),0)</f>
        <v>0</v>
      </c>
    </row>
    <row r="29" spans="1:15" hidden="1" x14ac:dyDescent="0.3">
      <c r="A29" t="s">
        <v>83</v>
      </c>
      <c r="B29" t="s">
        <v>84</v>
      </c>
      <c r="C29" t="s">
        <v>12</v>
      </c>
      <c r="D29">
        <f>IF((D$1*1)&lt;=MAX('DB Costi-Ore YtD'!$A:$A),SUMIFS('DB Costi-Ore YtD'!$G:$G,'DB Costi-Ore YtD'!$A:$A,D$1,'DB Costi-Ore YtD'!$B:$B,$A29,'DB Costi-Ore YtD'!$E:$E,$C29),0)</f>
        <v>5125.8599999999997</v>
      </c>
      <c r="E29">
        <f>IF((E$1*1)&lt;=MAX('DB Costi-Ore YtD'!$A:$A),SUMIFS('DB Costi-Ore YtD'!$G:$G,'DB Costi-Ore YtD'!$A:$A,E$1,'DB Costi-Ore YtD'!$B:$B,$A29,'DB Costi-Ore YtD'!$E:$E,$C29)-SUM($D29:D29),0)</f>
        <v>5560.9699999999984</v>
      </c>
      <c r="F29">
        <f>IF((F$1*1)&lt;=MAX('DB Costi-Ore YtD'!$A:$A),SUMIFS('DB Costi-Ore YtD'!$G:$G,'DB Costi-Ore YtD'!$A:$A,F$1,'DB Costi-Ore YtD'!$B:$B,$A29,'DB Costi-Ore YtD'!$E:$E,$C29)-SUM($D29:E29),0)</f>
        <v>5494.8800000000047</v>
      </c>
      <c r="G29">
        <f>IF((G$1*1)&lt;=MAX('DB Costi-Ore YtD'!$A:$A),SUMIFS('DB Costi-Ore YtD'!$G:$G,'DB Costi-Ore YtD'!$A:$A,G$1,'DB Costi-Ore YtD'!$B:$B,$A29,'DB Costi-Ore YtD'!$E:$E,$C29)-SUM($D29:F29),0)</f>
        <v>5509.6499999999978</v>
      </c>
      <c r="H29">
        <f>IF((H$1*1)&lt;=MAX('DB Costi-Ore YtD'!$A:$A),SUMIFS('DB Costi-Ore YtD'!$G:$G,'DB Costi-Ore YtD'!$A:$A,H$1,'DB Costi-Ore YtD'!$B:$B,$A29,'DB Costi-Ore YtD'!$E:$E,$C29)-SUM($D29:G29),0)</f>
        <v>5486.260000000002</v>
      </c>
      <c r="I29">
        <f>IF((I$1*1)&lt;=MAX('DB Costi-Ore YtD'!$A:$A),SUMIFS('DB Costi-Ore YtD'!$G:$G,'DB Costi-Ore YtD'!$A:$A,I$1,'DB Costi-Ore YtD'!$B:$B,$A29,'DB Costi-Ore YtD'!$E:$E,$C29)-SUM($D29:H29),0)</f>
        <v>4533.93</v>
      </c>
      <c r="J29">
        <f>IF((J$1*1)&lt;=MAX('DB Costi-Ore YtD'!$A:$A),SUMIFS('DB Costi-Ore YtD'!$G:$G,'DB Costi-Ore YtD'!$A:$A,J$1,'DB Costi-Ore YtD'!$B:$B,$A29,'DB Costi-Ore YtD'!$E:$E,$C29)-SUM($D29:I29),0)</f>
        <v>0</v>
      </c>
      <c r="K29">
        <f>IF((K$1*1)&lt;=MAX('DB Costi-Ore YtD'!$A:$A),SUMIFS('DB Costi-Ore YtD'!$G:$G,'DB Costi-Ore YtD'!$A:$A,K$1,'DB Costi-Ore YtD'!$B:$B,$A29,'DB Costi-Ore YtD'!$E:$E,$C29)-SUM($D29:J29),0)</f>
        <v>0</v>
      </c>
      <c r="L29">
        <f>IF((L$1*1)&lt;=MAX('DB Costi-Ore YtD'!$A:$A),SUMIFS('DB Costi-Ore YtD'!$G:$G,'DB Costi-Ore YtD'!$A:$A,L$1,'DB Costi-Ore YtD'!$B:$B,$A29,'DB Costi-Ore YtD'!$E:$E,$C29)-SUM($D29:K29),0)</f>
        <v>0</v>
      </c>
      <c r="M29">
        <f>IF((M$1*1)&lt;=MAX('DB Costi-Ore YtD'!$A:$A),SUMIFS('DB Costi-Ore YtD'!$G:$G,'DB Costi-Ore YtD'!$A:$A,M$1,'DB Costi-Ore YtD'!$B:$B,$A29,'DB Costi-Ore YtD'!$E:$E,$C29)-SUM($D29:L29),0)</f>
        <v>0</v>
      </c>
      <c r="N29">
        <f>IF((N$1*1)&lt;=MAX('DB Costi-Ore YtD'!$A:$A),SUMIFS('DB Costi-Ore YtD'!$G:$G,'DB Costi-Ore YtD'!$A:$A,N$1,'DB Costi-Ore YtD'!$B:$B,$A29,'DB Costi-Ore YtD'!$E:$E,$C29)-SUM($D29:M29),0)</f>
        <v>0</v>
      </c>
      <c r="O29">
        <f>IF((O$1*1)&lt;=MAX('DB Costi-Ore YtD'!$A:$A),SUMIFS('DB Costi-Ore YtD'!$G:$G,'DB Costi-Ore YtD'!$A:$A,O$1,'DB Costi-Ore YtD'!$B:$B,$A29,'DB Costi-Ore YtD'!$E:$E,$C29)-SUM($D29:N29),0)</f>
        <v>0</v>
      </c>
    </row>
    <row r="30" spans="1:15" hidden="1" x14ac:dyDescent="0.3">
      <c r="A30" t="s">
        <v>85</v>
      </c>
      <c r="B30" t="s">
        <v>86</v>
      </c>
      <c r="C30" t="s">
        <v>2</v>
      </c>
      <c r="D30">
        <f>IF((D$1*1)&lt;=MAX('DB Costi-Ore YtD'!$A:$A),SUMIFS('DB Costi-Ore YtD'!$G:$G,'DB Costi-Ore YtD'!$A:$A,D$1,'DB Costi-Ore YtD'!$B:$B,$A30,'DB Costi-Ore YtD'!$E:$E,$C30),0)</f>
        <v>2574.13</v>
      </c>
      <c r="E30">
        <f>IF((E$1*1)&lt;=MAX('DB Costi-Ore YtD'!$A:$A),SUMIFS('DB Costi-Ore YtD'!$G:$G,'DB Costi-Ore YtD'!$A:$A,E$1,'DB Costi-Ore YtD'!$B:$B,$A30,'DB Costi-Ore YtD'!$E:$E,$C30)-SUM($D30:D30),0)</f>
        <v>2308.2199999999993</v>
      </c>
      <c r="F30">
        <f>IF((F$1*1)&lt;=MAX('DB Costi-Ore YtD'!$A:$A),SUMIFS('DB Costi-Ore YtD'!$G:$G,'DB Costi-Ore YtD'!$A:$A,F$1,'DB Costi-Ore YtD'!$B:$B,$A30,'DB Costi-Ore YtD'!$E:$E,$C30)-SUM($D30:E30),0)</f>
        <v>2383.9900000000016</v>
      </c>
      <c r="G30">
        <f>IF((G$1*1)&lt;=MAX('DB Costi-Ore YtD'!$A:$A),SUMIFS('DB Costi-Ore YtD'!$G:$G,'DB Costi-Ore YtD'!$A:$A,G$1,'DB Costi-Ore YtD'!$B:$B,$A30,'DB Costi-Ore YtD'!$E:$E,$C30)-SUM($D30:F30),0)</f>
        <v>2589.9599999999982</v>
      </c>
      <c r="H30">
        <f>IF((H$1*1)&lt;=MAX('DB Costi-Ore YtD'!$A:$A),SUMIFS('DB Costi-Ore YtD'!$G:$G,'DB Costi-Ore YtD'!$A:$A,H$1,'DB Costi-Ore YtD'!$B:$B,$A30,'DB Costi-Ore YtD'!$E:$E,$C30)-SUM($D30:G30),0)</f>
        <v>2540.83</v>
      </c>
      <c r="I30">
        <f>IF((I$1*1)&lt;=MAX('DB Costi-Ore YtD'!$A:$A),SUMIFS('DB Costi-Ore YtD'!$G:$G,'DB Costi-Ore YtD'!$A:$A,I$1,'DB Costi-Ore YtD'!$B:$B,$A30,'DB Costi-Ore YtD'!$E:$E,$C30)-SUM($D30:H30),0)</f>
        <v>2447.2100000000009</v>
      </c>
      <c r="J30">
        <f>IF((J$1*1)&lt;=MAX('DB Costi-Ore YtD'!$A:$A),SUMIFS('DB Costi-Ore YtD'!$G:$G,'DB Costi-Ore YtD'!$A:$A,J$1,'DB Costi-Ore YtD'!$B:$B,$A30,'DB Costi-Ore YtD'!$E:$E,$C30)-SUM($D30:I30),0)</f>
        <v>0</v>
      </c>
      <c r="K30">
        <f>IF((K$1*1)&lt;=MAX('DB Costi-Ore YtD'!$A:$A),SUMIFS('DB Costi-Ore YtD'!$G:$G,'DB Costi-Ore YtD'!$A:$A,K$1,'DB Costi-Ore YtD'!$B:$B,$A30,'DB Costi-Ore YtD'!$E:$E,$C30)-SUM($D30:J30),0)</f>
        <v>0</v>
      </c>
      <c r="L30">
        <f>IF((L$1*1)&lt;=MAX('DB Costi-Ore YtD'!$A:$A),SUMIFS('DB Costi-Ore YtD'!$G:$G,'DB Costi-Ore YtD'!$A:$A,L$1,'DB Costi-Ore YtD'!$B:$B,$A30,'DB Costi-Ore YtD'!$E:$E,$C30)-SUM($D30:K30),0)</f>
        <v>0</v>
      </c>
      <c r="M30">
        <f>IF((M$1*1)&lt;=MAX('DB Costi-Ore YtD'!$A:$A),SUMIFS('DB Costi-Ore YtD'!$G:$G,'DB Costi-Ore YtD'!$A:$A,M$1,'DB Costi-Ore YtD'!$B:$B,$A30,'DB Costi-Ore YtD'!$E:$E,$C30)-SUM($D30:L30),0)</f>
        <v>0</v>
      </c>
      <c r="N30">
        <f>IF((N$1*1)&lt;=MAX('DB Costi-Ore YtD'!$A:$A),SUMIFS('DB Costi-Ore YtD'!$G:$G,'DB Costi-Ore YtD'!$A:$A,N$1,'DB Costi-Ore YtD'!$B:$B,$A30,'DB Costi-Ore YtD'!$E:$E,$C30)-SUM($D30:M30),0)</f>
        <v>0</v>
      </c>
      <c r="O30">
        <f>IF((O$1*1)&lt;=MAX('DB Costi-Ore YtD'!$A:$A),SUMIFS('DB Costi-Ore YtD'!$G:$G,'DB Costi-Ore YtD'!$A:$A,O$1,'DB Costi-Ore YtD'!$B:$B,$A30,'DB Costi-Ore YtD'!$E:$E,$C30)-SUM($D30:N30),0)</f>
        <v>0</v>
      </c>
    </row>
    <row r="31" spans="1:15" hidden="1" x14ac:dyDescent="0.3">
      <c r="A31" t="s">
        <v>87</v>
      </c>
      <c r="B31" t="s">
        <v>88</v>
      </c>
      <c r="C31" t="s">
        <v>12</v>
      </c>
      <c r="D31">
        <f>IF((D$1*1)&lt;=MAX('DB Costi-Ore YtD'!$A:$A),SUMIFS('DB Costi-Ore YtD'!$G:$G,'DB Costi-Ore YtD'!$A:$A,D$1,'DB Costi-Ore YtD'!$B:$B,$A31,'DB Costi-Ore YtD'!$E:$E,$C31),0)</f>
        <v>3313.11</v>
      </c>
      <c r="E31">
        <f>IF((E$1*1)&lt;=MAX('DB Costi-Ore YtD'!$A:$A),SUMIFS('DB Costi-Ore YtD'!$G:$G,'DB Costi-Ore YtD'!$A:$A,E$1,'DB Costi-Ore YtD'!$B:$B,$A31,'DB Costi-Ore YtD'!$E:$E,$C31)-SUM($D31:D31),0)</f>
        <v>3184.1899999999991</v>
      </c>
      <c r="F31">
        <f>IF((F$1*1)&lt;=MAX('DB Costi-Ore YtD'!$A:$A),SUMIFS('DB Costi-Ore YtD'!$G:$G,'DB Costi-Ore YtD'!$A:$A,F$1,'DB Costi-Ore YtD'!$B:$B,$A31,'DB Costi-Ore YtD'!$E:$E,$C31)-SUM($D31:E31),0)</f>
        <v>3346.4600000000009</v>
      </c>
      <c r="G31">
        <f>IF((G$1*1)&lt;=MAX('DB Costi-Ore YtD'!$A:$A),SUMIFS('DB Costi-Ore YtD'!$G:$G,'DB Costi-Ore YtD'!$A:$A,G$1,'DB Costi-Ore YtD'!$B:$B,$A31,'DB Costi-Ore YtD'!$E:$E,$C31)-SUM($D31:F31),0)</f>
        <v>3194.67</v>
      </c>
      <c r="H31">
        <f>IF((H$1*1)&lt;=MAX('DB Costi-Ore YtD'!$A:$A),SUMIFS('DB Costi-Ore YtD'!$G:$G,'DB Costi-Ore YtD'!$A:$A,H$1,'DB Costi-Ore YtD'!$B:$B,$A31,'DB Costi-Ore YtD'!$E:$E,$C31)-SUM($D31:G31),0)</f>
        <v>3106.5699999999979</v>
      </c>
      <c r="I31">
        <f>IF((I$1*1)&lt;=MAX('DB Costi-Ore YtD'!$A:$A),SUMIFS('DB Costi-Ore YtD'!$G:$G,'DB Costi-Ore YtD'!$A:$A,I$1,'DB Costi-Ore YtD'!$B:$B,$A31,'DB Costi-Ore YtD'!$E:$E,$C31)-SUM($D31:H31),0)</f>
        <v>3324.7900000000063</v>
      </c>
      <c r="J31">
        <f>IF((J$1*1)&lt;=MAX('DB Costi-Ore YtD'!$A:$A),SUMIFS('DB Costi-Ore YtD'!$G:$G,'DB Costi-Ore YtD'!$A:$A,J$1,'DB Costi-Ore YtD'!$B:$B,$A31,'DB Costi-Ore YtD'!$E:$E,$C31)-SUM($D31:I31),0)</f>
        <v>0</v>
      </c>
      <c r="K31">
        <f>IF((K$1*1)&lt;=MAX('DB Costi-Ore YtD'!$A:$A),SUMIFS('DB Costi-Ore YtD'!$G:$G,'DB Costi-Ore YtD'!$A:$A,K$1,'DB Costi-Ore YtD'!$B:$B,$A31,'DB Costi-Ore YtD'!$E:$E,$C31)-SUM($D31:J31),0)</f>
        <v>0</v>
      </c>
      <c r="L31">
        <f>IF((L$1*1)&lt;=MAX('DB Costi-Ore YtD'!$A:$A),SUMIFS('DB Costi-Ore YtD'!$G:$G,'DB Costi-Ore YtD'!$A:$A,L$1,'DB Costi-Ore YtD'!$B:$B,$A31,'DB Costi-Ore YtD'!$E:$E,$C31)-SUM($D31:K31),0)</f>
        <v>0</v>
      </c>
      <c r="M31">
        <f>IF((M$1*1)&lt;=MAX('DB Costi-Ore YtD'!$A:$A),SUMIFS('DB Costi-Ore YtD'!$G:$G,'DB Costi-Ore YtD'!$A:$A,M$1,'DB Costi-Ore YtD'!$B:$B,$A31,'DB Costi-Ore YtD'!$E:$E,$C31)-SUM($D31:L31),0)</f>
        <v>0</v>
      </c>
      <c r="N31">
        <f>IF((N$1*1)&lt;=MAX('DB Costi-Ore YtD'!$A:$A),SUMIFS('DB Costi-Ore YtD'!$G:$G,'DB Costi-Ore YtD'!$A:$A,N$1,'DB Costi-Ore YtD'!$B:$B,$A31,'DB Costi-Ore YtD'!$E:$E,$C31)-SUM($D31:M31),0)</f>
        <v>0</v>
      </c>
      <c r="O31">
        <f>IF((O$1*1)&lt;=MAX('DB Costi-Ore YtD'!$A:$A),SUMIFS('DB Costi-Ore YtD'!$G:$G,'DB Costi-Ore YtD'!$A:$A,O$1,'DB Costi-Ore YtD'!$B:$B,$A31,'DB Costi-Ore YtD'!$E:$E,$C31)-SUM($D31:N31),0)</f>
        <v>0</v>
      </c>
    </row>
    <row r="32" spans="1:15" x14ac:dyDescent="0.3">
      <c r="A32" t="s">
        <v>89</v>
      </c>
      <c r="B32" t="s">
        <v>90</v>
      </c>
      <c r="C32" t="s">
        <v>13</v>
      </c>
      <c r="D32">
        <f>IF((D$1*1)&lt;=MAX('DB Costi-Ore YtD'!$A:$A),SUMIFS('DB Costi-Ore YtD'!$G:$G,'DB Costi-Ore YtD'!$A:$A,D$1,'DB Costi-Ore YtD'!$B:$B,$A32,'DB Costi-Ore YtD'!$E:$E,$C32),0)</f>
        <v>9889.4399999999987</v>
      </c>
      <c r="E32">
        <f>IF((E$1*1)&lt;=MAX('DB Costi-Ore YtD'!$A:$A),SUMIFS('DB Costi-Ore YtD'!$G:$G,'DB Costi-Ore YtD'!$A:$A,E$1,'DB Costi-Ore YtD'!$B:$B,$A32,'DB Costi-Ore YtD'!$E:$E,$C32)-SUM($D32:D32),0)</f>
        <v>4529.7200000000012</v>
      </c>
      <c r="F32">
        <f>IF((F$1*1)&lt;=MAX('DB Costi-Ore YtD'!$A:$A),SUMIFS('DB Costi-Ore YtD'!$G:$G,'DB Costi-Ore YtD'!$A:$A,F$1,'DB Costi-Ore YtD'!$B:$B,$A32,'DB Costi-Ore YtD'!$E:$E,$C32)-SUM($D32:E32),0)</f>
        <v>5690.1399999999994</v>
      </c>
      <c r="G32">
        <f>IF((G$1*1)&lt;=MAX('DB Costi-Ore YtD'!$A:$A),SUMIFS('DB Costi-Ore YtD'!$G:$G,'DB Costi-Ore YtD'!$A:$A,G$1,'DB Costi-Ore YtD'!$B:$B,$A32,'DB Costi-Ore YtD'!$E:$E,$C32)-SUM($D32:F32),0)</f>
        <v>5715.8400000000038</v>
      </c>
      <c r="H32">
        <f>IF((H$1*1)&lt;=MAX('DB Costi-Ore YtD'!$A:$A),SUMIFS('DB Costi-Ore YtD'!$G:$G,'DB Costi-Ore YtD'!$A:$A,H$1,'DB Costi-Ore YtD'!$B:$B,$A32,'DB Costi-Ore YtD'!$E:$E,$C32)-SUM($D32:G32),0)</f>
        <v>5485.9599999999955</v>
      </c>
      <c r="I32">
        <f>IF((I$1*1)&lt;=MAX('DB Costi-Ore YtD'!$A:$A),SUMIFS('DB Costi-Ore YtD'!$G:$G,'DB Costi-Ore YtD'!$A:$A,I$1,'DB Costi-Ore YtD'!$B:$B,$A32,'DB Costi-Ore YtD'!$E:$E,$C32)-SUM($D32:H32),0)</f>
        <v>5096.6999999999971</v>
      </c>
      <c r="J32">
        <f>IF((J$1*1)&lt;=MAX('DB Costi-Ore YtD'!$A:$A),SUMIFS('DB Costi-Ore YtD'!$G:$G,'DB Costi-Ore YtD'!$A:$A,J$1,'DB Costi-Ore YtD'!$B:$B,$A32,'DB Costi-Ore YtD'!$E:$E,$C32)-SUM($D32:I32),0)</f>
        <v>0</v>
      </c>
      <c r="K32">
        <f>IF((K$1*1)&lt;=MAX('DB Costi-Ore YtD'!$A:$A),SUMIFS('DB Costi-Ore YtD'!$G:$G,'DB Costi-Ore YtD'!$A:$A,K$1,'DB Costi-Ore YtD'!$B:$B,$A32,'DB Costi-Ore YtD'!$E:$E,$C32)-SUM($D32:J32),0)</f>
        <v>0</v>
      </c>
      <c r="L32">
        <f>IF((L$1*1)&lt;=MAX('DB Costi-Ore YtD'!$A:$A),SUMIFS('DB Costi-Ore YtD'!$G:$G,'DB Costi-Ore YtD'!$A:$A,L$1,'DB Costi-Ore YtD'!$B:$B,$A32,'DB Costi-Ore YtD'!$E:$E,$C32)-SUM($D32:K32),0)</f>
        <v>0</v>
      </c>
      <c r="M32">
        <f>IF((M$1*1)&lt;=MAX('DB Costi-Ore YtD'!$A:$A),SUMIFS('DB Costi-Ore YtD'!$G:$G,'DB Costi-Ore YtD'!$A:$A,M$1,'DB Costi-Ore YtD'!$B:$B,$A32,'DB Costi-Ore YtD'!$E:$E,$C32)-SUM($D32:L32),0)</f>
        <v>0</v>
      </c>
      <c r="N32">
        <f>IF((N$1*1)&lt;=MAX('DB Costi-Ore YtD'!$A:$A),SUMIFS('DB Costi-Ore YtD'!$G:$G,'DB Costi-Ore YtD'!$A:$A,N$1,'DB Costi-Ore YtD'!$B:$B,$A32,'DB Costi-Ore YtD'!$E:$E,$C32)-SUM($D32:M32),0)</f>
        <v>0</v>
      </c>
      <c r="O32">
        <f>IF((O$1*1)&lt;=MAX('DB Costi-Ore YtD'!$A:$A),SUMIFS('DB Costi-Ore YtD'!$G:$G,'DB Costi-Ore YtD'!$A:$A,O$1,'DB Costi-Ore YtD'!$B:$B,$A32,'DB Costi-Ore YtD'!$E:$E,$C32)-SUM($D32:N32),0)</f>
        <v>0</v>
      </c>
    </row>
    <row r="33" spans="1:15" hidden="1" x14ac:dyDescent="0.3">
      <c r="A33" t="s">
        <v>91</v>
      </c>
      <c r="B33" t="s">
        <v>92</v>
      </c>
      <c r="C33" t="s">
        <v>5</v>
      </c>
      <c r="D33">
        <f>IF((D$1*1)&lt;=MAX('DB Costi-Ore YtD'!$A:$A),SUMIFS('DB Costi-Ore YtD'!$G:$G,'DB Costi-Ore YtD'!$A:$A,D$1,'DB Costi-Ore YtD'!$B:$B,$A33,'DB Costi-Ore YtD'!$E:$E,$C33),0)</f>
        <v>1735.06</v>
      </c>
      <c r="E33">
        <f>IF((E$1*1)&lt;=MAX('DB Costi-Ore YtD'!$A:$A),SUMIFS('DB Costi-Ore YtD'!$G:$G,'DB Costi-Ore YtD'!$A:$A,E$1,'DB Costi-Ore YtD'!$B:$B,$A33,'DB Costi-Ore YtD'!$E:$E,$C33)-SUM($D33:D33),0)</f>
        <v>1736.29</v>
      </c>
      <c r="F33">
        <f>IF((F$1*1)&lt;=MAX('DB Costi-Ore YtD'!$A:$A),SUMIFS('DB Costi-Ore YtD'!$G:$G,'DB Costi-Ore YtD'!$A:$A,F$1,'DB Costi-Ore YtD'!$B:$B,$A33,'DB Costi-Ore YtD'!$E:$E,$C33)-SUM($D33:E33),0)</f>
        <v>1663.3599999999992</v>
      </c>
      <c r="G33">
        <f>IF((G$1*1)&lt;=MAX('DB Costi-Ore YtD'!$A:$A),SUMIFS('DB Costi-Ore YtD'!$G:$G,'DB Costi-Ore YtD'!$A:$A,G$1,'DB Costi-Ore YtD'!$B:$B,$A33,'DB Costi-Ore YtD'!$E:$E,$C33)-SUM($D33:F33),0)</f>
        <v>1658.9699999999993</v>
      </c>
      <c r="H33">
        <f>IF((H$1*1)&lt;=MAX('DB Costi-Ore YtD'!$A:$A),SUMIFS('DB Costi-Ore YtD'!$G:$G,'DB Costi-Ore YtD'!$A:$A,H$1,'DB Costi-Ore YtD'!$B:$B,$A33,'DB Costi-Ore YtD'!$E:$E,$C33)-SUM($D33:G33),0)</f>
        <v>1724.3800000000047</v>
      </c>
      <c r="I33">
        <f>IF((I$1*1)&lt;=MAX('DB Costi-Ore YtD'!$A:$A),SUMIFS('DB Costi-Ore YtD'!$G:$G,'DB Costi-Ore YtD'!$A:$A,I$1,'DB Costi-Ore YtD'!$B:$B,$A33,'DB Costi-Ore YtD'!$E:$E,$C33)-SUM($D33:H33),0)</f>
        <v>1708.2099999999955</v>
      </c>
      <c r="J33">
        <f>IF((J$1*1)&lt;=MAX('DB Costi-Ore YtD'!$A:$A),SUMIFS('DB Costi-Ore YtD'!$G:$G,'DB Costi-Ore YtD'!$A:$A,J$1,'DB Costi-Ore YtD'!$B:$B,$A33,'DB Costi-Ore YtD'!$E:$E,$C33)-SUM($D33:I33),0)</f>
        <v>0</v>
      </c>
      <c r="K33">
        <f>IF((K$1*1)&lt;=MAX('DB Costi-Ore YtD'!$A:$A),SUMIFS('DB Costi-Ore YtD'!$G:$G,'DB Costi-Ore YtD'!$A:$A,K$1,'DB Costi-Ore YtD'!$B:$B,$A33,'DB Costi-Ore YtD'!$E:$E,$C33)-SUM($D33:J33),0)</f>
        <v>0</v>
      </c>
      <c r="L33">
        <f>IF((L$1*1)&lt;=MAX('DB Costi-Ore YtD'!$A:$A),SUMIFS('DB Costi-Ore YtD'!$G:$G,'DB Costi-Ore YtD'!$A:$A,L$1,'DB Costi-Ore YtD'!$B:$B,$A33,'DB Costi-Ore YtD'!$E:$E,$C33)-SUM($D33:K33),0)</f>
        <v>0</v>
      </c>
      <c r="M33">
        <f>IF((M$1*1)&lt;=MAX('DB Costi-Ore YtD'!$A:$A),SUMIFS('DB Costi-Ore YtD'!$G:$G,'DB Costi-Ore YtD'!$A:$A,M$1,'DB Costi-Ore YtD'!$B:$B,$A33,'DB Costi-Ore YtD'!$E:$E,$C33)-SUM($D33:L33),0)</f>
        <v>0</v>
      </c>
      <c r="N33">
        <f>IF((N$1*1)&lt;=MAX('DB Costi-Ore YtD'!$A:$A),SUMIFS('DB Costi-Ore YtD'!$G:$G,'DB Costi-Ore YtD'!$A:$A,N$1,'DB Costi-Ore YtD'!$B:$B,$A33,'DB Costi-Ore YtD'!$E:$E,$C33)-SUM($D33:M33),0)</f>
        <v>0</v>
      </c>
      <c r="O33">
        <f>IF((O$1*1)&lt;=MAX('DB Costi-Ore YtD'!$A:$A),SUMIFS('DB Costi-Ore YtD'!$G:$G,'DB Costi-Ore YtD'!$A:$A,O$1,'DB Costi-Ore YtD'!$B:$B,$A33,'DB Costi-Ore YtD'!$E:$E,$C33)-SUM($D33:N33),0)</f>
        <v>0</v>
      </c>
    </row>
    <row r="34" spans="1:15" hidden="1" x14ac:dyDescent="0.3">
      <c r="A34" t="s">
        <v>93</v>
      </c>
      <c r="B34" t="s">
        <v>94</v>
      </c>
      <c r="C34" t="s">
        <v>2</v>
      </c>
      <c r="D34">
        <f>IF((D$1*1)&lt;=MAX('DB Costi-Ore YtD'!$A:$A),SUMIFS('DB Costi-Ore YtD'!$G:$G,'DB Costi-Ore YtD'!$A:$A,D$1,'DB Costi-Ore YtD'!$B:$B,$A34,'DB Costi-Ore YtD'!$E:$E,$C34),0)</f>
        <v>1583.91</v>
      </c>
      <c r="E34">
        <f>IF((E$1*1)&lt;=MAX('DB Costi-Ore YtD'!$A:$A),SUMIFS('DB Costi-Ore YtD'!$G:$G,'DB Costi-Ore YtD'!$A:$A,E$1,'DB Costi-Ore YtD'!$B:$B,$A34,'DB Costi-Ore YtD'!$E:$E,$C34)-SUM($D34:D34),0)</f>
        <v>1474.53</v>
      </c>
      <c r="F34">
        <f>IF((F$1*1)&lt;=MAX('DB Costi-Ore YtD'!$A:$A),SUMIFS('DB Costi-Ore YtD'!$G:$G,'DB Costi-Ore YtD'!$A:$A,F$1,'DB Costi-Ore YtD'!$B:$B,$A34,'DB Costi-Ore YtD'!$E:$E,$C34)-SUM($D34:E34),0)</f>
        <v>1413.2199999999998</v>
      </c>
      <c r="G34">
        <f>IF((G$1*1)&lt;=MAX('DB Costi-Ore YtD'!$A:$A),SUMIFS('DB Costi-Ore YtD'!$G:$G,'DB Costi-Ore YtD'!$A:$A,G$1,'DB Costi-Ore YtD'!$B:$B,$A34,'DB Costi-Ore YtD'!$E:$E,$C34)-SUM($D34:F34),0)</f>
        <v>1517.2300000000005</v>
      </c>
      <c r="H34">
        <f>IF((H$1*1)&lt;=MAX('DB Costi-Ore YtD'!$A:$A),SUMIFS('DB Costi-Ore YtD'!$G:$G,'DB Costi-Ore YtD'!$A:$A,H$1,'DB Costi-Ore YtD'!$B:$B,$A34,'DB Costi-Ore YtD'!$E:$E,$C34)-SUM($D34:G34),0)</f>
        <v>1308.1299999999983</v>
      </c>
      <c r="I34">
        <f>IF((I$1*1)&lt;=MAX('DB Costi-Ore YtD'!$A:$A),SUMIFS('DB Costi-Ore YtD'!$G:$G,'DB Costi-Ore YtD'!$A:$A,I$1,'DB Costi-Ore YtD'!$B:$B,$A34,'DB Costi-Ore YtD'!$E:$E,$C34)-SUM($D34:H34),0)</f>
        <v>1451.8300000000017</v>
      </c>
      <c r="J34">
        <f>IF((J$1*1)&lt;=MAX('DB Costi-Ore YtD'!$A:$A),SUMIFS('DB Costi-Ore YtD'!$G:$G,'DB Costi-Ore YtD'!$A:$A,J$1,'DB Costi-Ore YtD'!$B:$B,$A34,'DB Costi-Ore YtD'!$E:$E,$C34)-SUM($D34:I34),0)</f>
        <v>0</v>
      </c>
      <c r="K34">
        <f>IF((K$1*1)&lt;=MAX('DB Costi-Ore YtD'!$A:$A),SUMIFS('DB Costi-Ore YtD'!$G:$G,'DB Costi-Ore YtD'!$A:$A,K$1,'DB Costi-Ore YtD'!$B:$B,$A34,'DB Costi-Ore YtD'!$E:$E,$C34)-SUM($D34:J34),0)</f>
        <v>0</v>
      </c>
      <c r="L34">
        <f>IF((L$1*1)&lt;=MAX('DB Costi-Ore YtD'!$A:$A),SUMIFS('DB Costi-Ore YtD'!$G:$G,'DB Costi-Ore YtD'!$A:$A,L$1,'DB Costi-Ore YtD'!$B:$B,$A34,'DB Costi-Ore YtD'!$E:$E,$C34)-SUM($D34:K34),0)</f>
        <v>0</v>
      </c>
      <c r="M34">
        <f>IF((M$1*1)&lt;=MAX('DB Costi-Ore YtD'!$A:$A),SUMIFS('DB Costi-Ore YtD'!$G:$G,'DB Costi-Ore YtD'!$A:$A,M$1,'DB Costi-Ore YtD'!$B:$B,$A34,'DB Costi-Ore YtD'!$E:$E,$C34)-SUM($D34:L34),0)</f>
        <v>0</v>
      </c>
      <c r="N34">
        <f>IF((N$1*1)&lt;=MAX('DB Costi-Ore YtD'!$A:$A),SUMIFS('DB Costi-Ore YtD'!$G:$G,'DB Costi-Ore YtD'!$A:$A,N$1,'DB Costi-Ore YtD'!$B:$B,$A34,'DB Costi-Ore YtD'!$E:$E,$C34)-SUM($D34:M34),0)</f>
        <v>0</v>
      </c>
      <c r="O34">
        <f>IF((O$1*1)&lt;=MAX('DB Costi-Ore YtD'!$A:$A),SUMIFS('DB Costi-Ore YtD'!$G:$G,'DB Costi-Ore YtD'!$A:$A,O$1,'DB Costi-Ore YtD'!$B:$B,$A34,'DB Costi-Ore YtD'!$E:$E,$C34)-SUM($D34:N34),0)</f>
        <v>0</v>
      </c>
    </row>
    <row r="35" spans="1:15" hidden="1" x14ac:dyDescent="0.3">
      <c r="A35" t="s">
        <v>95</v>
      </c>
      <c r="B35" t="s">
        <v>96</v>
      </c>
      <c r="C35" t="s">
        <v>3</v>
      </c>
      <c r="D35">
        <f>IF((D$1*1)&lt;=MAX('DB Costi-Ore YtD'!$A:$A),SUMIFS('DB Costi-Ore YtD'!$G:$G,'DB Costi-Ore YtD'!$A:$A,D$1,'DB Costi-Ore YtD'!$B:$B,$A35,'DB Costi-Ore YtD'!$E:$E,$C35),0)</f>
        <v>2032.02</v>
      </c>
      <c r="E35">
        <f>IF((E$1*1)&lt;=MAX('DB Costi-Ore YtD'!$A:$A),SUMIFS('DB Costi-Ore YtD'!$G:$G,'DB Costi-Ore YtD'!$A:$A,E$1,'DB Costi-Ore YtD'!$B:$B,$A35,'DB Costi-Ore YtD'!$E:$E,$C35)-SUM($D35:D35),0)</f>
        <v>2091.3700000000013</v>
      </c>
      <c r="F35">
        <f>IF((F$1*1)&lt;=MAX('DB Costi-Ore YtD'!$A:$A),SUMIFS('DB Costi-Ore YtD'!$G:$G,'DB Costi-Ore YtD'!$A:$A,F$1,'DB Costi-Ore YtD'!$B:$B,$A35,'DB Costi-Ore YtD'!$E:$E,$C35)-SUM($D35:E35),0)</f>
        <v>2119.0999999999985</v>
      </c>
      <c r="G35">
        <f>IF((G$1*1)&lt;=MAX('DB Costi-Ore YtD'!$A:$A),SUMIFS('DB Costi-Ore YtD'!$G:$G,'DB Costi-Ore YtD'!$A:$A,G$1,'DB Costi-Ore YtD'!$B:$B,$A35,'DB Costi-Ore YtD'!$E:$E,$C35)-SUM($D35:F35),0)</f>
        <v>2207.58</v>
      </c>
      <c r="H35">
        <f>IF((H$1*1)&lt;=MAX('DB Costi-Ore YtD'!$A:$A),SUMIFS('DB Costi-Ore YtD'!$G:$G,'DB Costi-Ore YtD'!$A:$A,H$1,'DB Costi-Ore YtD'!$B:$B,$A35,'DB Costi-Ore YtD'!$E:$E,$C35)-SUM($D35:G35),0)</f>
        <v>2149.33</v>
      </c>
      <c r="I35">
        <f>IF((I$1*1)&lt;=MAX('DB Costi-Ore YtD'!$A:$A),SUMIFS('DB Costi-Ore YtD'!$G:$G,'DB Costi-Ore YtD'!$A:$A,I$1,'DB Costi-Ore YtD'!$B:$B,$A35,'DB Costi-Ore YtD'!$E:$E,$C35)-SUM($D35:H35),0)</f>
        <v>2148.3999999999996</v>
      </c>
      <c r="J35">
        <f>IF((J$1*1)&lt;=MAX('DB Costi-Ore YtD'!$A:$A),SUMIFS('DB Costi-Ore YtD'!$G:$G,'DB Costi-Ore YtD'!$A:$A,J$1,'DB Costi-Ore YtD'!$B:$B,$A35,'DB Costi-Ore YtD'!$E:$E,$C35)-SUM($D35:I35),0)</f>
        <v>0</v>
      </c>
      <c r="K35">
        <f>IF((K$1*1)&lt;=MAX('DB Costi-Ore YtD'!$A:$A),SUMIFS('DB Costi-Ore YtD'!$G:$G,'DB Costi-Ore YtD'!$A:$A,K$1,'DB Costi-Ore YtD'!$B:$B,$A35,'DB Costi-Ore YtD'!$E:$E,$C35)-SUM($D35:J35),0)</f>
        <v>0</v>
      </c>
      <c r="L35">
        <f>IF((L$1*1)&lt;=MAX('DB Costi-Ore YtD'!$A:$A),SUMIFS('DB Costi-Ore YtD'!$G:$G,'DB Costi-Ore YtD'!$A:$A,L$1,'DB Costi-Ore YtD'!$B:$B,$A35,'DB Costi-Ore YtD'!$E:$E,$C35)-SUM($D35:K35),0)</f>
        <v>0</v>
      </c>
      <c r="M35">
        <f>IF((M$1*1)&lt;=MAX('DB Costi-Ore YtD'!$A:$A),SUMIFS('DB Costi-Ore YtD'!$G:$G,'DB Costi-Ore YtD'!$A:$A,M$1,'DB Costi-Ore YtD'!$B:$B,$A35,'DB Costi-Ore YtD'!$E:$E,$C35)-SUM($D35:L35),0)</f>
        <v>0</v>
      </c>
      <c r="N35">
        <f>IF((N$1*1)&lt;=MAX('DB Costi-Ore YtD'!$A:$A),SUMIFS('DB Costi-Ore YtD'!$G:$G,'DB Costi-Ore YtD'!$A:$A,N$1,'DB Costi-Ore YtD'!$B:$B,$A35,'DB Costi-Ore YtD'!$E:$E,$C35)-SUM($D35:M35),0)</f>
        <v>0</v>
      </c>
      <c r="O35">
        <f>IF((O$1*1)&lt;=MAX('DB Costi-Ore YtD'!$A:$A),SUMIFS('DB Costi-Ore YtD'!$G:$G,'DB Costi-Ore YtD'!$A:$A,O$1,'DB Costi-Ore YtD'!$B:$B,$A35,'DB Costi-Ore YtD'!$E:$E,$C35)-SUM($D35:N35),0)</f>
        <v>0</v>
      </c>
    </row>
    <row r="36" spans="1:15" hidden="1" x14ac:dyDescent="0.3">
      <c r="A36" t="s">
        <v>97</v>
      </c>
      <c r="B36" t="s">
        <v>98</v>
      </c>
      <c r="C36" t="s">
        <v>2</v>
      </c>
      <c r="D36">
        <f>IF((D$1*1)&lt;=MAX('DB Costi-Ore YtD'!$A:$A),SUMIFS('DB Costi-Ore YtD'!$G:$G,'DB Costi-Ore YtD'!$A:$A,D$1,'DB Costi-Ore YtD'!$B:$B,$A36,'DB Costi-Ore YtD'!$E:$E,$C36),0)</f>
        <v>2035.75</v>
      </c>
      <c r="E36">
        <f>IF((E$1*1)&lt;=MAX('DB Costi-Ore YtD'!$A:$A),SUMIFS('DB Costi-Ore YtD'!$G:$G,'DB Costi-Ore YtD'!$A:$A,E$1,'DB Costi-Ore YtD'!$B:$B,$A36,'DB Costi-Ore YtD'!$E:$E,$C36)-SUM($D36:D36),0)</f>
        <v>1820.9399999999996</v>
      </c>
      <c r="F36">
        <f>IF((F$1*1)&lt;=MAX('DB Costi-Ore YtD'!$A:$A),SUMIFS('DB Costi-Ore YtD'!$G:$G,'DB Costi-Ore YtD'!$A:$A,F$1,'DB Costi-Ore YtD'!$B:$B,$A36,'DB Costi-Ore YtD'!$E:$E,$C36)-SUM($D36:E36),0)</f>
        <v>1794.1500000000005</v>
      </c>
      <c r="G36">
        <f>IF((G$1*1)&lt;=MAX('DB Costi-Ore YtD'!$A:$A),SUMIFS('DB Costi-Ore YtD'!$G:$G,'DB Costi-Ore YtD'!$A:$A,G$1,'DB Costi-Ore YtD'!$B:$B,$A36,'DB Costi-Ore YtD'!$E:$E,$C36)-SUM($D36:F36),0)</f>
        <v>1996.4300000000003</v>
      </c>
      <c r="H36">
        <f>IF((H$1*1)&lt;=MAX('DB Costi-Ore YtD'!$A:$A),SUMIFS('DB Costi-Ore YtD'!$G:$G,'DB Costi-Ore YtD'!$A:$A,H$1,'DB Costi-Ore YtD'!$B:$B,$A36,'DB Costi-Ore YtD'!$E:$E,$C36)-SUM($D36:G36),0)</f>
        <v>1806.7699999999986</v>
      </c>
      <c r="I36">
        <f>IF((I$1*1)&lt;=MAX('DB Costi-Ore YtD'!$A:$A),SUMIFS('DB Costi-Ore YtD'!$G:$G,'DB Costi-Ore YtD'!$A:$A,I$1,'DB Costi-Ore YtD'!$B:$B,$A36,'DB Costi-Ore YtD'!$E:$E,$C36)-SUM($D36:H36),0)</f>
        <v>1839.0300000000007</v>
      </c>
      <c r="J36">
        <f>IF((J$1*1)&lt;=MAX('DB Costi-Ore YtD'!$A:$A),SUMIFS('DB Costi-Ore YtD'!$G:$G,'DB Costi-Ore YtD'!$A:$A,J$1,'DB Costi-Ore YtD'!$B:$B,$A36,'DB Costi-Ore YtD'!$E:$E,$C36)-SUM($D36:I36),0)</f>
        <v>0</v>
      </c>
      <c r="K36">
        <f>IF((K$1*1)&lt;=MAX('DB Costi-Ore YtD'!$A:$A),SUMIFS('DB Costi-Ore YtD'!$G:$G,'DB Costi-Ore YtD'!$A:$A,K$1,'DB Costi-Ore YtD'!$B:$B,$A36,'DB Costi-Ore YtD'!$E:$E,$C36)-SUM($D36:J36),0)</f>
        <v>0</v>
      </c>
      <c r="L36">
        <f>IF((L$1*1)&lt;=MAX('DB Costi-Ore YtD'!$A:$A),SUMIFS('DB Costi-Ore YtD'!$G:$G,'DB Costi-Ore YtD'!$A:$A,L$1,'DB Costi-Ore YtD'!$B:$B,$A36,'DB Costi-Ore YtD'!$E:$E,$C36)-SUM($D36:K36),0)</f>
        <v>0</v>
      </c>
      <c r="M36">
        <f>IF((M$1*1)&lt;=MAX('DB Costi-Ore YtD'!$A:$A),SUMIFS('DB Costi-Ore YtD'!$G:$G,'DB Costi-Ore YtD'!$A:$A,M$1,'DB Costi-Ore YtD'!$B:$B,$A36,'DB Costi-Ore YtD'!$E:$E,$C36)-SUM($D36:L36),0)</f>
        <v>0</v>
      </c>
      <c r="N36">
        <f>IF((N$1*1)&lt;=MAX('DB Costi-Ore YtD'!$A:$A),SUMIFS('DB Costi-Ore YtD'!$G:$G,'DB Costi-Ore YtD'!$A:$A,N$1,'DB Costi-Ore YtD'!$B:$B,$A36,'DB Costi-Ore YtD'!$E:$E,$C36)-SUM($D36:M36),0)</f>
        <v>0</v>
      </c>
      <c r="O36">
        <f>IF((O$1*1)&lt;=MAX('DB Costi-Ore YtD'!$A:$A),SUMIFS('DB Costi-Ore YtD'!$G:$G,'DB Costi-Ore YtD'!$A:$A,O$1,'DB Costi-Ore YtD'!$B:$B,$A36,'DB Costi-Ore YtD'!$E:$E,$C36)-SUM($D36:N36),0)</f>
        <v>0</v>
      </c>
    </row>
    <row r="37" spans="1:15" hidden="1" x14ac:dyDescent="0.3">
      <c r="A37" t="s">
        <v>99</v>
      </c>
      <c r="B37" t="s">
        <v>100</v>
      </c>
      <c r="C37" t="s">
        <v>2</v>
      </c>
      <c r="D37">
        <f>IF((D$1*1)&lt;=MAX('DB Costi-Ore YtD'!$A:$A),SUMIFS('DB Costi-Ore YtD'!$G:$G,'DB Costi-Ore YtD'!$A:$A,D$1,'DB Costi-Ore YtD'!$B:$B,$A37,'DB Costi-Ore YtD'!$E:$E,$C37),0)</f>
        <v>1756.9300000000003</v>
      </c>
      <c r="E37">
        <f>IF((E$1*1)&lt;=MAX('DB Costi-Ore YtD'!$A:$A),SUMIFS('DB Costi-Ore YtD'!$G:$G,'DB Costi-Ore YtD'!$A:$A,E$1,'DB Costi-Ore YtD'!$B:$B,$A37,'DB Costi-Ore YtD'!$E:$E,$C37)-SUM($D37:D37),0)</f>
        <v>1361.1</v>
      </c>
      <c r="F37">
        <f>IF((F$1*1)&lt;=MAX('DB Costi-Ore YtD'!$A:$A),SUMIFS('DB Costi-Ore YtD'!$G:$G,'DB Costi-Ore YtD'!$A:$A,F$1,'DB Costi-Ore YtD'!$B:$B,$A37,'DB Costi-Ore YtD'!$E:$E,$C37)-SUM($D37:E37),0)</f>
        <v>1566.5099999999989</v>
      </c>
      <c r="G37">
        <f>IF((G$1*1)&lt;=MAX('DB Costi-Ore YtD'!$A:$A),SUMIFS('DB Costi-Ore YtD'!$G:$G,'DB Costi-Ore YtD'!$A:$A,G$1,'DB Costi-Ore YtD'!$B:$B,$A37,'DB Costi-Ore YtD'!$E:$E,$C37)-SUM($D37:F37),0)</f>
        <v>1689.7300000000014</v>
      </c>
      <c r="H37">
        <f>IF((H$1*1)&lt;=MAX('DB Costi-Ore YtD'!$A:$A),SUMIFS('DB Costi-Ore YtD'!$G:$G,'DB Costi-Ore YtD'!$A:$A,H$1,'DB Costi-Ore YtD'!$B:$B,$A37,'DB Costi-Ore YtD'!$E:$E,$C37)-SUM($D37:G37),0)</f>
        <v>1863.7000000000007</v>
      </c>
      <c r="I37">
        <f>IF((I$1*1)&lt;=MAX('DB Costi-Ore YtD'!$A:$A),SUMIFS('DB Costi-Ore YtD'!$G:$G,'DB Costi-Ore YtD'!$A:$A,I$1,'DB Costi-Ore YtD'!$B:$B,$A37,'DB Costi-Ore YtD'!$E:$E,$C37)-SUM($D37:H37),0)</f>
        <v>1378.8100000000013</v>
      </c>
      <c r="J37">
        <f>IF((J$1*1)&lt;=MAX('DB Costi-Ore YtD'!$A:$A),SUMIFS('DB Costi-Ore YtD'!$G:$G,'DB Costi-Ore YtD'!$A:$A,J$1,'DB Costi-Ore YtD'!$B:$B,$A37,'DB Costi-Ore YtD'!$E:$E,$C37)-SUM($D37:I37),0)</f>
        <v>0</v>
      </c>
      <c r="K37">
        <f>IF((K$1*1)&lt;=MAX('DB Costi-Ore YtD'!$A:$A),SUMIFS('DB Costi-Ore YtD'!$G:$G,'DB Costi-Ore YtD'!$A:$A,K$1,'DB Costi-Ore YtD'!$B:$B,$A37,'DB Costi-Ore YtD'!$E:$E,$C37)-SUM($D37:J37),0)</f>
        <v>0</v>
      </c>
      <c r="L37">
        <f>IF((L$1*1)&lt;=MAX('DB Costi-Ore YtD'!$A:$A),SUMIFS('DB Costi-Ore YtD'!$G:$G,'DB Costi-Ore YtD'!$A:$A,L$1,'DB Costi-Ore YtD'!$B:$B,$A37,'DB Costi-Ore YtD'!$E:$E,$C37)-SUM($D37:K37),0)</f>
        <v>0</v>
      </c>
      <c r="M37">
        <f>IF((M$1*1)&lt;=MAX('DB Costi-Ore YtD'!$A:$A),SUMIFS('DB Costi-Ore YtD'!$G:$G,'DB Costi-Ore YtD'!$A:$A,M$1,'DB Costi-Ore YtD'!$B:$B,$A37,'DB Costi-Ore YtD'!$E:$E,$C37)-SUM($D37:L37),0)</f>
        <v>0</v>
      </c>
      <c r="N37">
        <f>IF((N$1*1)&lt;=MAX('DB Costi-Ore YtD'!$A:$A),SUMIFS('DB Costi-Ore YtD'!$G:$G,'DB Costi-Ore YtD'!$A:$A,N$1,'DB Costi-Ore YtD'!$B:$B,$A37,'DB Costi-Ore YtD'!$E:$E,$C37)-SUM($D37:M37),0)</f>
        <v>0</v>
      </c>
      <c r="O37">
        <f>IF((O$1*1)&lt;=MAX('DB Costi-Ore YtD'!$A:$A),SUMIFS('DB Costi-Ore YtD'!$G:$G,'DB Costi-Ore YtD'!$A:$A,O$1,'DB Costi-Ore YtD'!$B:$B,$A37,'DB Costi-Ore YtD'!$E:$E,$C37)-SUM($D37:N37),0)</f>
        <v>0</v>
      </c>
    </row>
    <row r="38" spans="1:15" x14ac:dyDescent="0.3">
      <c r="A38" t="s">
        <v>101</v>
      </c>
      <c r="B38" t="s">
        <v>102</v>
      </c>
      <c r="C38" t="s">
        <v>13</v>
      </c>
      <c r="D38">
        <f>IF((D$1*1)&lt;=MAX('DB Costi-Ore YtD'!$A:$A),SUMIFS('DB Costi-Ore YtD'!$G:$G,'DB Costi-Ore YtD'!$A:$A,D$1,'DB Costi-Ore YtD'!$B:$B,$A38,'DB Costi-Ore YtD'!$E:$E,$C38),0)</f>
        <v>1194.9000000000001</v>
      </c>
      <c r="E38">
        <f>IF((E$1*1)&lt;=MAX('DB Costi-Ore YtD'!$A:$A),SUMIFS('DB Costi-Ore YtD'!$G:$G,'DB Costi-Ore YtD'!$A:$A,E$1,'DB Costi-Ore YtD'!$B:$B,$A38,'DB Costi-Ore YtD'!$E:$E,$C38)-SUM($D38:D38),0)</f>
        <v>1500.1799999999998</v>
      </c>
      <c r="F38">
        <f>IF((F$1*1)&lt;=MAX('DB Costi-Ore YtD'!$A:$A),SUMIFS('DB Costi-Ore YtD'!$G:$G,'DB Costi-Ore YtD'!$A:$A,F$1,'DB Costi-Ore YtD'!$B:$B,$A38,'DB Costi-Ore YtD'!$E:$E,$C38)-SUM($D38:E38),0)</f>
        <v>1361.35</v>
      </c>
      <c r="G38">
        <f>IF((G$1*1)&lt;=MAX('DB Costi-Ore YtD'!$A:$A),SUMIFS('DB Costi-Ore YtD'!$G:$G,'DB Costi-Ore YtD'!$A:$A,G$1,'DB Costi-Ore YtD'!$B:$B,$A38,'DB Costi-Ore YtD'!$E:$E,$C38)-SUM($D38:F38),0)</f>
        <v>1395.3300000000004</v>
      </c>
      <c r="H38">
        <f>IF((H$1*1)&lt;=MAX('DB Costi-Ore YtD'!$A:$A),SUMIFS('DB Costi-Ore YtD'!$G:$G,'DB Costi-Ore YtD'!$A:$A,H$1,'DB Costi-Ore YtD'!$B:$B,$A38,'DB Costi-Ore YtD'!$E:$E,$C38)-SUM($D38:G38),0)</f>
        <v>1450.6899999999996</v>
      </c>
      <c r="I38">
        <f>IF((I$1*1)&lt;=MAX('DB Costi-Ore YtD'!$A:$A),SUMIFS('DB Costi-Ore YtD'!$G:$G,'DB Costi-Ore YtD'!$A:$A,I$1,'DB Costi-Ore YtD'!$B:$B,$A38,'DB Costi-Ore YtD'!$E:$E,$C38)-SUM($D38:H38),0)</f>
        <v>1387.9699999999984</v>
      </c>
      <c r="J38">
        <f>IF((J$1*1)&lt;=MAX('DB Costi-Ore YtD'!$A:$A),SUMIFS('DB Costi-Ore YtD'!$G:$G,'DB Costi-Ore YtD'!$A:$A,J$1,'DB Costi-Ore YtD'!$B:$B,$A38,'DB Costi-Ore YtD'!$E:$E,$C38)-SUM($D38:I38),0)</f>
        <v>0</v>
      </c>
      <c r="K38">
        <f>IF((K$1*1)&lt;=MAX('DB Costi-Ore YtD'!$A:$A),SUMIFS('DB Costi-Ore YtD'!$G:$G,'DB Costi-Ore YtD'!$A:$A,K$1,'DB Costi-Ore YtD'!$B:$B,$A38,'DB Costi-Ore YtD'!$E:$E,$C38)-SUM($D38:J38),0)</f>
        <v>0</v>
      </c>
      <c r="L38">
        <f>IF((L$1*1)&lt;=MAX('DB Costi-Ore YtD'!$A:$A),SUMIFS('DB Costi-Ore YtD'!$G:$G,'DB Costi-Ore YtD'!$A:$A,L$1,'DB Costi-Ore YtD'!$B:$B,$A38,'DB Costi-Ore YtD'!$E:$E,$C38)-SUM($D38:K38),0)</f>
        <v>0</v>
      </c>
      <c r="M38">
        <f>IF((M$1*1)&lt;=MAX('DB Costi-Ore YtD'!$A:$A),SUMIFS('DB Costi-Ore YtD'!$G:$G,'DB Costi-Ore YtD'!$A:$A,M$1,'DB Costi-Ore YtD'!$B:$B,$A38,'DB Costi-Ore YtD'!$E:$E,$C38)-SUM($D38:L38),0)</f>
        <v>0</v>
      </c>
      <c r="N38">
        <f>IF((N$1*1)&lt;=MAX('DB Costi-Ore YtD'!$A:$A),SUMIFS('DB Costi-Ore YtD'!$G:$G,'DB Costi-Ore YtD'!$A:$A,N$1,'DB Costi-Ore YtD'!$B:$B,$A38,'DB Costi-Ore YtD'!$E:$E,$C38)-SUM($D38:M38),0)</f>
        <v>0</v>
      </c>
      <c r="O38">
        <f>IF((O$1*1)&lt;=MAX('DB Costi-Ore YtD'!$A:$A),SUMIFS('DB Costi-Ore YtD'!$G:$G,'DB Costi-Ore YtD'!$A:$A,O$1,'DB Costi-Ore YtD'!$B:$B,$A38,'DB Costi-Ore YtD'!$E:$E,$C38)-SUM($D38:N38),0)</f>
        <v>0</v>
      </c>
    </row>
    <row r="39" spans="1:15" hidden="1" x14ac:dyDescent="0.3">
      <c r="A39" t="s">
        <v>103</v>
      </c>
      <c r="B39" t="s">
        <v>104</v>
      </c>
      <c r="C39" t="s">
        <v>2</v>
      </c>
      <c r="D39">
        <f>IF((D$1*1)&lt;=MAX('DB Costi-Ore YtD'!$A:$A),SUMIFS('DB Costi-Ore YtD'!$G:$G,'DB Costi-Ore YtD'!$A:$A,D$1,'DB Costi-Ore YtD'!$B:$B,$A39,'DB Costi-Ore YtD'!$E:$E,$C39),0)</f>
        <v>621.26000000000022</v>
      </c>
      <c r="E39">
        <f>IF((E$1*1)&lt;=MAX('DB Costi-Ore YtD'!$A:$A),SUMIFS('DB Costi-Ore YtD'!$G:$G,'DB Costi-Ore YtD'!$A:$A,E$1,'DB Costi-Ore YtD'!$B:$B,$A39,'DB Costi-Ore YtD'!$E:$E,$C39)-SUM($D39:D39),0)</f>
        <v>1114.6100000000001</v>
      </c>
      <c r="F39">
        <f>IF((F$1*1)&lt;=MAX('DB Costi-Ore YtD'!$A:$A),SUMIFS('DB Costi-Ore YtD'!$G:$G,'DB Costi-Ore YtD'!$A:$A,F$1,'DB Costi-Ore YtD'!$B:$B,$A39,'DB Costi-Ore YtD'!$E:$E,$C39)-SUM($D39:E39),0)</f>
        <v>1074.6199999999994</v>
      </c>
      <c r="G39">
        <f>IF((G$1*1)&lt;=MAX('DB Costi-Ore YtD'!$A:$A),SUMIFS('DB Costi-Ore YtD'!$G:$G,'DB Costi-Ore YtD'!$A:$A,G$1,'DB Costi-Ore YtD'!$B:$B,$A39,'DB Costi-Ore YtD'!$E:$E,$C39)-SUM($D39:F39),0)</f>
        <v>1070.5300000000007</v>
      </c>
      <c r="H39">
        <f>IF((H$1*1)&lt;=MAX('DB Costi-Ore YtD'!$A:$A),SUMIFS('DB Costi-Ore YtD'!$G:$G,'DB Costi-Ore YtD'!$A:$A,H$1,'DB Costi-Ore YtD'!$B:$B,$A39,'DB Costi-Ore YtD'!$E:$E,$C39)-SUM($D39:G39),0)</f>
        <v>-3881.0200000000004</v>
      </c>
      <c r="I39">
        <f>IF((I$1*1)&lt;=MAX('DB Costi-Ore YtD'!$A:$A),SUMIFS('DB Costi-Ore YtD'!$G:$G,'DB Costi-Ore YtD'!$A:$A,I$1,'DB Costi-Ore YtD'!$B:$B,$A39,'DB Costi-Ore YtD'!$E:$E,$C39)-SUM($D39:H39),0)</f>
        <v>0</v>
      </c>
      <c r="J39">
        <f>IF((J$1*1)&lt;=MAX('DB Costi-Ore YtD'!$A:$A),SUMIFS('DB Costi-Ore YtD'!$G:$G,'DB Costi-Ore YtD'!$A:$A,J$1,'DB Costi-Ore YtD'!$B:$B,$A39,'DB Costi-Ore YtD'!$E:$E,$C39)-SUM($D39:I39),0)</f>
        <v>0</v>
      </c>
      <c r="K39">
        <f>IF((K$1*1)&lt;=MAX('DB Costi-Ore YtD'!$A:$A),SUMIFS('DB Costi-Ore YtD'!$G:$G,'DB Costi-Ore YtD'!$A:$A,K$1,'DB Costi-Ore YtD'!$B:$B,$A39,'DB Costi-Ore YtD'!$E:$E,$C39)-SUM($D39:J39),0)</f>
        <v>0</v>
      </c>
      <c r="L39">
        <f>IF((L$1*1)&lt;=MAX('DB Costi-Ore YtD'!$A:$A),SUMIFS('DB Costi-Ore YtD'!$G:$G,'DB Costi-Ore YtD'!$A:$A,L$1,'DB Costi-Ore YtD'!$B:$B,$A39,'DB Costi-Ore YtD'!$E:$E,$C39)-SUM($D39:K39),0)</f>
        <v>0</v>
      </c>
      <c r="M39">
        <f>IF((M$1*1)&lt;=MAX('DB Costi-Ore YtD'!$A:$A),SUMIFS('DB Costi-Ore YtD'!$G:$G,'DB Costi-Ore YtD'!$A:$A,M$1,'DB Costi-Ore YtD'!$B:$B,$A39,'DB Costi-Ore YtD'!$E:$E,$C39)-SUM($D39:L39),0)</f>
        <v>0</v>
      </c>
      <c r="N39">
        <f>IF((N$1*1)&lt;=MAX('DB Costi-Ore YtD'!$A:$A),SUMIFS('DB Costi-Ore YtD'!$G:$G,'DB Costi-Ore YtD'!$A:$A,N$1,'DB Costi-Ore YtD'!$B:$B,$A39,'DB Costi-Ore YtD'!$E:$E,$C39)-SUM($D39:M39),0)</f>
        <v>0</v>
      </c>
      <c r="O39">
        <f>IF((O$1*1)&lt;=MAX('DB Costi-Ore YtD'!$A:$A),SUMIFS('DB Costi-Ore YtD'!$G:$G,'DB Costi-Ore YtD'!$A:$A,O$1,'DB Costi-Ore YtD'!$B:$B,$A39,'DB Costi-Ore YtD'!$E:$E,$C39)-SUM($D39:N39),0)</f>
        <v>0</v>
      </c>
    </row>
    <row r="40" spans="1:15" hidden="1" x14ac:dyDescent="0.3">
      <c r="A40" t="s">
        <v>105</v>
      </c>
      <c r="B40" t="s">
        <v>106</v>
      </c>
      <c r="C40" t="s">
        <v>2</v>
      </c>
      <c r="D40">
        <f>IF((D$1*1)&lt;=MAX('DB Costi-Ore YtD'!$A:$A),SUMIFS('DB Costi-Ore YtD'!$G:$G,'DB Costi-Ore YtD'!$A:$A,D$1,'DB Costi-Ore YtD'!$B:$B,$A40,'DB Costi-Ore YtD'!$E:$E,$C40),0)</f>
        <v>1859.39</v>
      </c>
      <c r="E40">
        <f>IF((E$1*1)&lt;=MAX('DB Costi-Ore YtD'!$A:$A),SUMIFS('DB Costi-Ore YtD'!$G:$G,'DB Costi-Ore YtD'!$A:$A,E$1,'DB Costi-Ore YtD'!$B:$B,$A40,'DB Costi-Ore YtD'!$E:$E,$C40)-SUM($D40:D40),0)</f>
        <v>1739.4999999999998</v>
      </c>
      <c r="F40">
        <f>IF((F$1*1)&lt;=MAX('DB Costi-Ore YtD'!$A:$A),SUMIFS('DB Costi-Ore YtD'!$G:$G,'DB Costi-Ore YtD'!$A:$A,F$1,'DB Costi-Ore YtD'!$B:$B,$A40,'DB Costi-Ore YtD'!$E:$E,$C40)-SUM($D40:E40),0)</f>
        <v>1830.2599999999998</v>
      </c>
      <c r="G40">
        <f>IF((G$1*1)&lt;=MAX('DB Costi-Ore YtD'!$A:$A),SUMIFS('DB Costi-Ore YtD'!$G:$G,'DB Costi-Ore YtD'!$A:$A,G$1,'DB Costi-Ore YtD'!$B:$B,$A40,'DB Costi-Ore YtD'!$E:$E,$C40)-SUM($D40:F40),0)</f>
        <v>1824.1499999999996</v>
      </c>
      <c r="H40">
        <f>IF((H$1*1)&lt;=MAX('DB Costi-Ore YtD'!$A:$A),SUMIFS('DB Costi-Ore YtD'!$G:$G,'DB Costi-Ore YtD'!$A:$A,H$1,'DB Costi-Ore YtD'!$B:$B,$A40,'DB Costi-Ore YtD'!$E:$E,$C40)-SUM($D40:G40),0)</f>
        <v>1740.5499999999993</v>
      </c>
      <c r="I40">
        <f>IF((I$1*1)&lt;=MAX('DB Costi-Ore YtD'!$A:$A),SUMIFS('DB Costi-Ore YtD'!$G:$G,'DB Costi-Ore YtD'!$A:$A,I$1,'DB Costi-Ore YtD'!$B:$B,$A40,'DB Costi-Ore YtD'!$E:$E,$C40)-SUM($D40:H40),0)</f>
        <v>1852.6500000000015</v>
      </c>
      <c r="J40">
        <f>IF((J$1*1)&lt;=MAX('DB Costi-Ore YtD'!$A:$A),SUMIFS('DB Costi-Ore YtD'!$G:$G,'DB Costi-Ore YtD'!$A:$A,J$1,'DB Costi-Ore YtD'!$B:$B,$A40,'DB Costi-Ore YtD'!$E:$E,$C40)-SUM($D40:I40),0)</f>
        <v>0</v>
      </c>
      <c r="K40">
        <f>IF((K$1*1)&lt;=MAX('DB Costi-Ore YtD'!$A:$A),SUMIFS('DB Costi-Ore YtD'!$G:$G,'DB Costi-Ore YtD'!$A:$A,K$1,'DB Costi-Ore YtD'!$B:$B,$A40,'DB Costi-Ore YtD'!$E:$E,$C40)-SUM($D40:J40),0)</f>
        <v>0</v>
      </c>
      <c r="L40">
        <f>IF((L$1*1)&lt;=MAX('DB Costi-Ore YtD'!$A:$A),SUMIFS('DB Costi-Ore YtD'!$G:$G,'DB Costi-Ore YtD'!$A:$A,L$1,'DB Costi-Ore YtD'!$B:$B,$A40,'DB Costi-Ore YtD'!$E:$E,$C40)-SUM($D40:K40),0)</f>
        <v>0</v>
      </c>
      <c r="M40">
        <f>IF((M$1*1)&lt;=MAX('DB Costi-Ore YtD'!$A:$A),SUMIFS('DB Costi-Ore YtD'!$G:$G,'DB Costi-Ore YtD'!$A:$A,M$1,'DB Costi-Ore YtD'!$B:$B,$A40,'DB Costi-Ore YtD'!$E:$E,$C40)-SUM($D40:L40),0)</f>
        <v>0</v>
      </c>
      <c r="N40">
        <f>IF((N$1*1)&lt;=MAX('DB Costi-Ore YtD'!$A:$A),SUMIFS('DB Costi-Ore YtD'!$G:$G,'DB Costi-Ore YtD'!$A:$A,N$1,'DB Costi-Ore YtD'!$B:$B,$A40,'DB Costi-Ore YtD'!$E:$E,$C40)-SUM($D40:M40),0)</f>
        <v>0</v>
      </c>
      <c r="O40">
        <f>IF((O$1*1)&lt;=MAX('DB Costi-Ore YtD'!$A:$A),SUMIFS('DB Costi-Ore YtD'!$G:$G,'DB Costi-Ore YtD'!$A:$A,O$1,'DB Costi-Ore YtD'!$B:$B,$A40,'DB Costi-Ore YtD'!$E:$E,$C40)-SUM($D40:N40),0)</f>
        <v>0</v>
      </c>
    </row>
    <row r="41" spans="1:15" hidden="1" x14ac:dyDescent="0.3">
      <c r="A41" t="s">
        <v>107</v>
      </c>
      <c r="B41" t="s">
        <v>108</v>
      </c>
      <c r="C41" t="s">
        <v>2</v>
      </c>
      <c r="D41">
        <f>IF((D$1*1)&lt;=MAX('DB Costi-Ore YtD'!$A:$A),SUMIFS('DB Costi-Ore YtD'!$G:$G,'DB Costi-Ore YtD'!$A:$A,D$1,'DB Costi-Ore YtD'!$B:$B,$A41,'DB Costi-Ore YtD'!$E:$E,$C41),0)</f>
        <v>1123.9099999999999</v>
      </c>
      <c r="E41">
        <f>IF((E$1*1)&lt;=MAX('DB Costi-Ore YtD'!$A:$A),SUMIFS('DB Costi-Ore YtD'!$G:$G,'DB Costi-Ore YtD'!$A:$A,E$1,'DB Costi-Ore YtD'!$B:$B,$A41,'DB Costi-Ore YtD'!$E:$E,$C41)-SUM($D41:D41),0)</f>
        <v>983.11999999999989</v>
      </c>
      <c r="F41">
        <f>IF((F$1*1)&lt;=MAX('DB Costi-Ore YtD'!$A:$A),SUMIFS('DB Costi-Ore YtD'!$G:$G,'DB Costi-Ore YtD'!$A:$A,F$1,'DB Costi-Ore YtD'!$B:$B,$A41,'DB Costi-Ore YtD'!$E:$E,$C41)-SUM($D41:E41),0)</f>
        <v>1104.0300000000002</v>
      </c>
      <c r="G41">
        <f>IF((G$1*1)&lt;=MAX('DB Costi-Ore YtD'!$A:$A),SUMIFS('DB Costi-Ore YtD'!$G:$G,'DB Costi-Ore YtD'!$A:$A,G$1,'DB Costi-Ore YtD'!$B:$B,$A41,'DB Costi-Ore YtD'!$E:$E,$C41)-SUM($D41:F41),0)</f>
        <v>1548.8399999999997</v>
      </c>
      <c r="H41">
        <f>IF((H$1*1)&lt;=MAX('DB Costi-Ore YtD'!$A:$A),SUMIFS('DB Costi-Ore YtD'!$G:$G,'DB Costi-Ore YtD'!$A:$A,H$1,'DB Costi-Ore YtD'!$B:$B,$A41,'DB Costi-Ore YtD'!$E:$E,$C41)-SUM($D41:G41),0)</f>
        <v>1574.0699999999997</v>
      </c>
      <c r="I41">
        <f>IF((I$1*1)&lt;=MAX('DB Costi-Ore YtD'!$A:$A),SUMIFS('DB Costi-Ore YtD'!$G:$G,'DB Costi-Ore YtD'!$A:$A,I$1,'DB Costi-Ore YtD'!$B:$B,$A41,'DB Costi-Ore YtD'!$E:$E,$C41)-SUM($D41:H41),0)</f>
        <v>1380.4599999999991</v>
      </c>
      <c r="J41">
        <f>IF((J$1*1)&lt;=MAX('DB Costi-Ore YtD'!$A:$A),SUMIFS('DB Costi-Ore YtD'!$G:$G,'DB Costi-Ore YtD'!$A:$A,J$1,'DB Costi-Ore YtD'!$B:$B,$A41,'DB Costi-Ore YtD'!$E:$E,$C41)-SUM($D41:I41),0)</f>
        <v>0</v>
      </c>
      <c r="K41">
        <f>IF((K$1*1)&lt;=MAX('DB Costi-Ore YtD'!$A:$A),SUMIFS('DB Costi-Ore YtD'!$G:$G,'DB Costi-Ore YtD'!$A:$A,K$1,'DB Costi-Ore YtD'!$B:$B,$A41,'DB Costi-Ore YtD'!$E:$E,$C41)-SUM($D41:J41),0)</f>
        <v>0</v>
      </c>
      <c r="L41">
        <f>IF((L$1*1)&lt;=MAX('DB Costi-Ore YtD'!$A:$A),SUMIFS('DB Costi-Ore YtD'!$G:$G,'DB Costi-Ore YtD'!$A:$A,L$1,'DB Costi-Ore YtD'!$B:$B,$A41,'DB Costi-Ore YtD'!$E:$E,$C41)-SUM($D41:K41),0)</f>
        <v>0</v>
      </c>
      <c r="M41">
        <f>IF((M$1*1)&lt;=MAX('DB Costi-Ore YtD'!$A:$A),SUMIFS('DB Costi-Ore YtD'!$G:$G,'DB Costi-Ore YtD'!$A:$A,M$1,'DB Costi-Ore YtD'!$B:$B,$A41,'DB Costi-Ore YtD'!$E:$E,$C41)-SUM($D41:L41),0)</f>
        <v>0</v>
      </c>
      <c r="N41">
        <f>IF((N$1*1)&lt;=MAX('DB Costi-Ore YtD'!$A:$A),SUMIFS('DB Costi-Ore YtD'!$G:$G,'DB Costi-Ore YtD'!$A:$A,N$1,'DB Costi-Ore YtD'!$B:$B,$A41,'DB Costi-Ore YtD'!$E:$E,$C41)-SUM($D41:M41),0)</f>
        <v>0</v>
      </c>
      <c r="O41">
        <f>IF((O$1*1)&lt;=MAX('DB Costi-Ore YtD'!$A:$A),SUMIFS('DB Costi-Ore YtD'!$G:$G,'DB Costi-Ore YtD'!$A:$A,O$1,'DB Costi-Ore YtD'!$B:$B,$A41,'DB Costi-Ore YtD'!$E:$E,$C41)-SUM($D41:N41),0)</f>
        <v>0</v>
      </c>
    </row>
    <row r="42" spans="1:15" hidden="1" x14ac:dyDescent="0.3">
      <c r="A42" t="s">
        <v>109</v>
      </c>
      <c r="B42" t="s">
        <v>110</v>
      </c>
      <c r="C42" t="s">
        <v>6</v>
      </c>
      <c r="D42">
        <f>IF((D$1*1)&lt;=MAX('DB Costi-Ore YtD'!$A:$A),SUMIFS('DB Costi-Ore YtD'!$G:$G,'DB Costi-Ore YtD'!$A:$A,D$1,'DB Costi-Ore YtD'!$B:$B,$A42,'DB Costi-Ore YtD'!$E:$E,$C42),0)</f>
        <v>4133.84</v>
      </c>
      <c r="E42">
        <f>IF((E$1*1)&lt;=MAX('DB Costi-Ore YtD'!$A:$A),SUMIFS('DB Costi-Ore YtD'!$G:$G,'DB Costi-Ore YtD'!$A:$A,E$1,'DB Costi-Ore YtD'!$B:$B,$A42,'DB Costi-Ore YtD'!$E:$E,$C42)-SUM($D42:D42),0)</f>
        <v>3832.5999999999985</v>
      </c>
      <c r="F42">
        <f>IF((F$1*1)&lt;=MAX('DB Costi-Ore YtD'!$A:$A),SUMIFS('DB Costi-Ore YtD'!$G:$G,'DB Costi-Ore YtD'!$A:$A,F$1,'DB Costi-Ore YtD'!$B:$B,$A42,'DB Costi-Ore YtD'!$E:$E,$C42)-SUM($D42:E42),0)</f>
        <v>4461.380000000001</v>
      </c>
      <c r="G42">
        <f>IF((G$1*1)&lt;=MAX('DB Costi-Ore YtD'!$A:$A),SUMIFS('DB Costi-Ore YtD'!$G:$G,'DB Costi-Ore YtD'!$A:$A,G$1,'DB Costi-Ore YtD'!$B:$B,$A42,'DB Costi-Ore YtD'!$E:$E,$C42)-SUM($D42:F42),0)</f>
        <v>4493.1900000000023</v>
      </c>
      <c r="H42">
        <f>IF((H$1*1)&lt;=MAX('DB Costi-Ore YtD'!$A:$A),SUMIFS('DB Costi-Ore YtD'!$G:$G,'DB Costi-Ore YtD'!$A:$A,H$1,'DB Costi-Ore YtD'!$B:$B,$A42,'DB Costi-Ore YtD'!$E:$E,$C42)-SUM($D42:G42),0)</f>
        <v>4160.6799999999967</v>
      </c>
      <c r="I42">
        <f>IF((I$1*1)&lt;=MAX('DB Costi-Ore YtD'!$A:$A),SUMIFS('DB Costi-Ore YtD'!$G:$G,'DB Costi-Ore YtD'!$A:$A,I$1,'DB Costi-Ore YtD'!$B:$B,$A42,'DB Costi-Ore YtD'!$E:$E,$C42)-SUM($D42:H42),0)</f>
        <v>3655.4300000000003</v>
      </c>
      <c r="J42">
        <f>IF((J$1*1)&lt;=MAX('DB Costi-Ore YtD'!$A:$A),SUMIFS('DB Costi-Ore YtD'!$G:$G,'DB Costi-Ore YtD'!$A:$A,J$1,'DB Costi-Ore YtD'!$B:$B,$A42,'DB Costi-Ore YtD'!$E:$E,$C42)-SUM($D42:I42),0)</f>
        <v>0</v>
      </c>
      <c r="K42">
        <f>IF((K$1*1)&lt;=MAX('DB Costi-Ore YtD'!$A:$A),SUMIFS('DB Costi-Ore YtD'!$G:$G,'DB Costi-Ore YtD'!$A:$A,K$1,'DB Costi-Ore YtD'!$B:$B,$A42,'DB Costi-Ore YtD'!$E:$E,$C42)-SUM($D42:J42),0)</f>
        <v>0</v>
      </c>
      <c r="L42">
        <f>IF((L$1*1)&lt;=MAX('DB Costi-Ore YtD'!$A:$A),SUMIFS('DB Costi-Ore YtD'!$G:$G,'DB Costi-Ore YtD'!$A:$A,L$1,'DB Costi-Ore YtD'!$B:$B,$A42,'DB Costi-Ore YtD'!$E:$E,$C42)-SUM($D42:K42),0)</f>
        <v>0</v>
      </c>
      <c r="M42">
        <f>IF((M$1*1)&lt;=MAX('DB Costi-Ore YtD'!$A:$A),SUMIFS('DB Costi-Ore YtD'!$G:$G,'DB Costi-Ore YtD'!$A:$A,M$1,'DB Costi-Ore YtD'!$B:$B,$A42,'DB Costi-Ore YtD'!$E:$E,$C42)-SUM($D42:L42),0)</f>
        <v>0</v>
      </c>
      <c r="N42">
        <f>IF((N$1*1)&lt;=MAX('DB Costi-Ore YtD'!$A:$A),SUMIFS('DB Costi-Ore YtD'!$G:$G,'DB Costi-Ore YtD'!$A:$A,N$1,'DB Costi-Ore YtD'!$B:$B,$A42,'DB Costi-Ore YtD'!$E:$E,$C42)-SUM($D42:M42),0)</f>
        <v>0</v>
      </c>
      <c r="O42">
        <f>IF((O$1*1)&lt;=MAX('DB Costi-Ore YtD'!$A:$A),SUMIFS('DB Costi-Ore YtD'!$G:$G,'DB Costi-Ore YtD'!$A:$A,O$1,'DB Costi-Ore YtD'!$B:$B,$A42,'DB Costi-Ore YtD'!$E:$E,$C42)-SUM($D42:N42),0)</f>
        <v>0</v>
      </c>
    </row>
    <row r="43" spans="1:15" hidden="1" x14ac:dyDescent="0.3">
      <c r="A43" t="s">
        <v>111</v>
      </c>
      <c r="B43" t="s">
        <v>112</v>
      </c>
      <c r="C43" t="s">
        <v>14</v>
      </c>
      <c r="D43">
        <f>IF((D$1*1)&lt;=MAX('DB Costi-Ore YtD'!$A:$A),SUMIFS('DB Costi-Ore YtD'!$G:$G,'DB Costi-Ore YtD'!$A:$A,D$1,'DB Costi-Ore YtD'!$B:$B,$A43,'DB Costi-Ore YtD'!$E:$E,$C43),0)</f>
        <v>13457.28</v>
      </c>
      <c r="E43">
        <f>IF((E$1*1)&lt;=MAX('DB Costi-Ore YtD'!$A:$A),SUMIFS('DB Costi-Ore YtD'!$G:$G,'DB Costi-Ore YtD'!$A:$A,E$1,'DB Costi-Ore YtD'!$B:$B,$A43,'DB Costi-Ore YtD'!$E:$E,$C43)-SUM($D43:D43),0)</f>
        <v>6194.9499999999989</v>
      </c>
      <c r="F43">
        <f>IF((F$1*1)&lt;=MAX('DB Costi-Ore YtD'!$A:$A),SUMIFS('DB Costi-Ore YtD'!$G:$G,'DB Costi-Ore YtD'!$A:$A,F$1,'DB Costi-Ore YtD'!$B:$B,$A43,'DB Costi-Ore YtD'!$E:$E,$C43)-SUM($D43:E43),0)</f>
        <v>6086.2199999999975</v>
      </c>
      <c r="G43">
        <f>IF((G$1*1)&lt;=MAX('DB Costi-Ore YtD'!$A:$A),SUMIFS('DB Costi-Ore YtD'!$G:$G,'DB Costi-Ore YtD'!$A:$A,G$1,'DB Costi-Ore YtD'!$B:$B,$A43,'DB Costi-Ore YtD'!$E:$E,$C43)-SUM($D43:F43),0)</f>
        <v>5688.9599999999991</v>
      </c>
      <c r="H43">
        <f>IF((H$1*1)&lt;=MAX('DB Costi-Ore YtD'!$A:$A),SUMIFS('DB Costi-Ore YtD'!$G:$G,'DB Costi-Ore YtD'!$A:$A,H$1,'DB Costi-Ore YtD'!$B:$B,$A43,'DB Costi-Ore YtD'!$E:$E,$C43)-SUM($D43:G43),0)</f>
        <v>6072.0399999999936</v>
      </c>
      <c r="I43">
        <f>IF((I$1*1)&lt;=MAX('DB Costi-Ore YtD'!$A:$A),SUMIFS('DB Costi-Ore YtD'!$G:$G,'DB Costi-Ore YtD'!$A:$A,I$1,'DB Costi-Ore YtD'!$B:$B,$A43,'DB Costi-Ore YtD'!$E:$E,$C43)-SUM($D43:H43),0)</f>
        <v>11979.680000000008</v>
      </c>
      <c r="J43">
        <f>IF((J$1*1)&lt;=MAX('DB Costi-Ore YtD'!$A:$A),SUMIFS('DB Costi-Ore YtD'!$G:$G,'DB Costi-Ore YtD'!$A:$A,J$1,'DB Costi-Ore YtD'!$B:$B,$A43,'DB Costi-Ore YtD'!$E:$E,$C43)-SUM($D43:I43),0)</f>
        <v>0</v>
      </c>
      <c r="K43">
        <f>IF((K$1*1)&lt;=MAX('DB Costi-Ore YtD'!$A:$A),SUMIFS('DB Costi-Ore YtD'!$G:$G,'DB Costi-Ore YtD'!$A:$A,K$1,'DB Costi-Ore YtD'!$B:$B,$A43,'DB Costi-Ore YtD'!$E:$E,$C43)-SUM($D43:J43),0)</f>
        <v>0</v>
      </c>
      <c r="L43">
        <f>IF((L$1*1)&lt;=MAX('DB Costi-Ore YtD'!$A:$A),SUMIFS('DB Costi-Ore YtD'!$G:$G,'DB Costi-Ore YtD'!$A:$A,L$1,'DB Costi-Ore YtD'!$B:$B,$A43,'DB Costi-Ore YtD'!$E:$E,$C43)-SUM($D43:K43),0)</f>
        <v>0</v>
      </c>
      <c r="M43">
        <f>IF((M$1*1)&lt;=MAX('DB Costi-Ore YtD'!$A:$A),SUMIFS('DB Costi-Ore YtD'!$G:$G,'DB Costi-Ore YtD'!$A:$A,M$1,'DB Costi-Ore YtD'!$B:$B,$A43,'DB Costi-Ore YtD'!$E:$E,$C43)-SUM($D43:L43),0)</f>
        <v>0</v>
      </c>
      <c r="N43">
        <f>IF((N$1*1)&lt;=MAX('DB Costi-Ore YtD'!$A:$A),SUMIFS('DB Costi-Ore YtD'!$G:$G,'DB Costi-Ore YtD'!$A:$A,N$1,'DB Costi-Ore YtD'!$B:$B,$A43,'DB Costi-Ore YtD'!$E:$E,$C43)-SUM($D43:M43),0)</f>
        <v>0</v>
      </c>
      <c r="O43">
        <f>IF((O$1*1)&lt;=MAX('DB Costi-Ore YtD'!$A:$A),SUMIFS('DB Costi-Ore YtD'!$G:$G,'DB Costi-Ore YtD'!$A:$A,O$1,'DB Costi-Ore YtD'!$B:$B,$A43,'DB Costi-Ore YtD'!$E:$E,$C43)-SUM($D43:N43),0)</f>
        <v>0</v>
      </c>
    </row>
    <row r="44" spans="1:15" hidden="1" x14ac:dyDescent="0.3">
      <c r="A44" t="s">
        <v>113</v>
      </c>
      <c r="B44" t="s">
        <v>114</v>
      </c>
      <c r="C44" t="s">
        <v>3</v>
      </c>
      <c r="D44">
        <f>IF((D$1*1)&lt;=MAX('DB Costi-Ore YtD'!$A:$A),SUMIFS('DB Costi-Ore YtD'!$G:$G,'DB Costi-Ore YtD'!$A:$A,D$1,'DB Costi-Ore YtD'!$B:$B,$A44,'DB Costi-Ore YtD'!$E:$E,$C44),0)</f>
        <v>1385.41</v>
      </c>
      <c r="E44">
        <f>IF((E$1*1)&lt;=MAX('DB Costi-Ore YtD'!$A:$A),SUMIFS('DB Costi-Ore YtD'!$G:$G,'DB Costi-Ore YtD'!$A:$A,E$1,'DB Costi-Ore YtD'!$B:$B,$A44,'DB Costi-Ore YtD'!$E:$E,$C44)-SUM($D44:D44),0)</f>
        <v>1418.5599999999997</v>
      </c>
      <c r="F44">
        <f>IF((F$1*1)&lt;=MAX('DB Costi-Ore YtD'!$A:$A),SUMIFS('DB Costi-Ore YtD'!$G:$G,'DB Costi-Ore YtD'!$A:$A,F$1,'DB Costi-Ore YtD'!$B:$B,$A44,'DB Costi-Ore YtD'!$E:$E,$C44)-SUM($D44:E44),0)</f>
        <v>1353.0000000000005</v>
      </c>
      <c r="G44">
        <f>IF((G$1*1)&lt;=MAX('DB Costi-Ore YtD'!$A:$A),SUMIFS('DB Costi-Ore YtD'!$G:$G,'DB Costi-Ore YtD'!$A:$A,G$1,'DB Costi-Ore YtD'!$B:$B,$A44,'DB Costi-Ore YtD'!$E:$E,$C44)-SUM($D44:F44),0)</f>
        <v>1439.0099999999993</v>
      </c>
      <c r="H44">
        <f>IF((H$1*1)&lt;=MAX('DB Costi-Ore YtD'!$A:$A),SUMIFS('DB Costi-Ore YtD'!$G:$G,'DB Costi-Ore YtD'!$A:$A,H$1,'DB Costi-Ore YtD'!$B:$B,$A44,'DB Costi-Ore YtD'!$E:$E,$C44)-SUM($D44:G44),0)</f>
        <v>1322.1200000000008</v>
      </c>
      <c r="I44">
        <f>IF((I$1*1)&lt;=MAX('DB Costi-Ore YtD'!$A:$A),SUMIFS('DB Costi-Ore YtD'!$G:$G,'DB Costi-Ore YtD'!$A:$A,I$1,'DB Costi-Ore YtD'!$B:$B,$A44,'DB Costi-Ore YtD'!$E:$E,$C44)-SUM($D44:H44),0)</f>
        <v>1402.9400000000005</v>
      </c>
      <c r="J44">
        <f>IF((J$1*1)&lt;=MAX('DB Costi-Ore YtD'!$A:$A),SUMIFS('DB Costi-Ore YtD'!$G:$G,'DB Costi-Ore YtD'!$A:$A,J$1,'DB Costi-Ore YtD'!$B:$B,$A44,'DB Costi-Ore YtD'!$E:$E,$C44)-SUM($D44:I44),0)</f>
        <v>0</v>
      </c>
      <c r="K44">
        <f>IF((K$1*1)&lt;=MAX('DB Costi-Ore YtD'!$A:$A),SUMIFS('DB Costi-Ore YtD'!$G:$G,'DB Costi-Ore YtD'!$A:$A,K$1,'DB Costi-Ore YtD'!$B:$B,$A44,'DB Costi-Ore YtD'!$E:$E,$C44)-SUM($D44:J44),0)</f>
        <v>0</v>
      </c>
      <c r="L44">
        <f>IF((L$1*1)&lt;=MAX('DB Costi-Ore YtD'!$A:$A),SUMIFS('DB Costi-Ore YtD'!$G:$G,'DB Costi-Ore YtD'!$A:$A,L$1,'DB Costi-Ore YtD'!$B:$B,$A44,'DB Costi-Ore YtD'!$E:$E,$C44)-SUM($D44:K44),0)</f>
        <v>0</v>
      </c>
      <c r="M44">
        <f>IF((M$1*1)&lt;=MAX('DB Costi-Ore YtD'!$A:$A),SUMIFS('DB Costi-Ore YtD'!$G:$G,'DB Costi-Ore YtD'!$A:$A,M$1,'DB Costi-Ore YtD'!$B:$B,$A44,'DB Costi-Ore YtD'!$E:$E,$C44)-SUM($D44:L44),0)</f>
        <v>0</v>
      </c>
      <c r="N44">
        <f>IF((N$1*1)&lt;=MAX('DB Costi-Ore YtD'!$A:$A),SUMIFS('DB Costi-Ore YtD'!$G:$G,'DB Costi-Ore YtD'!$A:$A,N$1,'DB Costi-Ore YtD'!$B:$B,$A44,'DB Costi-Ore YtD'!$E:$E,$C44)-SUM($D44:M44),0)</f>
        <v>0</v>
      </c>
      <c r="O44">
        <f>IF((O$1*1)&lt;=MAX('DB Costi-Ore YtD'!$A:$A),SUMIFS('DB Costi-Ore YtD'!$G:$G,'DB Costi-Ore YtD'!$A:$A,O$1,'DB Costi-Ore YtD'!$B:$B,$A44,'DB Costi-Ore YtD'!$E:$E,$C44)-SUM($D44:N44),0)</f>
        <v>0</v>
      </c>
    </row>
    <row r="45" spans="1:15" hidden="1" x14ac:dyDescent="0.3">
      <c r="A45" t="s">
        <v>115</v>
      </c>
      <c r="B45" t="s">
        <v>116</v>
      </c>
      <c r="C45" t="s">
        <v>2</v>
      </c>
      <c r="D45">
        <f>IF((D$1*1)&lt;=MAX('DB Costi-Ore YtD'!$A:$A),SUMIFS('DB Costi-Ore YtD'!$G:$G,'DB Costi-Ore YtD'!$A:$A,D$1,'DB Costi-Ore YtD'!$B:$B,$A45,'DB Costi-Ore YtD'!$E:$E,$C45),0)</f>
        <v>1382.38</v>
      </c>
      <c r="E45">
        <f>IF((E$1*1)&lt;=MAX('DB Costi-Ore YtD'!$A:$A),SUMIFS('DB Costi-Ore YtD'!$G:$G,'DB Costi-Ore YtD'!$A:$A,E$1,'DB Costi-Ore YtD'!$B:$B,$A45,'DB Costi-Ore YtD'!$E:$E,$C45)-SUM($D45:D45),0)</f>
        <v>1640.6400000000003</v>
      </c>
      <c r="F45">
        <f>IF((F$1*1)&lt;=MAX('DB Costi-Ore YtD'!$A:$A),SUMIFS('DB Costi-Ore YtD'!$G:$G,'DB Costi-Ore YtD'!$A:$A,F$1,'DB Costi-Ore YtD'!$B:$B,$A45,'DB Costi-Ore YtD'!$E:$E,$C45)-SUM($D45:E45),0)</f>
        <v>1657.58</v>
      </c>
      <c r="G45">
        <f>IF((G$1*1)&lt;=MAX('DB Costi-Ore YtD'!$A:$A),SUMIFS('DB Costi-Ore YtD'!$G:$G,'DB Costi-Ore YtD'!$A:$A,G$1,'DB Costi-Ore YtD'!$B:$B,$A45,'DB Costi-Ore YtD'!$E:$E,$C45)-SUM($D45:F45),0)</f>
        <v>1765.7599999999993</v>
      </c>
      <c r="H45">
        <f>IF((H$1*1)&lt;=MAX('DB Costi-Ore YtD'!$A:$A),SUMIFS('DB Costi-Ore YtD'!$G:$G,'DB Costi-Ore YtD'!$A:$A,H$1,'DB Costi-Ore YtD'!$B:$B,$A45,'DB Costi-Ore YtD'!$E:$E,$C45)-SUM($D45:G45),0)</f>
        <v>1698.7400000000007</v>
      </c>
      <c r="I45">
        <f>IF((I$1*1)&lt;=MAX('DB Costi-Ore YtD'!$A:$A),SUMIFS('DB Costi-Ore YtD'!$G:$G,'DB Costi-Ore YtD'!$A:$A,I$1,'DB Costi-Ore YtD'!$B:$B,$A45,'DB Costi-Ore YtD'!$E:$E,$C45)-SUM($D45:H45),0)</f>
        <v>1636.7999999999993</v>
      </c>
      <c r="J45">
        <f>IF((J$1*1)&lt;=MAX('DB Costi-Ore YtD'!$A:$A),SUMIFS('DB Costi-Ore YtD'!$G:$G,'DB Costi-Ore YtD'!$A:$A,J$1,'DB Costi-Ore YtD'!$B:$B,$A45,'DB Costi-Ore YtD'!$E:$E,$C45)-SUM($D45:I45),0)</f>
        <v>0</v>
      </c>
      <c r="K45">
        <f>IF((K$1*1)&lt;=MAX('DB Costi-Ore YtD'!$A:$A),SUMIFS('DB Costi-Ore YtD'!$G:$G,'DB Costi-Ore YtD'!$A:$A,K$1,'DB Costi-Ore YtD'!$B:$B,$A45,'DB Costi-Ore YtD'!$E:$E,$C45)-SUM($D45:J45),0)</f>
        <v>0</v>
      </c>
      <c r="L45">
        <f>IF((L$1*1)&lt;=MAX('DB Costi-Ore YtD'!$A:$A),SUMIFS('DB Costi-Ore YtD'!$G:$G,'DB Costi-Ore YtD'!$A:$A,L$1,'DB Costi-Ore YtD'!$B:$B,$A45,'DB Costi-Ore YtD'!$E:$E,$C45)-SUM($D45:K45),0)</f>
        <v>0</v>
      </c>
      <c r="M45">
        <f>IF((M$1*1)&lt;=MAX('DB Costi-Ore YtD'!$A:$A),SUMIFS('DB Costi-Ore YtD'!$G:$G,'DB Costi-Ore YtD'!$A:$A,M$1,'DB Costi-Ore YtD'!$B:$B,$A45,'DB Costi-Ore YtD'!$E:$E,$C45)-SUM($D45:L45),0)</f>
        <v>0</v>
      </c>
      <c r="N45">
        <f>IF((N$1*1)&lt;=MAX('DB Costi-Ore YtD'!$A:$A),SUMIFS('DB Costi-Ore YtD'!$G:$G,'DB Costi-Ore YtD'!$A:$A,N$1,'DB Costi-Ore YtD'!$B:$B,$A45,'DB Costi-Ore YtD'!$E:$E,$C45)-SUM($D45:M45),0)</f>
        <v>0</v>
      </c>
      <c r="O45">
        <f>IF((O$1*1)&lt;=MAX('DB Costi-Ore YtD'!$A:$A),SUMIFS('DB Costi-Ore YtD'!$G:$G,'DB Costi-Ore YtD'!$A:$A,O$1,'DB Costi-Ore YtD'!$B:$B,$A45,'DB Costi-Ore YtD'!$E:$E,$C45)-SUM($D45:N45),0)</f>
        <v>0</v>
      </c>
    </row>
    <row r="46" spans="1:15" hidden="1" x14ac:dyDescent="0.3">
      <c r="A46" t="s">
        <v>117</v>
      </c>
      <c r="B46" t="s">
        <v>118</v>
      </c>
      <c r="C46" t="s">
        <v>2</v>
      </c>
      <c r="D46">
        <f>IF((D$1*1)&lt;=MAX('DB Costi-Ore YtD'!$A:$A),SUMIFS('DB Costi-Ore YtD'!$G:$G,'DB Costi-Ore YtD'!$A:$A,D$1,'DB Costi-Ore YtD'!$B:$B,$A46,'DB Costi-Ore YtD'!$E:$E,$C46),0)</f>
        <v>1843.62</v>
      </c>
      <c r="E46">
        <f>IF((E$1*1)&lt;=MAX('DB Costi-Ore YtD'!$A:$A),SUMIFS('DB Costi-Ore YtD'!$G:$G,'DB Costi-Ore YtD'!$A:$A,E$1,'DB Costi-Ore YtD'!$B:$B,$A46,'DB Costi-Ore YtD'!$E:$E,$C46)-SUM($D46:D46),0)</f>
        <v>1922.7000000000003</v>
      </c>
      <c r="F46">
        <f>IF((F$1*1)&lt;=MAX('DB Costi-Ore YtD'!$A:$A),SUMIFS('DB Costi-Ore YtD'!$G:$G,'DB Costi-Ore YtD'!$A:$A,F$1,'DB Costi-Ore YtD'!$B:$B,$A46,'DB Costi-Ore YtD'!$E:$E,$C46)-SUM($D46:E46),0)</f>
        <v>1836.0499999999997</v>
      </c>
      <c r="G46">
        <f>IF((G$1*1)&lt;=MAX('DB Costi-Ore YtD'!$A:$A),SUMIFS('DB Costi-Ore YtD'!$G:$G,'DB Costi-Ore YtD'!$A:$A,G$1,'DB Costi-Ore YtD'!$B:$B,$A46,'DB Costi-Ore YtD'!$E:$E,$C46)-SUM($D46:F46),0)</f>
        <v>2032.6900000000005</v>
      </c>
      <c r="H46">
        <f>IF((H$1*1)&lt;=MAX('DB Costi-Ore YtD'!$A:$A),SUMIFS('DB Costi-Ore YtD'!$G:$G,'DB Costi-Ore YtD'!$A:$A,H$1,'DB Costi-Ore YtD'!$B:$B,$A46,'DB Costi-Ore YtD'!$E:$E,$C46)-SUM($D46:G46),0)</f>
        <v>1872.3399999999974</v>
      </c>
      <c r="I46">
        <f>IF((I$1*1)&lt;=MAX('DB Costi-Ore YtD'!$A:$A),SUMIFS('DB Costi-Ore YtD'!$G:$G,'DB Costi-Ore YtD'!$A:$A,I$1,'DB Costi-Ore YtD'!$B:$B,$A46,'DB Costi-Ore YtD'!$E:$E,$C46)-SUM($D46:H46),0)</f>
        <v>1880.5200000000041</v>
      </c>
      <c r="J46">
        <f>IF((J$1*1)&lt;=MAX('DB Costi-Ore YtD'!$A:$A),SUMIFS('DB Costi-Ore YtD'!$G:$G,'DB Costi-Ore YtD'!$A:$A,J$1,'DB Costi-Ore YtD'!$B:$B,$A46,'DB Costi-Ore YtD'!$E:$E,$C46)-SUM($D46:I46),0)</f>
        <v>0</v>
      </c>
      <c r="K46">
        <f>IF((K$1*1)&lt;=MAX('DB Costi-Ore YtD'!$A:$A),SUMIFS('DB Costi-Ore YtD'!$G:$G,'DB Costi-Ore YtD'!$A:$A,K$1,'DB Costi-Ore YtD'!$B:$B,$A46,'DB Costi-Ore YtD'!$E:$E,$C46)-SUM($D46:J46),0)</f>
        <v>0</v>
      </c>
      <c r="L46">
        <f>IF((L$1*1)&lt;=MAX('DB Costi-Ore YtD'!$A:$A),SUMIFS('DB Costi-Ore YtD'!$G:$G,'DB Costi-Ore YtD'!$A:$A,L$1,'DB Costi-Ore YtD'!$B:$B,$A46,'DB Costi-Ore YtD'!$E:$E,$C46)-SUM($D46:K46),0)</f>
        <v>0</v>
      </c>
      <c r="M46">
        <f>IF((M$1*1)&lt;=MAX('DB Costi-Ore YtD'!$A:$A),SUMIFS('DB Costi-Ore YtD'!$G:$G,'DB Costi-Ore YtD'!$A:$A,M$1,'DB Costi-Ore YtD'!$B:$B,$A46,'DB Costi-Ore YtD'!$E:$E,$C46)-SUM($D46:L46),0)</f>
        <v>0</v>
      </c>
      <c r="N46">
        <f>IF((N$1*1)&lt;=MAX('DB Costi-Ore YtD'!$A:$A),SUMIFS('DB Costi-Ore YtD'!$G:$G,'DB Costi-Ore YtD'!$A:$A,N$1,'DB Costi-Ore YtD'!$B:$B,$A46,'DB Costi-Ore YtD'!$E:$E,$C46)-SUM($D46:M46),0)</f>
        <v>0</v>
      </c>
      <c r="O46">
        <f>IF((O$1*1)&lt;=MAX('DB Costi-Ore YtD'!$A:$A),SUMIFS('DB Costi-Ore YtD'!$G:$G,'DB Costi-Ore YtD'!$A:$A,O$1,'DB Costi-Ore YtD'!$B:$B,$A46,'DB Costi-Ore YtD'!$E:$E,$C46)-SUM($D46:N46),0)</f>
        <v>0</v>
      </c>
    </row>
    <row r="47" spans="1:15" hidden="1" x14ac:dyDescent="0.3">
      <c r="A47" t="s">
        <v>119</v>
      </c>
      <c r="B47" t="s">
        <v>120</v>
      </c>
      <c r="C47" t="s">
        <v>2</v>
      </c>
      <c r="D47">
        <f>IF((D$1*1)&lt;=MAX('DB Costi-Ore YtD'!$A:$A),SUMIFS('DB Costi-Ore YtD'!$G:$G,'DB Costi-Ore YtD'!$A:$A,D$1,'DB Costi-Ore YtD'!$B:$B,$A47,'DB Costi-Ore YtD'!$E:$E,$C47),0)</f>
        <v>2694.7999999999993</v>
      </c>
      <c r="E47">
        <f>IF((E$1*1)&lt;=MAX('DB Costi-Ore YtD'!$A:$A),SUMIFS('DB Costi-Ore YtD'!$G:$G,'DB Costi-Ore YtD'!$A:$A,E$1,'DB Costi-Ore YtD'!$B:$B,$A47,'DB Costi-Ore YtD'!$E:$E,$C47)-SUM($D47:D47),0)</f>
        <v>2501.0800000000008</v>
      </c>
      <c r="F47">
        <f>IF((F$1*1)&lt;=MAX('DB Costi-Ore YtD'!$A:$A),SUMIFS('DB Costi-Ore YtD'!$G:$G,'DB Costi-Ore YtD'!$A:$A,F$1,'DB Costi-Ore YtD'!$B:$B,$A47,'DB Costi-Ore YtD'!$E:$E,$C47)-SUM($D47:E47),0)</f>
        <v>2677.9400000000005</v>
      </c>
      <c r="G47">
        <f>IF((G$1*1)&lt;=MAX('DB Costi-Ore YtD'!$A:$A),SUMIFS('DB Costi-Ore YtD'!$G:$G,'DB Costi-Ore YtD'!$A:$A,G$1,'DB Costi-Ore YtD'!$B:$B,$A47,'DB Costi-Ore YtD'!$E:$E,$C47)-SUM($D47:F47),0)</f>
        <v>2823.0899999999992</v>
      </c>
      <c r="H47">
        <f>IF((H$1*1)&lt;=MAX('DB Costi-Ore YtD'!$A:$A),SUMIFS('DB Costi-Ore YtD'!$G:$G,'DB Costi-Ore YtD'!$A:$A,H$1,'DB Costi-Ore YtD'!$B:$B,$A47,'DB Costi-Ore YtD'!$E:$E,$C47)-SUM($D47:G47),0)</f>
        <v>2134.5200000000041</v>
      </c>
      <c r="I47">
        <f>IF((I$1*1)&lt;=MAX('DB Costi-Ore YtD'!$A:$A),SUMIFS('DB Costi-Ore YtD'!$G:$G,'DB Costi-Ore YtD'!$A:$A,I$1,'DB Costi-Ore YtD'!$B:$B,$A47,'DB Costi-Ore YtD'!$E:$E,$C47)-SUM($D47:H47),0)</f>
        <v>2727.2099999999991</v>
      </c>
      <c r="J47">
        <f>IF((J$1*1)&lt;=MAX('DB Costi-Ore YtD'!$A:$A),SUMIFS('DB Costi-Ore YtD'!$G:$G,'DB Costi-Ore YtD'!$A:$A,J$1,'DB Costi-Ore YtD'!$B:$B,$A47,'DB Costi-Ore YtD'!$E:$E,$C47)-SUM($D47:I47),0)</f>
        <v>0</v>
      </c>
      <c r="K47">
        <f>IF((K$1*1)&lt;=MAX('DB Costi-Ore YtD'!$A:$A),SUMIFS('DB Costi-Ore YtD'!$G:$G,'DB Costi-Ore YtD'!$A:$A,K$1,'DB Costi-Ore YtD'!$B:$B,$A47,'DB Costi-Ore YtD'!$E:$E,$C47)-SUM($D47:J47),0)</f>
        <v>0</v>
      </c>
      <c r="L47">
        <f>IF((L$1*1)&lt;=MAX('DB Costi-Ore YtD'!$A:$A),SUMIFS('DB Costi-Ore YtD'!$G:$G,'DB Costi-Ore YtD'!$A:$A,L$1,'DB Costi-Ore YtD'!$B:$B,$A47,'DB Costi-Ore YtD'!$E:$E,$C47)-SUM($D47:K47),0)</f>
        <v>0</v>
      </c>
      <c r="M47">
        <f>IF((M$1*1)&lt;=MAX('DB Costi-Ore YtD'!$A:$A),SUMIFS('DB Costi-Ore YtD'!$G:$G,'DB Costi-Ore YtD'!$A:$A,M$1,'DB Costi-Ore YtD'!$B:$B,$A47,'DB Costi-Ore YtD'!$E:$E,$C47)-SUM($D47:L47),0)</f>
        <v>0</v>
      </c>
      <c r="N47">
        <f>IF((N$1*1)&lt;=MAX('DB Costi-Ore YtD'!$A:$A),SUMIFS('DB Costi-Ore YtD'!$G:$G,'DB Costi-Ore YtD'!$A:$A,N$1,'DB Costi-Ore YtD'!$B:$B,$A47,'DB Costi-Ore YtD'!$E:$E,$C47)-SUM($D47:M47),0)</f>
        <v>0</v>
      </c>
      <c r="O47">
        <f>IF((O$1*1)&lt;=MAX('DB Costi-Ore YtD'!$A:$A),SUMIFS('DB Costi-Ore YtD'!$G:$G,'DB Costi-Ore YtD'!$A:$A,O$1,'DB Costi-Ore YtD'!$B:$B,$A47,'DB Costi-Ore YtD'!$E:$E,$C47)-SUM($D47:N47),0)</f>
        <v>0</v>
      </c>
    </row>
    <row r="48" spans="1:15" hidden="1" x14ac:dyDescent="0.3">
      <c r="A48" t="s">
        <v>121</v>
      </c>
      <c r="B48" t="s">
        <v>122</v>
      </c>
      <c r="C48" t="s">
        <v>3</v>
      </c>
      <c r="D48">
        <f>IF((D$1*1)&lt;=MAX('DB Costi-Ore YtD'!$A:$A),SUMIFS('DB Costi-Ore YtD'!$G:$G,'DB Costi-Ore YtD'!$A:$A,D$1,'DB Costi-Ore YtD'!$B:$B,$A48,'DB Costi-Ore YtD'!$E:$E,$C48),0)</f>
        <v>3006.72</v>
      </c>
      <c r="E48">
        <f>IF((E$1*1)&lt;=MAX('DB Costi-Ore YtD'!$A:$A),SUMIFS('DB Costi-Ore YtD'!$G:$G,'DB Costi-Ore YtD'!$A:$A,E$1,'DB Costi-Ore YtD'!$B:$B,$A48,'DB Costi-Ore YtD'!$E:$E,$C48)-SUM($D48:D48),0)</f>
        <v>2207.0700000000011</v>
      </c>
      <c r="F48">
        <f>IF((F$1*1)&lt;=MAX('DB Costi-Ore YtD'!$A:$A),SUMIFS('DB Costi-Ore YtD'!$G:$G,'DB Costi-Ore YtD'!$A:$A,F$1,'DB Costi-Ore YtD'!$B:$B,$A48,'DB Costi-Ore YtD'!$E:$E,$C48)-SUM($D48:E48),0)</f>
        <v>2454.67</v>
      </c>
      <c r="G48">
        <f>IF((G$1*1)&lt;=MAX('DB Costi-Ore YtD'!$A:$A),SUMIFS('DB Costi-Ore YtD'!$G:$G,'DB Costi-Ore YtD'!$A:$A,G$1,'DB Costi-Ore YtD'!$B:$B,$A48,'DB Costi-Ore YtD'!$E:$E,$C48)-SUM($D48:F48),0)</f>
        <v>2798.6800000000003</v>
      </c>
      <c r="H48">
        <f>IF((H$1*1)&lt;=MAX('DB Costi-Ore YtD'!$A:$A),SUMIFS('DB Costi-Ore YtD'!$G:$G,'DB Costi-Ore YtD'!$A:$A,H$1,'DB Costi-Ore YtD'!$B:$B,$A48,'DB Costi-Ore YtD'!$E:$E,$C48)-SUM($D48:G48),0)</f>
        <v>2705.51</v>
      </c>
      <c r="I48">
        <f>IF((I$1*1)&lt;=MAX('DB Costi-Ore YtD'!$A:$A),SUMIFS('DB Costi-Ore YtD'!$G:$G,'DB Costi-Ore YtD'!$A:$A,I$1,'DB Costi-Ore YtD'!$B:$B,$A48,'DB Costi-Ore YtD'!$E:$E,$C48)-SUM($D48:H48),0)</f>
        <v>2552.559999999994</v>
      </c>
      <c r="J48">
        <f>IF((J$1*1)&lt;=MAX('DB Costi-Ore YtD'!$A:$A),SUMIFS('DB Costi-Ore YtD'!$G:$G,'DB Costi-Ore YtD'!$A:$A,J$1,'DB Costi-Ore YtD'!$B:$B,$A48,'DB Costi-Ore YtD'!$E:$E,$C48)-SUM($D48:I48),0)</f>
        <v>0</v>
      </c>
      <c r="K48">
        <f>IF((K$1*1)&lt;=MAX('DB Costi-Ore YtD'!$A:$A),SUMIFS('DB Costi-Ore YtD'!$G:$G,'DB Costi-Ore YtD'!$A:$A,K$1,'DB Costi-Ore YtD'!$B:$B,$A48,'DB Costi-Ore YtD'!$E:$E,$C48)-SUM($D48:J48),0)</f>
        <v>0</v>
      </c>
      <c r="L48">
        <f>IF((L$1*1)&lt;=MAX('DB Costi-Ore YtD'!$A:$A),SUMIFS('DB Costi-Ore YtD'!$G:$G,'DB Costi-Ore YtD'!$A:$A,L$1,'DB Costi-Ore YtD'!$B:$B,$A48,'DB Costi-Ore YtD'!$E:$E,$C48)-SUM($D48:K48),0)</f>
        <v>0</v>
      </c>
      <c r="M48">
        <f>IF((M$1*1)&lt;=MAX('DB Costi-Ore YtD'!$A:$A),SUMIFS('DB Costi-Ore YtD'!$G:$G,'DB Costi-Ore YtD'!$A:$A,M$1,'DB Costi-Ore YtD'!$B:$B,$A48,'DB Costi-Ore YtD'!$E:$E,$C48)-SUM($D48:L48),0)</f>
        <v>0</v>
      </c>
      <c r="N48">
        <f>IF((N$1*1)&lt;=MAX('DB Costi-Ore YtD'!$A:$A),SUMIFS('DB Costi-Ore YtD'!$G:$G,'DB Costi-Ore YtD'!$A:$A,N$1,'DB Costi-Ore YtD'!$B:$B,$A48,'DB Costi-Ore YtD'!$E:$E,$C48)-SUM($D48:M48),0)</f>
        <v>0</v>
      </c>
      <c r="O48">
        <f>IF((O$1*1)&lt;=MAX('DB Costi-Ore YtD'!$A:$A),SUMIFS('DB Costi-Ore YtD'!$G:$G,'DB Costi-Ore YtD'!$A:$A,O$1,'DB Costi-Ore YtD'!$B:$B,$A48,'DB Costi-Ore YtD'!$E:$E,$C48)-SUM($D48:N48),0)</f>
        <v>0</v>
      </c>
    </row>
    <row r="49" spans="1:15" hidden="1" x14ac:dyDescent="0.3">
      <c r="A49" t="s">
        <v>123</v>
      </c>
      <c r="B49" t="s">
        <v>124</v>
      </c>
      <c r="C49" t="s">
        <v>5</v>
      </c>
      <c r="D49">
        <f>IF((D$1*1)&lt;=MAX('DB Costi-Ore YtD'!$A:$A),SUMIFS('DB Costi-Ore YtD'!$G:$G,'DB Costi-Ore YtD'!$A:$A,D$1,'DB Costi-Ore YtD'!$B:$B,$A49,'DB Costi-Ore YtD'!$E:$E,$C49),0)</f>
        <v>1385.31</v>
      </c>
      <c r="E49">
        <f>IF((E$1*1)&lt;=MAX('DB Costi-Ore YtD'!$A:$A),SUMIFS('DB Costi-Ore YtD'!$G:$G,'DB Costi-Ore YtD'!$A:$A,E$1,'DB Costi-Ore YtD'!$B:$B,$A49,'DB Costi-Ore YtD'!$E:$E,$C49)-SUM($D49:D49),0)</f>
        <v>1205.5999999999999</v>
      </c>
      <c r="F49">
        <f>IF((F$1*1)&lt;=MAX('DB Costi-Ore YtD'!$A:$A),SUMIFS('DB Costi-Ore YtD'!$G:$G,'DB Costi-Ore YtD'!$A:$A,F$1,'DB Costi-Ore YtD'!$B:$B,$A49,'DB Costi-Ore YtD'!$E:$E,$C49)-SUM($D49:E49),0)</f>
        <v>1339.2000000000003</v>
      </c>
      <c r="G49">
        <f>IF((G$1*1)&lt;=MAX('DB Costi-Ore YtD'!$A:$A),SUMIFS('DB Costi-Ore YtD'!$G:$G,'DB Costi-Ore YtD'!$A:$A,G$1,'DB Costi-Ore YtD'!$B:$B,$A49,'DB Costi-Ore YtD'!$E:$E,$C49)-SUM($D49:F49),0)</f>
        <v>1312.9199999999996</v>
      </c>
      <c r="H49">
        <f>IF((H$1*1)&lt;=MAX('DB Costi-Ore YtD'!$A:$A),SUMIFS('DB Costi-Ore YtD'!$G:$G,'DB Costi-Ore YtD'!$A:$A,H$1,'DB Costi-Ore YtD'!$B:$B,$A49,'DB Costi-Ore YtD'!$E:$E,$C49)-SUM($D49:G49),0)</f>
        <v>1298.8900000000003</v>
      </c>
      <c r="I49">
        <f>IF((I$1*1)&lt;=MAX('DB Costi-Ore YtD'!$A:$A),SUMIFS('DB Costi-Ore YtD'!$G:$G,'DB Costi-Ore YtD'!$A:$A,I$1,'DB Costi-Ore YtD'!$B:$B,$A49,'DB Costi-Ore YtD'!$E:$E,$C49)-SUM($D49:H49),0)</f>
        <v>5.0499999999992724</v>
      </c>
      <c r="J49">
        <f>IF((J$1*1)&lt;=MAX('DB Costi-Ore YtD'!$A:$A),SUMIFS('DB Costi-Ore YtD'!$G:$G,'DB Costi-Ore YtD'!$A:$A,J$1,'DB Costi-Ore YtD'!$B:$B,$A49,'DB Costi-Ore YtD'!$E:$E,$C49)-SUM($D49:I49),0)</f>
        <v>0</v>
      </c>
      <c r="K49">
        <f>IF((K$1*1)&lt;=MAX('DB Costi-Ore YtD'!$A:$A),SUMIFS('DB Costi-Ore YtD'!$G:$G,'DB Costi-Ore YtD'!$A:$A,K$1,'DB Costi-Ore YtD'!$B:$B,$A49,'DB Costi-Ore YtD'!$E:$E,$C49)-SUM($D49:J49),0)</f>
        <v>0</v>
      </c>
      <c r="L49">
        <f>IF((L$1*1)&lt;=MAX('DB Costi-Ore YtD'!$A:$A),SUMIFS('DB Costi-Ore YtD'!$G:$G,'DB Costi-Ore YtD'!$A:$A,L$1,'DB Costi-Ore YtD'!$B:$B,$A49,'DB Costi-Ore YtD'!$E:$E,$C49)-SUM($D49:K49),0)</f>
        <v>0</v>
      </c>
      <c r="M49">
        <f>IF((M$1*1)&lt;=MAX('DB Costi-Ore YtD'!$A:$A),SUMIFS('DB Costi-Ore YtD'!$G:$G,'DB Costi-Ore YtD'!$A:$A,M$1,'DB Costi-Ore YtD'!$B:$B,$A49,'DB Costi-Ore YtD'!$E:$E,$C49)-SUM($D49:L49),0)</f>
        <v>0</v>
      </c>
      <c r="N49">
        <f>IF((N$1*1)&lt;=MAX('DB Costi-Ore YtD'!$A:$A),SUMIFS('DB Costi-Ore YtD'!$G:$G,'DB Costi-Ore YtD'!$A:$A,N$1,'DB Costi-Ore YtD'!$B:$B,$A49,'DB Costi-Ore YtD'!$E:$E,$C49)-SUM($D49:M49),0)</f>
        <v>0</v>
      </c>
      <c r="O49">
        <f>IF((O$1*1)&lt;=MAX('DB Costi-Ore YtD'!$A:$A),SUMIFS('DB Costi-Ore YtD'!$G:$G,'DB Costi-Ore YtD'!$A:$A,O$1,'DB Costi-Ore YtD'!$B:$B,$A49,'DB Costi-Ore YtD'!$E:$E,$C49)-SUM($D49:N49),0)</f>
        <v>0</v>
      </c>
    </row>
    <row r="50" spans="1:15" hidden="1" x14ac:dyDescent="0.3">
      <c r="A50" t="s">
        <v>125</v>
      </c>
      <c r="B50" t="s">
        <v>126</v>
      </c>
      <c r="C50" t="s">
        <v>2</v>
      </c>
      <c r="D50">
        <f>IF((D$1*1)&lt;=MAX('DB Costi-Ore YtD'!$A:$A),SUMIFS('DB Costi-Ore YtD'!$G:$G,'DB Costi-Ore YtD'!$A:$A,D$1,'DB Costi-Ore YtD'!$B:$B,$A50,'DB Costi-Ore YtD'!$E:$E,$C50),0)</f>
        <v>3047.43</v>
      </c>
      <c r="E50">
        <f>IF((E$1*1)&lt;=MAX('DB Costi-Ore YtD'!$A:$A),SUMIFS('DB Costi-Ore YtD'!$G:$G,'DB Costi-Ore YtD'!$A:$A,E$1,'DB Costi-Ore YtD'!$B:$B,$A50,'DB Costi-Ore YtD'!$E:$E,$C50)-SUM($D50:D50),0)</f>
        <v>2867.7100000000005</v>
      </c>
      <c r="F50">
        <f>IF((F$1*1)&lt;=MAX('DB Costi-Ore YtD'!$A:$A),SUMIFS('DB Costi-Ore YtD'!$G:$G,'DB Costi-Ore YtD'!$A:$A,F$1,'DB Costi-Ore YtD'!$B:$B,$A50,'DB Costi-Ore YtD'!$E:$E,$C50)-SUM($D50:E50),0)</f>
        <v>2839.3300000000008</v>
      </c>
      <c r="G50">
        <f>IF((G$1*1)&lt;=MAX('DB Costi-Ore YtD'!$A:$A),SUMIFS('DB Costi-Ore YtD'!$G:$G,'DB Costi-Ore YtD'!$A:$A,G$1,'DB Costi-Ore YtD'!$B:$B,$A50,'DB Costi-Ore YtD'!$E:$E,$C50)-SUM($D50:F50),0)</f>
        <v>3186.9199999999983</v>
      </c>
      <c r="H50">
        <f>IF((H$1*1)&lt;=MAX('DB Costi-Ore YtD'!$A:$A),SUMIFS('DB Costi-Ore YtD'!$G:$G,'DB Costi-Ore YtD'!$A:$A,H$1,'DB Costi-Ore YtD'!$B:$B,$A50,'DB Costi-Ore YtD'!$E:$E,$C50)-SUM($D50:G50),0)</f>
        <v>2884.83</v>
      </c>
      <c r="I50">
        <f>IF((I$1*1)&lt;=MAX('DB Costi-Ore YtD'!$A:$A),SUMIFS('DB Costi-Ore YtD'!$G:$G,'DB Costi-Ore YtD'!$A:$A,I$1,'DB Costi-Ore YtD'!$B:$B,$A50,'DB Costi-Ore YtD'!$E:$E,$C50)-SUM($D50:H50),0)</f>
        <v>2842.0800000000036</v>
      </c>
      <c r="J50">
        <f>IF((J$1*1)&lt;=MAX('DB Costi-Ore YtD'!$A:$A),SUMIFS('DB Costi-Ore YtD'!$G:$G,'DB Costi-Ore YtD'!$A:$A,J$1,'DB Costi-Ore YtD'!$B:$B,$A50,'DB Costi-Ore YtD'!$E:$E,$C50)-SUM($D50:I50),0)</f>
        <v>0</v>
      </c>
      <c r="K50">
        <f>IF((K$1*1)&lt;=MAX('DB Costi-Ore YtD'!$A:$A),SUMIFS('DB Costi-Ore YtD'!$G:$G,'DB Costi-Ore YtD'!$A:$A,K$1,'DB Costi-Ore YtD'!$B:$B,$A50,'DB Costi-Ore YtD'!$E:$E,$C50)-SUM($D50:J50),0)</f>
        <v>0</v>
      </c>
      <c r="L50">
        <f>IF((L$1*1)&lt;=MAX('DB Costi-Ore YtD'!$A:$A),SUMIFS('DB Costi-Ore YtD'!$G:$G,'DB Costi-Ore YtD'!$A:$A,L$1,'DB Costi-Ore YtD'!$B:$B,$A50,'DB Costi-Ore YtD'!$E:$E,$C50)-SUM($D50:K50),0)</f>
        <v>0</v>
      </c>
      <c r="M50">
        <f>IF((M$1*1)&lt;=MAX('DB Costi-Ore YtD'!$A:$A),SUMIFS('DB Costi-Ore YtD'!$G:$G,'DB Costi-Ore YtD'!$A:$A,M$1,'DB Costi-Ore YtD'!$B:$B,$A50,'DB Costi-Ore YtD'!$E:$E,$C50)-SUM($D50:L50),0)</f>
        <v>0</v>
      </c>
      <c r="N50">
        <f>IF((N$1*1)&lt;=MAX('DB Costi-Ore YtD'!$A:$A),SUMIFS('DB Costi-Ore YtD'!$G:$G,'DB Costi-Ore YtD'!$A:$A,N$1,'DB Costi-Ore YtD'!$B:$B,$A50,'DB Costi-Ore YtD'!$E:$E,$C50)-SUM($D50:M50),0)</f>
        <v>0</v>
      </c>
      <c r="O50">
        <f>IF((O$1*1)&lt;=MAX('DB Costi-Ore YtD'!$A:$A),SUMIFS('DB Costi-Ore YtD'!$G:$G,'DB Costi-Ore YtD'!$A:$A,O$1,'DB Costi-Ore YtD'!$B:$B,$A50,'DB Costi-Ore YtD'!$E:$E,$C50)-SUM($D50:N50),0)</f>
        <v>0</v>
      </c>
    </row>
    <row r="51" spans="1:15" hidden="1" x14ac:dyDescent="0.3">
      <c r="A51" t="s">
        <v>127</v>
      </c>
      <c r="B51" t="s">
        <v>128</v>
      </c>
      <c r="C51" t="s">
        <v>2</v>
      </c>
      <c r="D51">
        <f>IF((D$1*1)&lt;=MAX('DB Costi-Ore YtD'!$A:$A),SUMIFS('DB Costi-Ore YtD'!$G:$G,'DB Costi-Ore YtD'!$A:$A,D$1,'DB Costi-Ore YtD'!$B:$B,$A51,'DB Costi-Ore YtD'!$E:$E,$C51),0)</f>
        <v>2576.4299999999998</v>
      </c>
      <c r="E51">
        <f>IF((E$1*1)&lt;=MAX('DB Costi-Ore YtD'!$A:$A),SUMIFS('DB Costi-Ore YtD'!$G:$G,'DB Costi-Ore YtD'!$A:$A,E$1,'DB Costi-Ore YtD'!$B:$B,$A51,'DB Costi-Ore YtD'!$E:$E,$C51)-SUM($D51:D51),0)</f>
        <v>2458.6700000000005</v>
      </c>
      <c r="F51">
        <f>IF((F$1*1)&lt;=MAX('DB Costi-Ore YtD'!$A:$A),SUMIFS('DB Costi-Ore YtD'!$G:$G,'DB Costi-Ore YtD'!$A:$A,F$1,'DB Costi-Ore YtD'!$B:$B,$A51,'DB Costi-Ore YtD'!$E:$E,$C51)-SUM($D51:E51),0)</f>
        <v>2319.5299999999988</v>
      </c>
      <c r="G51">
        <f>IF((G$1*1)&lt;=MAX('DB Costi-Ore YtD'!$A:$A),SUMIFS('DB Costi-Ore YtD'!$G:$G,'DB Costi-Ore YtD'!$A:$A,G$1,'DB Costi-Ore YtD'!$B:$B,$A51,'DB Costi-Ore YtD'!$E:$E,$C51)-SUM($D51:F51),0)</f>
        <v>2121.3899999999994</v>
      </c>
      <c r="H51">
        <f>IF((H$1*1)&lt;=MAX('DB Costi-Ore YtD'!$A:$A),SUMIFS('DB Costi-Ore YtD'!$G:$G,'DB Costi-Ore YtD'!$A:$A,H$1,'DB Costi-Ore YtD'!$B:$B,$A51,'DB Costi-Ore YtD'!$E:$E,$C51)-SUM($D51:G51),0)</f>
        <v>2464.16</v>
      </c>
      <c r="I51">
        <f>IF((I$1*1)&lt;=MAX('DB Costi-Ore YtD'!$A:$A),SUMIFS('DB Costi-Ore YtD'!$G:$G,'DB Costi-Ore YtD'!$A:$A,I$1,'DB Costi-Ore YtD'!$B:$B,$A51,'DB Costi-Ore YtD'!$E:$E,$C51)-SUM($D51:H51),0)</f>
        <v>2501.1299999999992</v>
      </c>
      <c r="J51">
        <f>IF((J$1*1)&lt;=MAX('DB Costi-Ore YtD'!$A:$A),SUMIFS('DB Costi-Ore YtD'!$G:$G,'DB Costi-Ore YtD'!$A:$A,J$1,'DB Costi-Ore YtD'!$B:$B,$A51,'DB Costi-Ore YtD'!$E:$E,$C51)-SUM($D51:I51),0)</f>
        <v>0</v>
      </c>
      <c r="K51">
        <f>IF((K$1*1)&lt;=MAX('DB Costi-Ore YtD'!$A:$A),SUMIFS('DB Costi-Ore YtD'!$G:$G,'DB Costi-Ore YtD'!$A:$A,K$1,'DB Costi-Ore YtD'!$B:$B,$A51,'DB Costi-Ore YtD'!$E:$E,$C51)-SUM($D51:J51),0)</f>
        <v>0</v>
      </c>
      <c r="L51">
        <f>IF((L$1*1)&lt;=MAX('DB Costi-Ore YtD'!$A:$A),SUMIFS('DB Costi-Ore YtD'!$G:$G,'DB Costi-Ore YtD'!$A:$A,L$1,'DB Costi-Ore YtD'!$B:$B,$A51,'DB Costi-Ore YtD'!$E:$E,$C51)-SUM($D51:K51),0)</f>
        <v>0</v>
      </c>
      <c r="M51">
        <f>IF((M$1*1)&lt;=MAX('DB Costi-Ore YtD'!$A:$A),SUMIFS('DB Costi-Ore YtD'!$G:$G,'DB Costi-Ore YtD'!$A:$A,M$1,'DB Costi-Ore YtD'!$B:$B,$A51,'DB Costi-Ore YtD'!$E:$E,$C51)-SUM($D51:L51),0)</f>
        <v>0</v>
      </c>
      <c r="N51">
        <f>IF((N$1*1)&lt;=MAX('DB Costi-Ore YtD'!$A:$A),SUMIFS('DB Costi-Ore YtD'!$G:$G,'DB Costi-Ore YtD'!$A:$A,N$1,'DB Costi-Ore YtD'!$B:$B,$A51,'DB Costi-Ore YtD'!$E:$E,$C51)-SUM($D51:M51),0)</f>
        <v>0</v>
      </c>
      <c r="O51">
        <f>IF((O$1*1)&lt;=MAX('DB Costi-Ore YtD'!$A:$A),SUMIFS('DB Costi-Ore YtD'!$G:$G,'DB Costi-Ore YtD'!$A:$A,O$1,'DB Costi-Ore YtD'!$B:$B,$A51,'DB Costi-Ore YtD'!$E:$E,$C51)-SUM($D51:N51),0)</f>
        <v>0</v>
      </c>
    </row>
    <row r="52" spans="1:15" hidden="1" x14ac:dyDescent="0.3">
      <c r="A52" t="s">
        <v>129</v>
      </c>
      <c r="B52" t="s">
        <v>130</v>
      </c>
      <c r="C52" t="s">
        <v>11</v>
      </c>
      <c r="D52">
        <f>IF((D$1*1)&lt;=MAX('DB Costi-Ore YtD'!$A:$A),SUMIFS('DB Costi-Ore YtD'!$G:$G,'DB Costi-Ore YtD'!$A:$A,D$1,'DB Costi-Ore YtD'!$B:$B,$A52,'DB Costi-Ore YtD'!$E:$E,$C52),0)</f>
        <v>6073.03</v>
      </c>
      <c r="E52">
        <f>IF((E$1*1)&lt;=MAX('DB Costi-Ore YtD'!$A:$A),SUMIFS('DB Costi-Ore YtD'!$G:$G,'DB Costi-Ore YtD'!$A:$A,E$1,'DB Costi-Ore YtD'!$B:$B,$A52,'DB Costi-Ore YtD'!$E:$E,$C52)-SUM($D52:D52),0)</f>
        <v>5301.81</v>
      </c>
      <c r="F52">
        <f>IF((F$1*1)&lt;=MAX('DB Costi-Ore YtD'!$A:$A),SUMIFS('DB Costi-Ore YtD'!$G:$G,'DB Costi-Ore YtD'!$A:$A,F$1,'DB Costi-Ore YtD'!$B:$B,$A52,'DB Costi-Ore YtD'!$E:$E,$C52)-SUM($D52:E52),0)</f>
        <v>5390.41</v>
      </c>
      <c r="G52">
        <f>IF((G$1*1)&lt;=MAX('DB Costi-Ore YtD'!$A:$A),SUMIFS('DB Costi-Ore YtD'!$G:$G,'DB Costi-Ore YtD'!$A:$A,G$1,'DB Costi-Ore YtD'!$B:$B,$A52,'DB Costi-Ore YtD'!$E:$E,$C52)-SUM($D52:F52),0)</f>
        <v>6841.59</v>
      </c>
      <c r="H52">
        <f>IF((H$1*1)&lt;=MAX('DB Costi-Ore YtD'!$A:$A),SUMIFS('DB Costi-Ore YtD'!$G:$G,'DB Costi-Ore YtD'!$A:$A,H$1,'DB Costi-Ore YtD'!$B:$B,$A52,'DB Costi-Ore YtD'!$E:$E,$C52)-SUM($D52:G52),0)</f>
        <v>5200.9300000000039</v>
      </c>
      <c r="I52">
        <f>IF((I$1*1)&lt;=MAX('DB Costi-Ore YtD'!$A:$A),SUMIFS('DB Costi-Ore YtD'!$G:$G,'DB Costi-Ore YtD'!$A:$A,I$1,'DB Costi-Ore YtD'!$B:$B,$A52,'DB Costi-Ore YtD'!$E:$E,$C52)-SUM($D52:H52),0)</f>
        <v>4203.8899999999994</v>
      </c>
      <c r="J52">
        <f>IF((J$1*1)&lt;=MAX('DB Costi-Ore YtD'!$A:$A),SUMIFS('DB Costi-Ore YtD'!$G:$G,'DB Costi-Ore YtD'!$A:$A,J$1,'DB Costi-Ore YtD'!$B:$B,$A52,'DB Costi-Ore YtD'!$E:$E,$C52)-SUM($D52:I52),0)</f>
        <v>0</v>
      </c>
      <c r="K52">
        <f>IF((K$1*1)&lt;=MAX('DB Costi-Ore YtD'!$A:$A),SUMIFS('DB Costi-Ore YtD'!$G:$G,'DB Costi-Ore YtD'!$A:$A,K$1,'DB Costi-Ore YtD'!$B:$B,$A52,'DB Costi-Ore YtD'!$E:$E,$C52)-SUM($D52:J52),0)</f>
        <v>0</v>
      </c>
      <c r="L52">
        <f>IF((L$1*1)&lt;=MAX('DB Costi-Ore YtD'!$A:$A),SUMIFS('DB Costi-Ore YtD'!$G:$G,'DB Costi-Ore YtD'!$A:$A,L$1,'DB Costi-Ore YtD'!$B:$B,$A52,'DB Costi-Ore YtD'!$E:$E,$C52)-SUM($D52:K52),0)</f>
        <v>0</v>
      </c>
      <c r="M52">
        <f>IF((M$1*1)&lt;=MAX('DB Costi-Ore YtD'!$A:$A),SUMIFS('DB Costi-Ore YtD'!$G:$G,'DB Costi-Ore YtD'!$A:$A,M$1,'DB Costi-Ore YtD'!$B:$B,$A52,'DB Costi-Ore YtD'!$E:$E,$C52)-SUM($D52:L52),0)</f>
        <v>0</v>
      </c>
      <c r="N52">
        <f>IF((N$1*1)&lt;=MAX('DB Costi-Ore YtD'!$A:$A),SUMIFS('DB Costi-Ore YtD'!$G:$G,'DB Costi-Ore YtD'!$A:$A,N$1,'DB Costi-Ore YtD'!$B:$B,$A52,'DB Costi-Ore YtD'!$E:$E,$C52)-SUM($D52:M52),0)</f>
        <v>0</v>
      </c>
      <c r="O52">
        <f>IF((O$1*1)&lt;=MAX('DB Costi-Ore YtD'!$A:$A),SUMIFS('DB Costi-Ore YtD'!$G:$G,'DB Costi-Ore YtD'!$A:$A,O$1,'DB Costi-Ore YtD'!$B:$B,$A52,'DB Costi-Ore YtD'!$E:$E,$C52)-SUM($D52:N52),0)</f>
        <v>0</v>
      </c>
    </row>
    <row r="53" spans="1:15" hidden="1" x14ac:dyDescent="0.3">
      <c r="A53" t="s">
        <v>131</v>
      </c>
      <c r="B53" t="s">
        <v>132</v>
      </c>
      <c r="C53" t="s">
        <v>2</v>
      </c>
      <c r="D53">
        <f>IF((D$1*1)&lt;=MAX('DB Costi-Ore YtD'!$A:$A),SUMIFS('DB Costi-Ore YtD'!$G:$G,'DB Costi-Ore YtD'!$A:$A,D$1,'DB Costi-Ore YtD'!$B:$B,$A53,'DB Costi-Ore YtD'!$E:$E,$C53),0)</f>
        <v>2502.9800000000005</v>
      </c>
      <c r="E53">
        <f>IF((E$1*1)&lt;=MAX('DB Costi-Ore YtD'!$A:$A),SUMIFS('DB Costi-Ore YtD'!$G:$G,'DB Costi-Ore YtD'!$A:$A,E$1,'DB Costi-Ore YtD'!$B:$B,$A53,'DB Costi-Ore YtD'!$E:$E,$C53)-SUM($D53:D53),0)</f>
        <v>2015.79</v>
      </c>
      <c r="F53">
        <f>IF((F$1*1)&lt;=MAX('DB Costi-Ore YtD'!$A:$A),SUMIFS('DB Costi-Ore YtD'!$G:$G,'DB Costi-Ore YtD'!$A:$A,F$1,'DB Costi-Ore YtD'!$B:$B,$A53,'DB Costi-Ore YtD'!$E:$E,$C53)-SUM($D53:E53),0)</f>
        <v>1565.6699999999992</v>
      </c>
      <c r="G53">
        <f>IF((G$1*1)&lt;=MAX('DB Costi-Ore YtD'!$A:$A),SUMIFS('DB Costi-Ore YtD'!$G:$G,'DB Costi-Ore YtD'!$A:$A,G$1,'DB Costi-Ore YtD'!$B:$B,$A53,'DB Costi-Ore YtD'!$E:$E,$C53)-SUM($D53:F53),0)</f>
        <v>1093.6000000000013</v>
      </c>
      <c r="H53">
        <f>IF((H$1*1)&lt;=MAX('DB Costi-Ore YtD'!$A:$A),SUMIFS('DB Costi-Ore YtD'!$G:$G,'DB Costi-Ore YtD'!$A:$A,H$1,'DB Costi-Ore YtD'!$B:$B,$A53,'DB Costi-Ore YtD'!$E:$E,$C53)-SUM($D53:G53),0)</f>
        <v>494.41000000000167</v>
      </c>
      <c r="I53">
        <f>IF((I$1*1)&lt;=MAX('DB Costi-Ore YtD'!$A:$A),SUMIFS('DB Costi-Ore YtD'!$G:$G,'DB Costi-Ore YtD'!$A:$A,I$1,'DB Costi-Ore YtD'!$B:$B,$A53,'DB Costi-Ore YtD'!$E:$E,$C53)-SUM($D53:H53),0)</f>
        <v>1824.9699999999975</v>
      </c>
      <c r="J53">
        <f>IF((J$1*1)&lt;=MAX('DB Costi-Ore YtD'!$A:$A),SUMIFS('DB Costi-Ore YtD'!$G:$G,'DB Costi-Ore YtD'!$A:$A,J$1,'DB Costi-Ore YtD'!$B:$B,$A53,'DB Costi-Ore YtD'!$E:$E,$C53)-SUM($D53:I53),0)</f>
        <v>0</v>
      </c>
      <c r="K53">
        <f>IF((K$1*1)&lt;=MAX('DB Costi-Ore YtD'!$A:$A),SUMIFS('DB Costi-Ore YtD'!$G:$G,'DB Costi-Ore YtD'!$A:$A,K$1,'DB Costi-Ore YtD'!$B:$B,$A53,'DB Costi-Ore YtD'!$E:$E,$C53)-SUM($D53:J53),0)</f>
        <v>0</v>
      </c>
      <c r="L53">
        <f>IF((L$1*1)&lt;=MAX('DB Costi-Ore YtD'!$A:$A),SUMIFS('DB Costi-Ore YtD'!$G:$G,'DB Costi-Ore YtD'!$A:$A,L$1,'DB Costi-Ore YtD'!$B:$B,$A53,'DB Costi-Ore YtD'!$E:$E,$C53)-SUM($D53:K53),0)</f>
        <v>0</v>
      </c>
      <c r="M53">
        <f>IF((M$1*1)&lt;=MAX('DB Costi-Ore YtD'!$A:$A),SUMIFS('DB Costi-Ore YtD'!$G:$G,'DB Costi-Ore YtD'!$A:$A,M$1,'DB Costi-Ore YtD'!$B:$B,$A53,'DB Costi-Ore YtD'!$E:$E,$C53)-SUM($D53:L53),0)</f>
        <v>0</v>
      </c>
      <c r="N53">
        <f>IF((N$1*1)&lt;=MAX('DB Costi-Ore YtD'!$A:$A),SUMIFS('DB Costi-Ore YtD'!$G:$G,'DB Costi-Ore YtD'!$A:$A,N$1,'DB Costi-Ore YtD'!$B:$B,$A53,'DB Costi-Ore YtD'!$E:$E,$C53)-SUM($D53:M53),0)</f>
        <v>0</v>
      </c>
      <c r="O53">
        <f>IF((O$1*1)&lt;=MAX('DB Costi-Ore YtD'!$A:$A),SUMIFS('DB Costi-Ore YtD'!$G:$G,'DB Costi-Ore YtD'!$A:$A,O$1,'DB Costi-Ore YtD'!$B:$B,$A53,'DB Costi-Ore YtD'!$E:$E,$C53)-SUM($D53:N53),0)</f>
        <v>0</v>
      </c>
    </row>
    <row r="54" spans="1:15" hidden="1" x14ac:dyDescent="0.3">
      <c r="A54" t="s">
        <v>133</v>
      </c>
      <c r="B54" t="s">
        <v>134</v>
      </c>
      <c r="C54" t="s">
        <v>2</v>
      </c>
      <c r="D54">
        <f>IF((D$1*1)&lt;=MAX('DB Costi-Ore YtD'!$A:$A),SUMIFS('DB Costi-Ore YtD'!$G:$G,'DB Costi-Ore YtD'!$A:$A,D$1,'DB Costi-Ore YtD'!$B:$B,$A54,'DB Costi-Ore YtD'!$E:$E,$C54),0)</f>
        <v>2610.4900000000002</v>
      </c>
      <c r="E54">
        <f>IF((E$1*1)&lt;=MAX('DB Costi-Ore YtD'!$A:$A),SUMIFS('DB Costi-Ore YtD'!$G:$G,'DB Costi-Ore YtD'!$A:$A,E$1,'DB Costi-Ore YtD'!$B:$B,$A54,'DB Costi-Ore YtD'!$E:$E,$C54)-SUM($D54:D54),0)</f>
        <v>618.01000000000022</v>
      </c>
      <c r="F54">
        <f>IF((F$1*1)&lt;=MAX('DB Costi-Ore YtD'!$A:$A),SUMIFS('DB Costi-Ore YtD'!$G:$G,'DB Costi-Ore YtD'!$A:$A,F$1,'DB Costi-Ore YtD'!$B:$B,$A54,'DB Costi-Ore YtD'!$E:$E,$C54)-SUM($D54:E54),0)</f>
        <v>1081.7199999999989</v>
      </c>
      <c r="G54">
        <f>IF((G$1*1)&lt;=MAX('DB Costi-Ore YtD'!$A:$A),SUMIFS('DB Costi-Ore YtD'!$G:$G,'DB Costi-Ore YtD'!$A:$A,G$1,'DB Costi-Ore YtD'!$B:$B,$A54,'DB Costi-Ore YtD'!$E:$E,$C54)-SUM($D54:F54),0)</f>
        <v>2513.2600000000002</v>
      </c>
      <c r="H54">
        <f>IF((H$1*1)&lt;=MAX('DB Costi-Ore YtD'!$A:$A),SUMIFS('DB Costi-Ore YtD'!$G:$G,'DB Costi-Ore YtD'!$A:$A,H$1,'DB Costi-Ore YtD'!$B:$B,$A54,'DB Costi-Ore YtD'!$E:$E,$C54)-SUM($D54:G54),0)</f>
        <v>2382.1000000000004</v>
      </c>
      <c r="I54">
        <f>IF((I$1*1)&lt;=MAX('DB Costi-Ore YtD'!$A:$A),SUMIFS('DB Costi-Ore YtD'!$G:$G,'DB Costi-Ore YtD'!$A:$A,I$1,'DB Costi-Ore YtD'!$B:$B,$A54,'DB Costi-Ore YtD'!$E:$E,$C54)-SUM($D54:H54),0)</f>
        <v>2465.4799999999996</v>
      </c>
      <c r="J54">
        <f>IF((J$1*1)&lt;=MAX('DB Costi-Ore YtD'!$A:$A),SUMIFS('DB Costi-Ore YtD'!$G:$G,'DB Costi-Ore YtD'!$A:$A,J$1,'DB Costi-Ore YtD'!$B:$B,$A54,'DB Costi-Ore YtD'!$E:$E,$C54)-SUM($D54:I54),0)</f>
        <v>0</v>
      </c>
      <c r="K54">
        <f>IF((K$1*1)&lt;=MAX('DB Costi-Ore YtD'!$A:$A),SUMIFS('DB Costi-Ore YtD'!$G:$G,'DB Costi-Ore YtD'!$A:$A,K$1,'DB Costi-Ore YtD'!$B:$B,$A54,'DB Costi-Ore YtD'!$E:$E,$C54)-SUM($D54:J54),0)</f>
        <v>0</v>
      </c>
      <c r="L54">
        <f>IF((L$1*1)&lt;=MAX('DB Costi-Ore YtD'!$A:$A),SUMIFS('DB Costi-Ore YtD'!$G:$G,'DB Costi-Ore YtD'!$A:$A,L$1,'DB Costi-Ore YtD'!$B:$B,$A54,'DB Costi-Ore YtD'!$E:$E,$C54)-SUM($D54:K54),0)</f>
        <v>0</v>
      </c>
      <c r="M54">
        <f>IF((M$1*1)&lt;=MAX('DB Costi-Ore YtD'!$A:$A),SUMIFS('DB Costi-Ore YtD'!$G:$G,'DB Costi-Ore YtD'!$A:$A,M$1,'DB Costi-Ore YtD'!$B:$B,$A54,'DB Costi-Ore YtD'!$E:$E,$C54)-SUM($D54:L54),0)</f>
        <v>0</v>
      </c>
      <c r="N54">
        <f>IF((N$1*1)&lt;=MAX('DB Costi-Ore YtD'!$A:$A),SUMIFS('DB Costi-Ore YtD'!$G:$G,'DB Costi-Ore YtD'!$A:$A,N$1,'DB Costi-Ore YtD'!$B:$B,$A54,'DB Costi-Ore YtD'!$E:$E,$C54)-SUM($D54:M54),0)</f>
        <v>0</v>
      </c>
      <c r="O54">
        <f>IF((O$1*1)&lt;=MAX('DB Costi-Ore YtD'!$A:$A),SUMIFS('DB Costi-Ore YtD'!$G:$G,'DB Costi-Ore YtD'!$A:$A,O$1,'DB Costi-Ore YtD'!$B:$B,$A54,'DB Costi-Ore YtD'!$E:$E,$C54)-SUM($D54:N54),0)</f>
        <v>0</v>
      </c>
    </row>
    <row r="55" spans="1:15" hidden="1" x14ac:dyDescent="0.3">
      <c r="A55" t="s">
        <v>135</v>
      </c>
      <c r="B55" t="s">
        <v>136</v>
      </c>
      <c r="C55" t="s">
        <v>3</v>
      </c>
      <c r="D55">
        <f>IF((D$1*1)&lt;=MAX('DB Costi-Ore YtD'!$A:$A),SUMIFS('DB Costi-Ore YtD'!$G:$G,'DB Costi-Ore YtD'!$A:$A,D$1,'DB Costi-Ore YtD'!$B:$B,$A55,'DB Costi-Ore YtD'!$E:$E,$C55),0)</f>
        <v>457.77999999999986</v>
      </c>
      <c r="E55">
        <f>IF((E$1*1)&lt;=MAX('DB Costi-Ore YtD'!$A:$A),SUMIFS('DB Costi-Ore YtD'!$G:$G,'DB Costi-Ore YtD'!$A:$A,E$1,'DB Costi-Ore YtD'!$B:$B,$A55,'DB Costi-Ore YtD'!$E:$E,$C55)-SUM($D55:D55),0)</f>
        <v>504.75000000000023</v>
      </c>
      <c r="F55">
        <f>IF((F$1*1)&lt;=MAX('DB Costi-Ore YtD'!$A:$A),SUMIFS('DB Costi-Ore YtD'!$G:$G,'DB Costi-Ore YtD'!$A:$A,F$1,'DB Costi-Ore YtD'!$B:$B,$A55,'DB Costi-Ore YtD'!$E:$E,$C55)-SUM($D55:E55),0)</f>
        <v>471.3099999999996</v>
      </c>
      <c r="G55">
        <f>IF((G$1*1)&lt;=MAX('DB Costi-Ore YtD'!$A:$A),SUMIFS('DB Costi-Ore YtD'!$G:$G,'DB Costi-Ore YtD'!$A:$A,G$1,'DB Costi-Ore YtD'!$B:$B,$A55,'DB Costi-Ore YtD'!$E:$E,$C55)-SUM($D55:F55),0)</f>
        <v>467.38000000000011</v>
      </c>
      <c r="H55">
        <f>IF((H$1*1)&lt;=MAX('DB Costi-Ore YtD'!$A:$A),SUMIFS('DB Costi-Ore YtD'!$G:$G,'DB Costi-Ore YtD'!$A:$A,H$1,'DB Costi-Ore YtD'!$B:$B,$A55,'DB Costi-Ore YtD'!$E:$E,$C55)-SUM($D55:G55),0)</f>
        <v>447.40999999999985</v>
      </c>
      <c r="I55">
        <f>IF((I$1*1)&lt;=MAX('DB Costi-Ore YtD'!$A:$A),SUMIFS('DB Costi-Ore YtD'!$G:$G,'DB Costi-Ore YtD'!$A:$A,I$1,'DB Costi-Ore YtD'!$B:$B,$A55,'DB Costi-Ore YtD'!$E:$E,$C55)-SUM($D55:H55),0)</f>
        <v>459.52000000000044</v>
      </c>
      <c r="J55">
        <f>IF((J$1*1)&lt;=MAX('DB Costi-Ore YtD'!$A:$A),SUMIFS('DB Costi-Ore YtD'!$G:$G,'DB Costi-Ore YtD'!$A:$A,J$1,'DB Costi-Ore YtD'!$B:$B,$A55,'DB Costi-Ore YtD'!$E:$E,$C55)-SUM($D55:I55),0)</f>
        <v>0</v>
      </c>
      <c r="K55">
        <f>IF((K$1*1)&lt;=MAX('DB Costi-Ore YtD'!$A:$A),SUMIFS('DB Costi-Ore YtD'!$G:$G,'DB Costi-Ore YtD'!$A:$A,K$1,'DB Costi-Ore YtD'!$B:$B,$A55,'DB Costi-Ore YtD'!$E:$E,$C55)-SUM($D55:J55),0)</f>
        <v>0</v>
      </c>
      <c r="L55">
        <f>IF((L$1*1)&lt;=MAX('DB Costi-Ore YtD'!$A:$A),SUMIFS('DB Costi-Ore YtD'!$G:$G,'DB Costi-Ore YtD'!$A:$A,L$1,'DB Costi-Ore YtD'!$B:$B,$A55,'DB Costi-Ore YtD'!$E:$E,$C55)-SUM($D55:K55),0)</f>
        <v>0</v>
      </c>
      <c r="M55">
        <f>IF((M$1*1)&lt;=MAX('DB Costi-Ore YtD'!$A:$A),SUMIFS('DB Costi-Ore YtD'!$G:$G,'DB Costi-Ore YtD'!$A:$A,M$1,'DB Costi-Ore YtD'!$B:$B,$A55,'DB Costi-Ore YtD'!$E:$E,$C55)-SUM($D55:L55),0)</f>
        <v>0</v>
      </c>
      <c r="N55">
        <f>IF((N$1*1)&lt;=MAX('DB Costi-Ore YtD'!$A:$A),SUMIFS('DB Costi-Ore YtD'!$G:$G,'DB Costi-Ore YtD'!$A:$A,N$1,'DB Costi-Ore YtD'!$B:$B,$A55,'DB Costi-Ore YtD'!$E:$E,$C55)-SUM($D55:M55),0)</f>
        <v>0</v>
      </c>
      <c r="O55">
        <f>IF((O$1*1)&lt;=MAX('DB Costi-Ore YtD'!$A:$A),SUMIFS('DB Costi-Ore YtD'!$G:$G,'DB Costi-Ore YtD'!$A:$A,O$1,'DB Costi-Ore YtD'!$B:$B,$A55,'DB Costi-Ore YtD'!$E:$E,$C55)-SUM($D55:N55),0)</f>
        <v>0</v>
      </c>
    </row>
    <row r="56" spans="1:15" hidden="1" x14ac:dyDescent="0.3">
      <c r="A56" t="s">
        <v>137</v>
      </c>
      <c r="B56" t="s">
        <v>138</v>
      </c>
      <c r="C56" t="s">
        <v>2</v>
      </c>
      <c r="D56">
        <f>IF((D$1*1)&lt;=MAX('DB Costi-Ore YtD'!$A:$A),SUMIFS('DB Costi-Ore YtD'!$G:$G,'DB Costi-Ore YtD'!$A:$A,D$1,'DB Costi-Ore YtD'!$B:$B,$A56,'DB Costi-Ore YtD'!$E:$E,$C56),0)</f>
        <v>2100.77</v>
      </c>
      <c r="E56">
        <f>IF((E$1*1)&lt;=MAX('DB Costi-Ore YtD'!$A:$A),SUMIFS('DB Costi-Ore YtD'!$G:$G,'DB Costi-Ore YtD'!$A:$A,E$1,'DB Costi-Ore YtD'!$B:$B,$A56,'DB Costi-Ore YtD'!$E:$E,$C56)-SUM($D56:D56),0)</f>
        <v>2225.8200000000002</v>
      </c>
      <c r="F56">
        <f>IF((F$1*1)&lt;=MAX('DB Costi-Ore YtD'!$A:$A),SUMIFS('DB Costi-Ore YtD'!$G:$G,'DB Costi-Ore YtD'!$A:$A,F$1,'DB Costi-Ore YtD'!$B:$B,$A56,'DB Costi-Ore YtD'!$E:$E,$C56)-SUM($D56:E56),0)</f>
        <v>2008.5500000000002</v>
      </c>
      <c r="G56">
        <f>IF((G$1*1)&lt;=MAX('DB Costi-Ore YtD'!$A:$A),SUMIFS('DB Costi-Ore YtD'!$G:$G,'DB Costi-Ore YtD'!$A:$A,G$1,'DB Costi-Ore YtD'!$B:$B,$A56,'DB Costi-Ore YtD'!$E:$E,$C56)-SUM($D56:F56),0)</f>
        <v>2228.3099999999986</v>
      </c>
      <c r="H56">
        <f>IF((H$1*1)&lt;=MAX('DB Costi-Ore YtD'!$A:$A),SUMIFS('DB Costi-Ore YtD'!$G:$G,'DB Costi-Ore YtD'!$A:$A,H$1,'DB Costi-Ore YtD'!$B:$B,$A56,'DB Costi-Ore YtD'!$E:$E,$C56)-SUM($D56:G56),0)</f>
        <v>2213.9400000000005</v>
      </c>
      <c r="I56">
        <f>IF((I$1*1)&lt;=MAX('DB Costi-Ore YtD'!$A:$A),SUMIFS('DB Costi-Ore YtD'!$G:$G,'DB Costi-Ore YtD'!$A:$A,I$1,'DB Costi-Ore YtD'!$B:$B,$A56,'DB Costi-Ore YtD'!$E:$E,$C56)-SUM($D56:H56),0)</f>
        <v>2403.5999999999985</v>
      </c>
      <c r="J56">
        <f>IF((J$1*1)&lt;=MAX('DB Costi-Ore YtD'!$A:$A),SUMIFS('DB Costi-Ore YtD'!$G:$G,'DB Costi-Ore YtD'!$A:$A,J$1,'DB Costi-Ore YtD'!$B:$B,$A56,'DB Costi-Ore YtD'!$E:$E,$C56)-SUM($D56:I56),0)</f>
        <v>0</v>
      </c>
      <c r="K56">
        <f>IF((K$1*1)&lt;=MAX('DB Costi-Ore YtD'!$A:$A),SUMIFS('DB Costi-Ore YtD'!$G:$G,'DB Costi-Ore YtD'!$A:$A,K$1,'DB Costi-Ore YtD'!$B:$B,$A56,'DB Costi-Ore YtD'!$E:$E,$C56)-SUM($D56:J56),0)</f>
        <v>0</v>
      </c>
      <c r="L56">
        <f>IF((L$1*1)&lt;=MAX('DB Costi-Ore YtD'!$A:$A),SUMIFS('DB Costi-Ore YtD'!$G:$G,'DB Costi-Ore YtD'!$A:$A,L$1,'DB Costi-Ore YtD'!$B:$B,$A56,'DB Costi-Ore YtD'!$E:$E,$C56)-SUM($D56:K56),0)</f>
        <v>0</v>
      </c>
      <c r="M56">
        <f>IF((M$1*1)&lt;=MAX('DB Costi-Ore YtD'!$A:$A),SUMIFS('DB Costi-Ore YtD'!$G:$G,'DB Costi-Ore YtD'!$A:$A,M$1,'DB Costi-Ore YtD'!$B:$B,$A56,'DB Costi-Ore YtD'!$E:$E,$C56)-SUM($D56:L56),0)</f>
        <v>0</v>
      </c>
      <c r="N56">
        <f>IF((N$1*1)&lt;=MAX('DB Costi-Ore YtD'!$A:$A),SUMIFS('DB Costi-Ore YtD'!$G:$G,'DB Costi-Ore YtD'!$A:$A,N$1,'DB Costi-Ore YtD'!$B:$B,$A56,'DB Costi-Ore YtD'!$E:$E,$C56)-SUM($D56:M56),0)</f>
        <v>0</v>
      </c>
      <c r="O56">
        <f>IF((O$1*1)&lt;=MAX('DB Costi-Ore YtD'!$A:$A),SUMIFS('DB Costi-Ore YtD'!$G:$G,'DB Costi-Ore YtD'!$A:$A,O$1,'DB Costi-Ore YtD'!$B:$B,$A56,'DB Costi-Ore YtD'!$E:$E,$C56)-SUM($D56:N56),0)</f>
        <v>0</v>
      </c>
    </row>
    <row r="57" spans="1:15" x14ac:dyDescent="0.3">
      <c r="A57" t="s">
        <v>139</v>
      </c>
      <c r="B57" t="s">
        <v>140</v>
      </c>
      <c r="C57" t="s">
        <v>13</v>
      </c>
      <c r="D57">
        <f>IF((D$1*1)&lt;=MAX('DB Costi-Ore YtD'!$A:$A),SUMIFS('DB Costi-Ore YtD'!$G:$G,'DB Costi-Ore YtD'!$A:$A,D$1,'DB Costi-Ore YtD'!$B:$B,$A57,'DB Costi-Ore YtD'!$E:$E,$C57),0)</f>
        <v>3176.65</v>
      </c>
      <c r="E57">
        <f>IF((E$1*1)&lt;=MAX('DB Costi-Ore YtD'!$A:$A),SUMIFS('DB Costi-Ore YtD'!$G:$G,'DB Costi-Ore YtD'!$A:$A,E$1,'DB Costi-Ore YtD'!$B:$B,$A57,'DB Costi-Ore YtD'!$E:$E,$C57)-SUM($D57:D57),0)</f>
        <v>3050.43</v>
      </c>
      <c r="F57">
        <f>IF((F$1*1)&lt;=MAX('DB Costi-Ore YtD'!$A:$A),SUMIFS('DB Costi-Ore YtD'!$G:$G,'DB Costi-Ore YtD'!$A:$A,F$1,'DB Costi-Ore YtD'!$B:$B,$A57,'DB Costi-Ore YtD'!$E:$E,$C57)-SUM($D57:E57),0)</f>
        <v>3368.5500000000011</v>
      </c>
      <c r="G57">
        <f>IF((G$1*1)&lt;=MAX('DB Costi-Ore YtD'!$A:$A),SUMIFS('DB Costi-Ore YtD'!$G:$G,'DB Costi-Ore YtD'!$A:$A,G$1,'DB Costi-Ore YtD'!$B:$B,$A57,'DB Costi-Ore YtD'!$E:$E,$C57)-SUM($D57:F57),0)</f>
        <v>3394.8299999999981</v>
      </c>
      <c r="H57">
        <f>IF((H$1*1)&lt;=MAX('DB Costi-Ore YtD'!$A:$A),SUMIFS('DB Costi-Ore YtD'!$G:$G,'DB Costi-Ore YtD'!$A:$A,H$1,'DB Costi-Ore YtD'!$B:$B,$A57,'DB Costi-Ore YtD'!$E:$E,$C57)-SUM($D57:G57),0)</f>
        <v>2940.6299999999992</v>
      </c>
      <c r="I57">
        <f>IF((I$1*1)&lt;=MAX('DB Costi-Ore YtD'!$A:$A),SUMIFS('DB Costi-Ore YtD'!$G:$G,'DB Costi-Ore YtD'!$A:$A,I$1,'DB Costi-Ore YtD'!$B:$B,$A57,'DB Costi-Ore YtD'!$E:$E,$C57)-SUM($D57:H57),0)</f>
        <v>2692.0400000000027</v>
      </c>
      <c r="J57">
        <f>IF((J$1*1)&lt;=MAX('DB Costi-Ore YtD'!$A:$A),SUMIFS('DB Costi-Ore YtD'!$G:$G,'DB Costi-Ore YtD'!$A:$A,J$1,'DB Costi-Ore YtD'!$B:$B,$A57,'DB Costi-Ore YtD'!$E:$E,$C57)-SUM($D57:I57),0)</f>
        <v>0</v>
      </c>
      <c r="K57">
        <f>IF((K$1*1)&lt;=MAX('DB Costi-Ore YtD'!$A:$A),SUMIFS('DB Costi-Ore YtD'!$G:$G,'DB Costi-Ore YtD'!$A:$A,K$1,'DB Costi-Ore YtD'!$B:$B,$A57,'DB Costi-Ore YtD'!$E:$E,$C57)-SUM($D57:J57),0)</f>
        <v>0</v>
      </c>
      <c r="L57">
        <f>IF((L$1*1)&lt;=MAX('DB Costi-Ore YtD'!$A:$A),SUMIFS('DB Costi-Ore YtD'!$G:$G,'DB Costi-Ore YtD'!$A:$A,L$1,'DB Costi-Ore YtD'!$B:$B,$A57,'DB Costi-Ore YtD'!$E:$E,$C57)-SUM($D57:K57),0)</f>
        <v>0</v>
      </c>
      <c r="M57">
        <f>IF((M$1*1)&lt;=MAX('DB Costi-Ore YtD'!$A:$A),SUMIFS('DB Costi-Ore YtD'!$G:$G,'DB Costi-Ore YtD'!$A:$A,M$1,'DB Costi-Ore YtD'!$B:$B,$A57,'DB Costi-Ore YtD'!$E:$E,$C57)-SUM($D57:L57),0)</f>
        <v>0</v>
      </c>
      <c r="N57">
        <f>IF((N$1*1)&lt;=MAX('DB Costi-Ore YtD'!$A:$A),SUMIFS('DB Costi-Ore YtD'!$G:$G,'DB Costi-Ore YtD'!$A:$A,N$1,'DB Costi-Ore YtD'!$B:$B,$A57,'DB Costi-Ore YtD'!$E:$E,$C57)-SUM($D57:M57),0)</f>
        <v>0</v>
      </c>
      <c r="O57">
        <f>IF((O$1*1)&lt;=MAX('DB Costi-Ore YtD'!$A:$A),SUMIFS('DB Costi-Ore YtD'!$G:$G,'DB Costi-Ore YtD'!$A:$A,O$1,'DB Costi-Ore YtD'!$B:$B,$A57,'DB Costi-Ore YtD'!$E:$E,$C57)-SUM($D57:N57),0)</f>
        <v>0</v>
      </c>
    </row>
    <row r="58" spans="1:15" hidden="1" x14ac:dyDescent="0.3">
      <c r="A58" t="s">
        <v>141</v>
      </c>
      <c r="B58" t="s">
        <v>142</v>
      </c>
      <c r="C58" t="s">
        <v>11</v>
      </c>
      <c r="D58">
        <f>IF((D$1*1)&lt;=MAX('DB Costi-Ore YtD'!$A:$A),SUMIFS('DB Costi-Ore YtD'!$G:$G,'DB Costi-Ore YtD'!$A:$A,D$1,'DB Costi-Ore YtD'!$B:$B,$A58,'DB Costi-Ore YtD'!$E:$E,$C58),0)</f>
        <v>923.81000000000017</v>
      </c>
      <c r="E58">
        <f>IF((E$1*1)&lt;=MAX('DB Costi-Ore YtD'!$A:$A),SUMIFS('DB Costi-Ore YtD'!$G:$G,'DB Costi-Ore YtD'!$A:$A,E$1,'DB Costi-Ore YtD'!$B:$B,$A58,'DB Costi-Ore YtD'!$E:$E,$C58)-SUM($D58:D58),0)</f>
        <v>1099.6200000000001</v>
      </c>
      <c r="F58">
        <f>IF((F$1*1)&lt;=MAX('DB Costi-Ore YtD'!$A:$A),SUMIFS('DB Costi-Ore YtD'!$G:$G,'DB Costi-Ore YtD'!$A:$A,F$1,'DB Costi-Ore YtD'!$B:$B,$A58,'DB Costi-Ore YtD'!$E:$E,$C58)-SUM($D58:E58),0)</f>
        <v>941.97999999999956</v>
      </c>
      <c r="G58">
        <f>IF((G$1*1)&lt;=MAX('DB Costi-Ore YtD'!$A:$A),SUMIFS('DB Costi-Ore YtD'!$G:$G,'DB Costi-Ore YtD'!$A:$A,G$1,'DB Costi-Ore YtD'!$B:$B,$A58,'DB Costi-Ore YtD'!$E:$E,$C58)-SUM($D58:F58),0)</f>
        <v>952.56</v>
      </c>
      <c r="H58">
        <f>IF((H$1*1)&lt;=MAX('DB Costi-Ore YtD'!$A:$A),SUMIFS('DB Costi-Ore YtD'!$G:$G,'DB Costi-Ore YtD'!$A:$A,H$1,'DB Costi-Ore YtD'!$B:$B,$A58,'DB Costi-Ore YtD'!$E:$E,$C58)-SUM($D58:G58),0)</f>
        <v>923.32000000000107</v>
      </c>
      <c r="I58">
        <f>IF((I$1*1)&lt;=MAX('DB Costi-Ore YtD'!$A:$A),SUMIFS('DB Costi-Ore YtD'!$G:$G,'DB Costi-Ore YtD'!$A:$A,I$1,'DB Costi-Ore YtD'!$B:$B,$A58,'DB Costi-Ore YtD'!$E:$E,$C58)-SUM($D58:H58),0)</f>
        <v>995.23999999999978</v>
      </c>
      <c r="J58">
        <f>IF((J$1*1)&lt;=MAX('DB Costi-Ore YtD'!$A:$A),SUMIFS('DB Costi-Ore YtD'!$G:$G,'DB Costi-Ore YtD'!$A:$A,J$1,'DB Costi-Ore YtD'!$B:$B,$A58,'DB Costi-Ore YtD'!$E:$E,$C58)-SUM($D58:I58),0)</f>
        <v>0</v>
      </c>
      <c r="K58">
        <f>IF((K$1*1)&lt;=MAX('DB Costi-Ore YtD'!$A:$A),SUMIFS('DB Costi-Ore YtD'!$G:$G,'DB Costi-Ore YtD'!$A:$A,K$1,'DB Costi-Ore YtD'!$B:$B,$A58,'DB Costi-Ore YtD'!$E:$E,$C58)-SUM($D58:J58),0)</f>
        <v>0</v>
      </c>
      <c r="L58">
        <f>IF((L$1*1)&lt;=MAX('DB Costi-Ore YtD'!$A:$A),SUMIFS('DB Costi-Ore YtD'!$G:$G,'DB Costi-Ore YtD'!$A:$A,L$1,'DB Costi-Ore YtD'!$B:$B,$A58,'DB Costi-Ore YtD'!$E:$E,$C58)-SUM($D58:K58),0)</f>
        <v>0</v>
      </c>
      <c r="M58">
        <f>IF((M$1*1)&lt;=MAX('DB Costi-Ore YtD'!$A:$A),SUMIFS('DB Costi-Ore YtD'!$G:$G,'DB Costi-Ore YtD'!$A:$A,M$1,'DB Costi-Ore YtD'!$B:$B,$A58,'DB Costi-Ore YtD'!$E:$E,$C58)-SUM($D58:L58),0)</f>
        <v>0</v>
      </c>
      <c r="N58">
        <f>IF((N$1*1)&lt;=MAX('DB Costi-Ore YtD'!$A:$A),SUMIFS('DB Costi-Ore YtD'!$G:$G,'DB Costi-Ore YtD'!$A:$A,N$1,'DB Costi-Ore YtD'!$B:$B,$A58,'DB Costi-Ore YtD'!$E:$E,$C58)-SUM($D58:M58),0)</f>
        <v>0</v>
      </c>
      <c r="O58">
        <f>IF((O$1*1)&lt;=MAX('DB Costi-Ore YtD'!$A:$A),SUMIFS('DB Costi-Ore YtD'!$G:$G,'DB Costi-Ore YtD'!$A:$A,O$1,'DB Costi-Ore YtD'!$B:$B,$A58,'DB Costi-Ore YtD'!$E:$E,$C58)-SUM($D58:N58),0)</f>
        <v>0</v>
      </c>
    </row>
    <row r="59" spans="1:15" hidden="1" x14ac:dyDescent="0.3">
      <c r="A59" t="s">
        <v>143</v>
      </c>
      <c r="B59" t="s">
        <v>144</v>
      </c>
      <c r="C59" t="s">
        <v>2</v>
      </c>
      <c r="D59">
        <f>IF((D$1*1)&lt;=MAX('DB Costi-Ore YtD'!$A:$A),SUMIFS('DB Costi-Ore YtD'!$G:$G,'DB Costi-Ore YtD'!$A:$A,D$1,'DB Costi-Ore YtD'!$B:$B,$A59,'DB Costi-Ore YtD'!$E:$E,$C59),0)</f>
        <v>1696.77</v>
      </c>
      <c r="E59">
        <f>IF((E$1*1)&lt;=MAX('DB Costi-Ore YtD'!$A:$A),SUMIFS('DB Costi-Ore YtD'!$G:$G,'DB Costi-Ore YtD'!$A:$A,E$1,'DB Costi-Ore YtD'!$B:$B,$A59,'DB Costi-Ore YtD'!$E:$E,$C59)-SUM($D59:D59),0)</f>
        <v>1389.5599999999995</v>
      </c>
      <c r="F59">
        <f>IF((F$1*1)&lt;=MAX('DB Costi-Ore YtD'!$A:$A),SUMIFS('DB Costi-Ore YtD'!$G:$G,'DB Costi-Ore YtD'!$A:$A,F$1,'DB Costi-Ore YtD'!$B:$B,$A59,'DB Costi-Ore YtD'!$E:$E,$C59)-SUM($D59:E59),0)</f>
        <v>1440.8300000000004</v>
      </c>
      <c r="G59">
        <f>IF((G$1*1)&lt;=MAX('DB Costi-Ore YtD'!$A:$A),SUMIFS('DB Costi-Ore YtD'!$G:$G,'DB Costi-Ore YtD'!$A:$A,G$1,'DB Costi-Ore YtD'!$B:$B,$A59,'DB Costi-Ore YtD'!$E:$E,$C59)-SUM($D59:F59),0)</f>
        <v>1564.4899999999998</v>
      </c>
      <c r="H59">
        <f>IF((H$1*1)&lt;=MAX('DB Costi-Ore YtD'!$A:$A),SUMIFS('DB Costi-Ore YtD'!$G:$G,'DB Costi-Ore YtD'!$A:$A,H$1,'DB Costi-Ore YtD'!$B:$B,$A59,'DB Costi-Ore YtD'!$E:$E,$C59)-SUM($D59:G59),0)</f>
        <v>1106.5900000000001</v>
      </c>
      <c r="I59">
        <f>IF((I$1*1)&lt;=MAX('DB Costi-Ore YtD'!$A:$A),SUMIFS('DB Costi-Ore YtD'!$G:$G,'DB Costi-Ore YtD'!$A:$A,I$1,'DB Costi-Ore YtD'!$B:$B,$A59,'DB Costi-Ore YtD'!$E:$E,$C59)-SUM($D59:H59),0)</f>
        <v>1162.1200000000008</v>
      </c>
      <c r="J59">
        <f>IF((J$1*1)&lt;=MAX('DB Costi-Ore YtD'!$A:$A),SUMIFS('DB Costi-Ore YtD'!$G:$G,'DB Costi-Ore YtD'!$A:$A,J$1,'DB Costi-Ore YtD'!$B:$B,$A59,'DB Costi-Ore YtD'!$E:$E,$C59)-SUM($D59:I59),0)</f>
        <v>0</v>
      </c>
      <c r="K59">
        <f>IF((K$1*1)&lt;=MAX('DB Costi-Ore YtD'!$A:$A),SUMIFS('DB Costi-Ore YtD'!$G:$G,'DB Costi-Ore YtD'!$A:$A,K$1,'DB Costi-Ore YtD'!$B:$B,$A59,'DB Costi-Ore YtD'!$E:$E,$C59)-SUM($D59:J59),0)</f>
        <v>0</v>
      </c>
      <c r="L59">
        <f>IF((L$1*1)&lt;=MAX('DB Costi-Ore YtD'!$A:$A),SUMIFS('DB Costi-Ore YtD'!$G:$G,'DB Costi-Ore YtD'!$A:$A,L$1,'DB Costi-Ore YtD'!$B:$B,$A59,'DB Costi-Ore YtD'!$E:$E,$C59)-SUM($D59:K59),0)</f>
        <v>0</v>
      </c>
      <c r="M59">
        <f>IF((M$1*1)&lt;=MAX('DB Costi-Ore YtD'!$A:$A),SUMIFS('DB Costi-Ore YtD'!$G:$G,'DB Costi-Ore YtD'!$A:$A,M$1,'DB Costi-Ore YtD'!$B:$B,$A59,'DB Costi-Ore YtD'!$E:$E,$C59)-SUM($D59:L59),0)</f>
        <v>0</v>
      </c>
      <c r="N59">
        <f>IF((N$1*1)&lt;=MAX('DB Costi-Ore YtD'!$A:$A),SUMIFS('DB Costi-Ore YtD'!$G:$G,'DB Costi-Ore YtD'!$A:$A,N$1,'DB Costi-Ore YtD'!$B:$B,$A59,'DB Costi-Ore YtD'!$E:$E,$C59)-SUM($D59:M59),0)</f>
        <v>0</v>
      </c>
      <c r="O59">
        <f>IF((O$1*1)&lt;=MAX('DB Costi-Ore YtD'!$A:$A),SUMIFS('DB Costi-Ore YtD'!$G:$G,'DB Costi-Ore YtD'!$A:$A,O$1,'DB Costi-Ore YtD'!$B:$B,$A59,'DB Costi-Ore YtD'!$E:$E,$C59)-SUM($D59:N59),0)</f>
        <v>0</v>
      </c>
    </row>
    <row r="60" spans="1:15" hidden="1" x14ac:dyDescent="0.3">
      <c r="A60" t="s">
        <v>145</v>
      </c>
      <c r="B60" t="s">
        <v>146</v>
      </c>
      <c r="C60" t="s">
        <v>6</v>
      </c>
      <c r="D60">
        <f>IF((D$1*1)&lt;=MAX('DB Costi-Ore YtD'!$A:$A),SUMIFS('DB Costi-Ore YtD'!$G:$G,'DB Costi-Ore YtD'!$A:$A,D$1,'DB Costi-Ore YtD'!$B:$B,$A60,'DB Costi-Ore YtD'!$E:$E,$C60),0)</f>
        <v>2411.5300000000002</v>
      </c>
      <c r="E60">
        <f>IF((E$1*1)&lt;=MAX('DB Costi-Ore YtD'!$A:$A),SUMIFS('DB Costi-Ore YtD'!$G:$G,'DB Costi-Ore YtD'!$A:$A,E$1,'DB Costi-Ore YtD'!$B:$B,$A60,'DB Costi-Ore YtD'!$E:$E,$C60)-SUM($D60:D60),0)</f>
        <v>2434.4499999999994</v>
      </c>
      <c r="F60">
        <f>IF((F$1*1)&lt;=MAX('DB Costi-Ore YtD'!$A:$A),SUMIFS('DB Costi-Ore YtD'!$G:$G,'DB Costi-Ore YtD'!$A:$A,F$1,'DB Costi-Ore YtD'!$B:$B,$A60,'DB Costi-Ore YtD'!$E:$E,$C60)-SUM($D60:E60),0)</f>
        <v>2354.9300000000003</v>
      </c>
      <c r="G60">
        <f>IF((G$1*1)&lt;=MAX('DB Costi-Ore YtD'!$A:$A),SUMIFS('DB Costi-Ore YtD'!$G:$G,'DB Costi-Ore YtD'!$A:$A,G$1,'DB Costi-Ore YtD'!$B:$B,$A60,'DB Costi-Ore YtD'!$E:$E,$C60)-SUM($D60:F60),0)</f>
        <v>1946.83</v>
      </c>
      <c r="H60">
        <f>IF((H$1*1)&lt;=MAX('DB Costi-Ore YtD'!$A:$A),SUMIFS('DB Costi-Ore YtD'!$G:$G,'DB Costi-Ore YtD'!$A:$A,H$1,'DB Costi-Ore YtD'!$B:$B,$A60,'DB Costi-Ore YtD'!$E:$E,$C60)-SUM($D60:G60),0)</f>
        <v>2456.2399999999998</v>
      </c>
      <c r="I60">
        <f>IF((I$1*1)&lt;=MAX('DB Costi-Ore YtD'!$A:$A),SUMIFS('DB Costi-Ore YtD'!$G:$G,'DB Costi-Ore YtD'!$A:$A,I$1,'DB Costi-Ore YtD'!$B:$B,$A60,'DB Costi-Ore YtD'!$E:$E,$C60)-SUM($D60:H60),0)</f>
        <v>2750.489999999998</v>
      </c>
      <c r="J60">
        <f>IF((J$1*1)&lt;=MAX('DB Costi-Ore YtD'!$A:$A),SUMIFS('DB Costi-Ore YtD'!$G:$G,'DB Costi-Ore YtD'!$A:$A,J$1,'DB Costi-Ore YtD'!$B:$B,$A60,'DB Costi-Ore YtD'!$E:$E,$C60)-SUM($D60:I60),0)</f>
        <v>0</v>
      </c>
      <c r="K60">
        <f>IF((K$1*1)&lt;=MAX('DB Costi-Ore YtD'!$A:$A),SUMIFS('DB Costi-Ore YtD'!$G:$G,'DB Costi-Ore YtD'!$A:$A,K$1,'DB Costi-Ore YtD'!$B:$B,$A60,'DB Costi-Ore YtD'!$E:$E,$C60)-SUM($D60:J60),0)</f>
        <v>0</v>
      </c>
      <c r="L60">
        <f>IF((L$1*1)&lt;=MAX('DB Costi-Ore YtD'!$A:$A),SUMIFS('DB Costi-Ore YtD'!$G:$G,'DB Costi-Ore YtD'!$A:$A,L$1,'DB Costi-Ore YtD'!$B:$B,$A60,'DB Costi-Ore YtD'!$E:$E,$C60)-SUM($D60:K60),0)</f>
        <v>0</v>
      </c>
      <c r="M60">
        <f>IF((M$1*1)&lt;=MAX('DB Costi-Ore YtD'!$A:$A),SUMIFS('DB Costi-Ore YtD'!$G:$G,'DB Costi-Ore YtD'!$A:$A,M$1,'DB Costi-Ore YtD'!$B:$B,$A60,'DB Costi-Ore YtD'!$E:$E,$C60)-SUM($D60:L60),0)</f>
        <v>0</v>
      </c>
      <c r="N60">
        <f>IF((N$1*1)&lt;=MAX('DB Costi-Ore YtD'!$A:$A),SUMIFS('DB Costi-Ore YtD'!$G:$G,'DB Costi-Ore YtD'!$A:$A,N$1,'DB Costi-Ore YtD'!$B:$B,$A60,'DB Costi-Ore YtD'!$E:$E,$C60)-SUM($D60:M60),0)</f>
        <v>0</v>
      </c>
      <c r="O60">
        <f>IF((O$1*1)&lt;=MAX('DB Costi-Ore YtD'!$A:$A),SUMIFS('DB Costi-Ore YtD'!$G:$G,'DB Costi-Ore YtD'!$A:$A,O$1,'DB Costi-Ore YtD'!$B:$B,$A60,'DB Costi-Ore YtD'!$E:$E,$C60)-SUM($D60:N60),0)</f>
        <v>0</v>
      </c>
    </row>
    <row r="61" spans="1:15" hidden="1" x14ac:dyDescent="0.3">
      <c r="A61" t="s">
        <v>147</v>
      </c>
      <c r="B61" t="s">
        <v>148</v>
      </c>
      <c r="C61" t="s">
        <v>8</v>
      </c>
      <c r="D61">
        <f>IF((D$1*1)&lt;=MAX('DB Costi-Ore YtD'!$A:$A),SUMIFS('DB Costi-Ore YtD'!$G:$G,'DB Costi-Ore YtD'!$A:$A,D$1,'DB Costi-Ore YtD'!$B:$B,$A61,'DB Costi-Ore YtD'!$E:$E,$C61),0)</f>
        <v>4212.38</v>
      </c>
      <c r="E61">
        <f>IF((E$1*1)&lt;=MAX('DB Costi-Ore YtD'!$A:$A),SUMIFS('DB Costi-Ore YtD'!$G:$G,'DB Costi-Ore YtD'!$A:$A,E$1,'DB Costi-Ore YtD'!$B:$B,$A61,'DB Costi-Ore YtD'!$E:$E,$C61)-SUM($D61:D61),0)</f>
        <v>2973.8499999999995</v>
      </c>
      <c r="F61">
        <f>IF((F$1*1)&lt;=MAX('DB Costi-Ore YtD'!$A:$A),SUMIFS('DB Costi-Ore YtD'!$G:$G,'DB Costi-Ore YtD'!$A:$A,F$1,'DB Costi-Ore YtD'!$B:$B,$A61,'DB Costi-Ore YtD'!$E:$E,$C61)-SUM($D61:E61),0)</f>
        <v>2820.7300000000014</v>
      </c>
      <c r="G61">
        <f>IF((G$1*1)&lt;=MAX('DB Costi-Ore YtD'!$A:$A),SUMIFS('DB Costi-Ore YtD'!$G:$G,'DB Costi-Ore YtD'!$A:$A,G$1,'DB Costi-Ore YtD'!$B:$B,$A61,'DB Costi-Ore YtD'!$E:$E,$C61)-SUM($D61:F61),0)</f>
        <v>2410.1299999999992</v>
      </c>
      <c r="H61">
        <f>IF((H$1*1)&lt;=MAX('DB Costi-Ore YtD'!$A:$A),SUMIFS('DB Costi-Ore YtD'!$G:$G,'DB Costi-Ore YtD'!$A:$A,H$1,'DB Costi-Ore YtD'!$B:$B,$A61,'DB Costi-Ore YtD'!$E:$E,$C61)-SUM($D61:G61),0)</f>
        <v>2822.9699999999993</v>
      </c>
      <c r="I61">
        <f>IF((I$1*1)&lt;=MAX('DB Costi-Ore YtD'!$A:$A),SUMIFS('DB Costi-Ore YtD'!$G:$G,'DB Costi-Ore YtD'!$A:$A,I$1,'DB Costi-Ore YtD'!$B:$B,$A61,'DB Costi-Ore YtD'!$E:$E,$C61)-SUM($D61:H61),0)</f>
        <v>2862.58</v>
      </c>
      <c r="J61">
        <f>IF((J$1*1)&lt;=MAX('DB Costi-Ore YtD'!$A:$A),SUMIFS('DB Costi-Ore YtD'!$G:$G,'DB Costi-Ore YtD'!$A:$A,J$1,'DB Costi-Ore YtD'!$B:$B,$A61,'DB Costi-Ore YtD'!$E:$E,$C61)-SUM($D61:I61),0)</f>
        <v>0</v>
      </c>
      <c r="K61">
        <f>IF((K$1*1)&lt;=MAX('DB Costi-Ore YtD'!$A:$A),SUMIFS('DB Costi-Ore YtD'!$G:$G,'DB Costi-Ore YtD'!$A:$A,K$1,'DB Costi-Ore YtD'!$B:$B,$A61,'DB Costi-Ore YtD'!$E:$E,$C61)-SUM($D61:J61),0)</f>
        <v>0</v>
      </c>
      <c r="L61">
        <f>IF((L$1*1)&lt;=MAX('DB Costi-Ore YtD'!$A:$A),SUMIFS('DB Costi-Ore YtD'!$G:$G,'DB Costi-Ore YtD'!$A:$A,L$1,'DB Costi-Ore YtD'!$B:$B,$A61,'DB Costi-Ore YtD'!$E:$E,$C61)-SUM($D61:K61),0)</f>
        <v>0</v>
      </c>
      <c r="M61">
        <f>IF((M$1*1)&lt;=MAX('DB Costi-Ore YtD'!$A:$A),SUMIFS('DB Costi-Ore YtD'!$G:$G,'DB Costi-Ore YtD'!$A:$A,M$1,'DB Costi-Ore YtD'!$B:$B,$A61,'DB Costi-Ore YtD'!$E:$E,$C61)-SUM($D61:L61),0)</f>
        <v>0</v>
      </c>
      <c r="N61">
        <f>IF((N$1*1)&lt;=MAX('DB Costi-Ore YtD'!$A:$A),SUMIFS('DB Costi-Ore YtD'!$G:$G,'DB Costi-Ore YtD'!$A:$A,N$1,'DB Costi-Ore YtD'!$B:$B,$A61,'DB Costi-Ore YtD'!$E:$E,$C61)-SUM($D61:M61),0)</f>
        <v>0</v>
      </c>
      <c r="O61">
        <f>IF((O$1*1)&lt;=MAX('DB Costi-Ore YtD'!$A:$A),SUMIFS('DB Costi-Ore YtD'!$G:$G,'DB Costi-Ore YtD'!$A:$A,O$1,'DB Costi-Ore YtD'!$B:$B,$A61,'DB Costi-Ore YtD'!$E:$E,$C61)-SUM($D61:N61),0)</f>
        <v>0</v>
      </c>
    </row>
    <row r="62" spans="1:15" hidden="1" x14ac:dyDescent="0.3">
      <c r="A62" t="s">
        <v>149</v>
      </c>
      <c r="B62" t="s">
        <v>150</v>
      </c>
      <c r="C62" t="s">
        <v>10</v>
      </c>
      <c r="D62">
        <f>IF((D$1*1)&lt;=MAX('DB Costi-Ore YtD'!$A:$A),SUMIFS('DB Costi-Ore YtD'!$G:$G,'DB Costi-Ore YtD'!$A:$A,D$1,'DB Costi-Ore YtD'!$B:$B,$A62,'DB Costi-Ore YtD'!$E:$E,$C62),0)</f>
        <v>0</v>
      </c>
      <c r="E62">
        <f>IF((E$1*1)&lt;=MAX('DB Costi-Ore YtD'!$A:$A),SUMIFS('DB Costi-Ore YtD'!$G:$G,'DB Costi-Ore YtD'!$A:$A,E$1,'DB Costi-Ore YtD'!$B:$B,$A62,'DB Costi-Ore YtD'!$E:$E,$C62)-SUM($D62:D62),0)</f>
        <v>6.7200000000000273</v>
      </c>
      <c r="F62">
        <f>IF((F$1*1)&lt;=MAX('DB Costi-Ore YtD'!$A:$A),SUMIFS('DB Costi-Ore YtD'!$G:$G,'DB Costi-Ore YtD'!$A:$A,F$1,'DB Costi-Ore YtD'!$B:$B,$A62,'DB Costi-Ore YtD'!$E:$E,$C62)-SUM($D62:E62),0)</f>
        <v>0</v>
      </c>
      <c r="G62">
        <f>IF((G$1*1)&lt;=MAX('DB Costi-Ore YtD'!$A:$A),SUMIFS('DB Costi-Ore YtD'!$G:$G,'DB Costi-Ore YtD'!$A:$A,G$1,'DB Costi-Ore YtD'!$B:$B,$A62,'DB Costi-Ore YtD'!$E:$E,$C62)-SUM($D62:F62),0)</f>
        <v>0</v>
      </c>
      <c r="H62">
        <f>IF((H$1*1)&lt;=MAX('DB Costi-Ore YtD'!$A:$A),SUMIFS('DB Costi-Ore YtD'!$G:$G,'DB Costi-Ore YtD'!$A:$A,H$1,'DB Costi-Ore YtD'!$B:$B,$A62,'DB Costi-Ore YtD'!$E:$E,$C62)-SUM($D62:G62),0)</f>
        <v>-1.1368683772161603E-13</v>
      </c>
      <c r="I62">
        <f>IF((I$1*1)&lt;=MAX('DB Costi-Ore YtD'!$A:$A),SUMIFS('DB Costi-Ore YtD'!$G:$G,'DB Costi-Ore YtD'!$A:$A,I$1,'DB Costi-Ore YtD'!$B:$B,$A62,'DB Costi-Ore YtD'!$E:$E,$C62)-SUM($D62:H62),0)</f>
        <v>0</v>
      </c>
      <c r="J62">
        <f>IF((J$1*1)&lt;=MAX('DB Costi-Ore YtD'!$A:$A),SUMIFS('DB Costi-Ore YtD'!$G:$G,'DB Costi-Ore YtD'!$A:$A,J$1,'DB Costi-Ore YtD'!$B:$B,$A62,'DB Costi-Ore YtD'!$E:$E,$C62)-SUM($D62:I62),0)</f>
        <v>0</v>
      </c>
      <c r="K62">
        <f>IF((K$1*1)&lt;=MAX('DB Costi-Ore YtD'!$A:$A),SUMIFS('DB Costi-Ore YtD'!$G:$G,'DB Costi-Ore YtD'!$A:$A,K$1,'DB Costi-Ore YtD'!$B:$B,$A62,'DB Costi-Ore YtD'!$E:$E,$C62)-SUM($D62:J62),0)</f>
        <v>0</v>
      </c>
      <c r="L62">
        <f>IF((L$1*1)&lt;=MAX('DB Costi-Ore YtD'!$A:$A),SUMIFS('DB Costi-Ore YtD'!$G:$G,'DB Costi-Ore YtD'!$A:$A,L$1,'DB Costi-Ore YtD'!$B:$B,$A62,'DB Costi-Ore YtD'!$E:$E,$C62)-SUM($D62:K62),0)</f>
        <v>0</v>
      </c>
      <c r="M62">
        <f>IF((M$1*1)&lt;=MAX('DB Costi-Ore YtD'!$A:$A),SUMIFS('DB Costi-Ore YtD'!$G:$G,'DB Costi-Ore YtD'!$A:$A,M$1,'DB Costi-Ore YtD'!$B:$B,$A62,'DB Costi-Ore YtD'!$E:$E,$C62)-SUM($D62:L62),0)</f>
        <v>0</v>
      </c>
      <c r="N62">
        <f>IF((N$1*1)&lt;=MAX('DB Costi-Ore YtD'!$A:$A),SUMIFS('DB Costi-Ore YtD'!$G:$G,'DB Costi-Ore YtD'!$A:$A,N$1,'DB Costi-Ore YtD'!$B:$B,$A62,'DB Costi-Ore YtD'!$E:$E,$C62)-SUM($D62:M62),0)</f>
        <v>0</v>
      </c>
      <c r="O62">
        <f>IF((O$1*1)&lt;=MAX('DB Costi-Ore YtD'!$A:$A),SUMIFS('DB Costi-Ore YtD'!$G:$G,'DB Costi-Ore YtD'!$A:$A,O$1,'DB Costi-Ore YtD'!$B:$B,$A62,'DB Costi-Ore YtD'!$E:$E,$C62)-SUM($D62:N62),0)</f>
        <v>0</v>
      </c>
    </row>
    <row r="63" spans="1:15" hidden="1" x14ac:dyDescent="0.3">
      <c r="A63" t="s">
        <v>151</v>
      </c>
      <c r="B63" t="s">
        <v>152</v>
      </c>
      <c r="C63" t="s">
        <v>3</v>
      </c>
      <c r="D63">
        <f>IF((D$1*1)&lt;=MAX('DB Costi-Ore YtD'!$A:$A),SUMIFS('DB Costi-Ore YtD'!$G:$G,'DB Costi-Ore YtD'!$A:$A,D$1,'DB Costi-Ore YtD'!$B:$B,$A63,'DB Costi-Ore YtD'!$E:$E,$C63),0)</f>
        <v>1495.2100000000003</v>
      </c>
      <c r="E63">
        <f>IF((E$1*1)&lt;=MAX('DB Costi-Ore YtD'!$A:$A),SUMIFS('DB Costi-Ore YtD'!$G:$G,'DB Costi-Ore YtD'!$A:$A,E$1,'DB Costi-Ore YtD'!$B:$B,$A63,'DB Costi-Ore YtD'!$E:$E,$C63)-SUM($D63:D63),0)</f>
        <v>1309.6399999999996</v>
      </c>
      <c r="F63">
        <f>IF((F$1*1)&lt;=MAX('DB Costi-Ore YtD'!$A:$A),SUMIFS('DB Costi-Ore YtD'!$G:$G,'DB Costi-Ore YtD'!$A:$A,F$1,'DB Costi-Ore YtD'!$B:$B,$A63,'DB Costi-Ore YtD'!$E:$E,$C63)-SUM($D63:E63),0)</f>
        <v>1382.5099999999998</v>
      </c>
      <c r="G63">
        <f>IF((G$1*1)&lt;=MAX('DB Costi-Ore YtD'!$A:$A),SUMIFS('DB Costi-Ore YtD'!$G:$G,'DB Costi-Ore YtD'!$A:$A,G$1,'DB Costi-Ore YtD'!$B:$B,$A63,'DB Costi-Ore YtD'!$E:$E,$C63)-SUM($D63:F63),0)</f>
        <v>1277.4700000000003</v>
      </c>
      <c r="H63">
        <f>IF((H$1*1)&lt;=MAX('DB Costi-Ore YtD'!$A:$A),SUMIFS('DB Costi-Ore YtD'!$G:$G,'DB Costi-Ore YtD'!$A:$A,H$1,'DB Costi-Ore YtD'!$B:$B,$A63,'DB Costi-Ore YtD'!$E:$E,$C63)-SUM($D63:G63),0)</f>
        <v>1196.0800000000008</v>
      </c>
      <c r="I63">
        <f>IF((I$1*1)&lt;=MAX('DB Costi-Ore YtD'!$A:$A),SUMIFS('DB Costi-Ore YtD'!$G:$G,'DB Costi-Ore YtD'!$A:$A,I$1,'DB Costi-Ore YtD'!$B:$B,$A63,'DB Costi-Ore YtD'!$E:$E,$C63)-SUM($D63:H63),0)</f>
        <v>1335.9100000000008</v>
      </c>
      <c r="J63">
        <f>IF((J$1*1)&lt;=MAX('DB Costi-Ore YtD'!$A:$A),SUMIFS('DB Costi-Ore YtD'!$G:$G,'DB Costi-Ore YtD'!$A:$A,J$1,'DB Costi-Ore YtD'!$B:$B,$A63,'DB Costi-Ore YtD'!$E:$E,$C63)-SUM($D63:I63),0)</f>
        <v>0</v>
      </c>
      <c r="K63">
        <f>IF((K$1*1)&lt;=MAX('DB Costi-Ore YtD'!$A:$A),SUMIFS('DB Costi-Ore YtD'!$G:$G,'DB Costi-Ore YtD'!$A:$A,K$1,'DB Costi-Ore YtD'!$B:$B,$A63,'DB Costi-Ore YtD'!$E:$E,$C63)-SUM($D63:J63),0)</f>
        <v>0</v>
      </c>
      <c r="L63">
        <f>IF((L$1*1)&lt;=MAX('DB Costi-Ore YtD'!$A:$A),SUMIFS('DB Costi-Ore YtD'!$G:$G,'DB Costi-Ore YtD'!$A:$A,L$1,'DB Costi-Ore YtD'!$B:$B,$A63,'DB Costi-Ore YtD'!$E:$E,$C63)-SUM($D63:K63),0)</f>
        <v>0</v>
      </c>
      <c r="M63">
        <f>IF((M$1*1)&lt;=MAX('DB Costi-Ore YtD'!$A:$A),SUMIFS('DB Costi-Ore YtD'!$G:$G,'DB Costi-Ore YtD'!$A:$A,M$1,'DB Costi-Ore YtD'!$B:$B,$A63,'DB Costi-Ore YtD'!$E:$E,$C63)-SUM($D63:L63),0)</f>
        <v>0</v>
      </c>
      <c r="N63">
        <f>IF((N$1*1)&lt;=MAX('DB Costi-Ore YtD'!$A:$A),SUMIFS('DB Costi-Ore YtD'!$G:$G,'DB Costi-Ore YtD'!$A:$A,N$1,'DB Costi-Ore YtD'!$B:$B,$A63,'DB Costi-Ore YtD'!$E:$E,$C63)-SUM($D63:M63),0)</f>
        <v>0</v>
      </c>
      <c r="O63">
        <f>IF((O$1*1)&lt;=MAX('DB Costi-Ore YtD'!$A:$A),SUMIFS('DB Costi-Ore YtD'!$G:$G,'DB Costi-Ore YtD'!$A:$A,O$1,'DB Costi-Ore YtD'!$B:$B,$A63,'DB Costi-Ore YtD'!$E:$E,$C63)-SUM($D63:N63),0)</f>
        <v>0</v>
      </c>
    </row>
    <row r="64" spans="1:15" hidden="1" x14ac:dyDescent="0.3">
      <c r="A64" t="s">
        <v>153</v>
      </c>
      <c r="B64" t="s">
        <v>154</v>
      </c>
      <c r="C64" t="s">
        <v>2</v>
      </c>
      <c r="D64">
        <f>IF((D$1*1)&lt;=MAX('DB Costi-Ore YtD'!$A:$A),SUMIFS('DB Costi-Ore YtD'!$G:$G,'DB Costi-Ore YtD'!$A:$A,D$1,'DB Costi-Ore YtD'!$B:$B,$A64,'DB Costi-Ore YtD'!$E:$E,$C64),0)</f>
        <v>2186.15</v>
      </c>
      <c r="E64">
        <f>IF((E$1*1)&lt;=MAX('DB Costi-Ore YtD'!$A:$A),SUMIFS('DB Costi-Ore YtD'!$G:$G,'DB Costi-Ore YtD'!$A:$A,E$1,'DB Costi-Ore YtD'!$B:$B,$A64,'DB Costi-Ore YtD'!$E:$E,$C64)-SUM($D64:D64),0)</f>
        <v>2219.9099999999994</v>
      </c>
      <c r="F64">
        <f>IF((F$1*1)&lt;=MAX('DB Costi-Ore YtD'!$A:$A),SUMIFS('DB Costi-Ore YtD'!$G:$G,'DB Costi-Ore YtD'!$A:$A,F$1,'DB Costi-Ore YtD'!$B:$B,$A64,'DB Costi-Ore YtD'!$E:$E,$C64)-SUM($D64:E64),0)</f>
        <v>1972.4700000000003</v>
      </c>
      <c r="G64">
        <f>IF((G$1*1)&lt;=MAX('DB Costi-Ore YtD'!$A:$A),SUMIFS('DB Costi-Ore YtD'!$G:$G,'DB Costi-Ore YtD'!$A:$A,G$1,'DB Costi-Ore YtD'!$B:$B,$A64,'DB Costi-Ore YtD'!$E:$E,$C64)-SUM($D64:F64),0)</f>
        <v>1974.37</v>
      </c>
      <c r="H64">
        <f>IF((H$1*1)&lt;=MAX('DB Costi-Ore YtD'!$A:$A),SUMIFS('DB Costi-Ore YtD'!$G:$G,'DB Costi-Ore YtD'!$A:$A,H$1,'DB Costi-Ore YtD'!$B:$B,$A64,'DB Costi-Ore YtD'!$E:$E,$C64)-SUM($D64:G64),0)</f>
        <v>1975.7600000000002</v>
      </c>
      <c r="I64">
        <f>IF((I$1*1)&lt;=MAX('DB Costi-Ore YtD'!$A:$A),SUMIFS('DB Costi-Ore YtD'!$G:$G,'DB Costi-Ore YtD'!$A:$A,I$1,'DB Costi-Ore YtD'!$B:$B,$A64,'DB Costi-Ore YtD'!$E:$E,$C64)-SUM($D64:H64),0)</f>
        <v>2154.0800000000017</v>
      </c>
      <c r="J64">
        <f>IF((J$1*1)&lt;=MAX('DB Costi-Ore YtD'!$A:$A),SUMIFS('DB Costi-Ore YtD'!$G:$G,'DB Costi-Ore YtD'!$A:$A,J$1,'DB Costi-Ore YtD'!$B:$B,$A64,'DB Costi-Ore YtD'!$E:$E,$C64)-SUM($D64:I64),0)</f>
        <v>0</v>
      </c>
      <c r="K64">
        <f>IF((K$1*1)&lt;=MAX('DB Costi-Ore YtD'!$A:$A),SUMIFS('DB Costi-Ore YtD'!$G:$G,'DB Costi-Ore YtD'!$A:$A,K$1,'DB Costi-Ore YtD'!$B:$B,$A64,'DB Costi-Ore YtD'!$E:$E,$C64)-SUM($D64:J64),0)</f>
        <v>0</v>
      </c>
      <c r="L64">
        <f>IF((L$1*1)&lt;=MAX('DB Costi-Ore YtD'!$A:$A),SUMIFS('DB Costi-Ore YtD'!$G:$G,'DB Costi-Ore YtD'!$A:$A,L$1,'DB Costi-Ore YtD'!$B:$B,$A64,'DB Costi-Ore YtD'!$E:$E,$C64)-SUM($D64:K64),0)</f>
        <v>0</v>
      </c>
      <c r="M64">
        <f>IF((M$1*1)&lt;=MAX('DB Costi-Ore YtD'!$A:$A),SUMIFS('DB Costi-Ore YtD'!$G:$G,'DB Costi-Ore YtD'!$A:$A,M$1,'DB Costi-Ore YtD'!$B:$B,$A64,'DB Costi-Ore YtD'!$E:$E,$C64)-SUM($D64:L64),0)</f>
        <v>0</v>
      </c>
      <c r="N64">
        <f>IF((N$1*1)&lt;=MAX('DB Costi-Ore YtD'!$A:$A),SUMIFS('DB Costi-Ore YtD'!$G:$G,'DB Costi-Ore YtD'!$A:$A,N$1,'DB Costi-Ore YtD'!$B:$B,$A64,'DB Costi-Ore YtD'!$E:$E,$C64)-SUM($D64:M64),0)</f>
        <v>0</v>
      </c>
      <c r="O64">
        <f>IF((O$1*1)&lt;=MAX('DB Costi-Ore YtD'!$A:$A),SUMIFS('DB Costi-Ore YtD'!$G:$G,'DB Costi-Ore YtD'!$A:$A,O$1,'DB Costi-Ore YtD'!$B:$B,$A64,'DB Costi-Ore YtD'!$E:$E,$C64)-SUM($D64:N64),0)</f>
        <v>0</v>
      </c>
    </row>
    <row r="65" spans="1:15" hidden="1" x14ac:dyDescent="0.3">
      <c r="A65" t="s">
        <v>155</v>
      </c>
      <c r="B65" t="s">
        <v>156</v>
      </c>
      <c r="C65" t="s">
        <v>7</v>
      </c>
      <c r="D65">
        <f>IF((D$1*1)&lt;=MAX('DB Costi-Ore YtD'!$A:$A),SUMIFS('DB Costi-Ore YtD'!$G:$G,'DB Costi-Ore YtD'!$A:$A,D$1,'DB Costi-Ore YtD'!$B:$B,$A65,'DB Costi-Ore YtD'!$E:$E,$C65),0)</f>
        <v>1967.5899999999997</v>
      </c>
      <c r="E65">
        <f>IF((E$1*1)&lt;=MAX('DB Costi-Ore YtD'!$A:$A),SUMIFS('DB Costi-Ore YtD'!$G:$G,'DB Costi-Ore YtD'!$A:$A,E$1,'DB Costi-Ore YtD'!$B:$B,$A65,'DB Costi-Ore YtD'!$E:$E,$C65)-SUM($D65:D65),0)</f>
        <v>1617.87</v>
      </c>
      <c r="F65">
        <f>IF((F$1*1)&lt;=MAX('DB Costi-Ore YtD'!$A:$A),SUMIFS('DB Costi-Ore YtD'!$G:$G,'DB Costi-Ore YtD'!$A:$A,F$1,'DB Costi-Ore YtD'!$B:$B,$A65,'DB Costi-Ore YtD'!$E:$E,$C65)-SUM($D65:E65),0)</f>
        <v>1694.7500000000014</v>
      </c>
      <c r="G65">
        <f>IF((G$1*1)&lt;=MAX('DB Costi-Ore YtD'!$A:$A),SUMIFS('DB Costi-Ore YtD'!$G:$G,'DB Costi-Ore YtD'!$A:$A,G$1,'DB Costi-Ore YtD'!$B:$B,$A65,'DB Costi-Ore YtD'!$E:$E,$C65)-SUM($D65:F65),0)</f>
        <v>1816.3999999999978</v>
      </c>
      <c r="H65">
        <f>IF((H$1*1)&lt;=MAX('DB Costi-Ore YtD'!$A:$A),SUMIFS('DB Costi-Ore YtD'!$G:$G,'DB Costi-Ore YtD'!$A:$A,H$1,'DB Costi-Ore YtD'!$B:$B,$A65,'DB Costi-Ore YtD'!$E:$E,$C65)-SUM($D65:G65),0)</f>
        <v>1307.9600000000009</v>
      </c>
      <c r="I65">
        <f>IF((I$1*1)&lt;=MAX('DB Costi-Ore YtD'!$A:$A),SUMIFS('DB Costi-Ore YtD'!$G:$G,'DB Costi-Ore YtD'!$A:$A,I$1,'DB Costi-Ore YtD'!$B:$B,$A65,'DB Costi-Ore YtD'!$E:$E,$C65)-SUM($D65:H65),0)</f>
        <v>1547.2499999999982</v>
      </c>
      <c r="J65">
        <f>IF((J$1*1)&lt;=MAX('DB Costi-Ore YtD'!$A:$A),SUMIFS('DB Costi-Ore YtD'!$G:$G,'DB Costi-Ore YtD'!$A:$A,J$1,'DB Costi-Ore YtD'!$B:$B,$A65,'DB Costi-Ore YtD'!$E:$E,$C65)-SUM($D65:I65),0)</f>
        <v>0</v>
      </c>
      <c r="K65">
        <f>IF((K$1*1)&lt;=MAX('DB Costi-Ore YtD'!$A:$A),SUMIFS('DB Costi-Ore YtD'!$G:$G,'DB Costi-Ore YtD'!$A:$A,K$1,'DB Costi-Ore YtD'!$B:$B,$A65,'DB Costi-Ore YtD'!$E:$E,$C65)-SUM($D65:J65),0)</f>
        <v>0</v>
      </c>
      <c r="L65">
        <f>IF((L$1*1)&lt;=MAX('DB Costi-Ore YtD'!$A:$A),SUMIFS('DB Costi-Ore YtD'!$G:$G,'DB Costi-Ore YtD'!$A:$A,L$1,'DB Costi-Ore YtD'!$B:$B,$A65,'DB Costi-Ore YtD'!$E:$E,$C65)-SUM($D65:K65),0)</f>
        <v>0</v>
      </c>
      <c r="M65">
        <f>IF((M$1*1)&lt;=MAX('DB Costi-Ore YtD'!$A:$A),SUMIFS('DB Costi-Ore YtD'!$G:$G,'DB Costi-Ore YtD'!$A:$A,M$1,'DB Costi-Ore YtD'!$B:$B,$A65,'DB Costi-Ore YtD'!$E:$E,$C65)-SUM($D65:L65),0)</f>
        <v>0</v>
      </c>
      <c r="N65">
        <f>IF((N$1*1)&lt;=MAX('DB Costi-Ore YtD'!$A:$A),SUMIFS('DB Costi-Ore YtD'!$G:$G,'DB Costi-Ore YtD'!$A:$A,N$1,'DB Costi-Ore YtD'!$B:$B,$A65,'DB Costi-Ore YtD'!$E:$E,$C65)-SUM($D65:M65),0)</f>
        <v>0</v>
      </c>
      <c r="O65">
        <f>IF((O$1*1)&lt;=MAX('DB Costi-Ore YtD'!$A:$A),SUMIFS('DB Costi-Ore YtD'!$G:$G,'DB Costi-Ore YtD'!$A:$A,O$1,'DB Costi-Ore YtD'!$B:$B,$A65,'DB Costi-Ore YtD'!$E:$E,$C65)-SUM($D65:N65),0)</f>
        <v>0</v>
      </c>
    </row>
    <row r="66" spans="1:15" hidden="1" x14ac:dyDescent="0.3">
      <c r="A66" t="s">
        <v>157</v>
      </c>
      <c r="B66" t="s">
        <v>158</v>
      </c>
      <c r="C66" t="s">
        <v>3</v>
      </c>
      <c r="D66">
        <f>IF((D$1*1)&lt;=MAX('DB Costi-Ore YtD'!$A:$A),SUMIFS('DB Costi-Ore YtD'!$G:$G,'DB Costi-Ore YtD'!$A:$A,D$1,'DB Costi-Ore YtD'!$B:$B,$A66,'DB Costi-Ore YtD'!$E:$E,$C66),0)</f>
        <v>2172.2600000000002</v>
      </c>
      <c r="E66">
        <f>IF((E$1*1)&lt;=MAX('DB Costi-Ore YtD'!$A:$A),SUMIFS('DB Costi-Ore YtD'!$G:$G,'DB Costi-Ore YtD'!$A:$A,E$1,'DB Costi-Ore YtD'!$B:$B,$A66,'DB Costi-Ore YtD'!$E:$E,$C66)-SUM($D66:D66),0)</f>
        <v>2117.88</v>
      </c>
      <c r="F66">
        <f>IF((F$1*1)&lt;=MAX('DB Costi-Ore YtD'!$A:$A),SUMIFS('DB Costi-Ore YtD'!$G:$G,'DB Costi-Ore YtD'!$A:$A,F$1,'DB Costi-Ore YtD'!$B:$B,$A66,'DB Costi-Ore YtD'!$E:$E,$C66)-SUM($D66:E66),0)</f>
        <v>2157.75</v>
      </c>
      <c r="G66">
        <f>IF((G$1*1)&lt;=MAX('DB Costi-Ore YtD'!$A:$A),SUMIFS('DB Costi-Ore YtD'!$G:$G,'DB Costi-Ore YtD'!$A:$A,G$1,'DB Costi-Ore YtD'!$B:$B,$A66,'DB Costi-Ore YtD'!$E:$E,$C66)-SUM($D66:F66),0)</f>
        <v>2015.63</v>
      </c>
      <c r="H66">
        <f>IF((H$1*1)&lt;=MAX('DB Costi-Ore YtD'!$A:$A),SUMIFS('DB Costi-Ore YtD'!$G:$G,'DB Costi-Ore YtD'!$A:$A,H$1,'DB Costi-Ore YtD'!$B:$B,$A66,'DB Costi-Ore YtD'!$E:$E,$C66)-SUM($D66:G66),0)</f>
        <v>-8463.52</v>
      </c>
      <c r="I66">
        <f>IF((I$1*1)&lt;=MAX('DB Costi-Ore YtD'!$A:$A),SUMIFS('DB Costi-Ore YtD'!$G:$G,'DB Costi-Ore YtD'!$A:$A,I$1,'DB Costi-Ore YtD'!$B:$B,$A66,'DB Costi-Ore YtD'!$E:$E,$C66)-SUM($D66:H66),0)</f>
        <v>0</v>
      </c>
      <c r="J66">
        <f>IF((J$1*1)&lt;=MAX('DB Costi-Ore YtD'!$A:$A),SUMIFS('DB Costi-Ore YtD'!$G:$G,'DB Costi-Ore YtD'!$A:$A,J$1,'DB Costi-Ore YtD'!$B:$B,$A66,'DB Costi-Ore YtD'!$E:$E,$C66)-SUM($D66:I66),0)</f>
        <v>0</v>
      </c>
      <c r="K66">
        <f>IF((K$1*1)&lt;=MAX('DB Costi-Ore YtD'!$A:$A),SUMIFS('DB Costi-Ore YtD'!$G:$G,'DB Costi-Ore YtD'!$A:$A,K$1,'DB Costi-Ore YtD'!$B:$B,$A66,'DB Costi-Ore YtD'!$E:$E,$C66)-SUM($D66:J66),0)</f>
        <v>0</v>
      </c>
      <c r="L66">
        <f>IF((L$1*1)&lt;=MAX('DB Costi-Ore YtD'!$A:$A),SUMIFS('DB Costi-Ore YtD'!$G:$G,'DB Costi-Ore YtD'!$A:$A,L$1,'DB Costi-Ore YtD'!$B:$B,$A66,'DB Costi-Ore YtD'!$E:$E,$C66)-SUM($D66:K66),0)</f>
        <v>0</v>
      </c>
      <c r="M66">
        <f>IF((M$1*1)&lt;=MAX('DB Costi-Ore YtD'!$A:$A),SUMIFS('DB Costi-Ore YtD'!$G:$G,'DB Costi-Ore YtD'!$A:$A,M$1,'DB Costi-Ore YtD'!$B:$B,$A66,'DB Costi-Ore YtD'!$E:$E,$C66)-SUM($D66:L66),0)</f>
        <v>0</v>
      </c>
      <c r="N66">
        <f>IF((N$1*1)&lt;=MAX('DB Costi-Ore YtD'!$A:$A),SUMIFS('DB Costi-Ore YtD'!$G:$G,'DB Costi-Ore YtD'!$A:$A,N$1,'DB Costi-Ore YtD'!$B:$B,$A66,'DB Costi-Ore YtD'!$E:$E,$C66)-SUM($D66:M66),0)</f>
        <v>0</v>
      </c>
      <c r="O66">
        <f>IF((O$1*1)&lt;=MAX('DB Costi-Ore YtD'!$A:$A),SUMIFS('DB Costi-Ore YtD'!$G:$G,'DB Costi-Ore YtD'!$A:$A,O$1,'DB Costi-Ore YtD'!$B:$B,$A66,'DB Costi-Ore YtD'!$E:$E,$C66)-SUM($D66:N66),0)</f>
        <v>0</v>
      </c>
    </row>
    <row r="67" spans="1:15" hidden="1" x14ac:dyDescent="0.3">
      <c r="A67" t="s">
        <v>159</v>
      </c>
      <c r="B67" t="s">
        <v>160</v>
      </c>
      <c r="C67" t="s">
        <v>3</v>
      </c>
      <c r="D67">
        <f>IF((D$1*1)&lt;=MAX('DB Costi-Ore YtD'!$A:$A),SUMIFS('DB Costi-Ore YtD'!$G:$G,'DB Costi-Ore YtD'!$A:$A,D$1,'DB Costi-Ore YtD'!$B:$B,$A67,'DB Costi-Ore YtD'!$E:$E,$C67),0)</f>
        <v>2332.25</v>
      </c>
      <c r="E67">
        <f>IF((E$1*1)&lt;=MAX('DB Costi-Ore YtD'!$A:$A),SUMIFS('DB Costi-Ore YtD'!$G:$G,'DB Costi-Ore YtD'!$A:$A,E$1,'DB Costi-Ore YtD'!$B:$B,$A67,'DB Costi-Ore YtD'!$E:$E,$C67)-SUM($D67:D67),0)</f>
        <v>2221.33</v>
      </c>
      <c r="F67">
        <f>IF((F$1*1)&lt;=MAX('DB Costi-Ore YtD'!$A:$A),SUMIFS('DB Costi-Ore YtD'!$G:$G,'DB Costi-Ore YtD'!$A:$A,F$1,'DB Costi-Ore YtD'!$B:$B,$A67,'DB Costi-Ore YtD'!$E:$E,$C67)-SUM($D67:E67),0)</f>
        <v>2170.2600000000002</v>
      </c>
      <c r="G67">
        <f>IF((G$1*1)&lt;=MAX('DB Costi-Ore YtD'!$A:$A),SUMIFS('DB Costi-Ore YtD'!$G:$G,'DB Costi-Ore YtD'!$A:$A,G$1,'DB Costi-Ore YtD'!$B:$B,$A67,'DB Costi-Ore YtD'!$E:$E,$C67)-SUM($D67:F67),0)</f>
        <v>2411.09</v>
      </c>
      <c r="H67">
        <f>IF((H$1*1)&lt;=MAX('DB Costi-Ore YtD'!$A:$A),SUMIFS('DB Costi-Ore YtD'!$G:$G,'DB Costi-Ore YtD'!$A:$A,H$1,'DB Costi-Ore YtD'!$B:$B,$A67,'DB Costi-Ore YtD'!$E:$E,$C67)-SUM($D67:G67),0)</f>
        <v>2283.5200000000004</v>
      </c>
      <c r="I67">
        <f>IF((I$1*1)&lt;=MAX('DB Costi-Ore YtD'!$A:$A),SUMIFS('DB Costi-Ore YtD'!$G:$G,'DB Costi-Ore YtD'!$A:$A,I$1,'DB Costi-Ore YtD'!$B:$B,$A67,'DB Costi-Ore YtD'!$E:$E,$C67)-SUM($D67:H67),0)</f>
        <v>2376.4499999999989</v>
      </c>
      <c r="J67">
        <f>IF((J$1*1)&lt;=MAX('DB Costi-Ore YtD'!$A:$A),SUMIFS('DB Costi-Ore YtD'!$G:$G,'DB Costi-Ore YtD'!$A:$A,J$1,'DB Costi-Ore YtD'!$B:$B,$A67,'DB Costi-Ore YtD'!$E:$E,$C67)-SUM($D67:I67),0)</f>
        <v>0</v>
      </c>
      <c r="K67">
        <f>IF((K$1*1)&lt;=MAX('DB Costi-Ore YtD'!$A:$A),SUMIFS('DB Costi-Ore YtD'!$G:$G,'DB Costi-Ore YtD'!$A:$A,K$1,'DB Costi-Ore YtD'!$B:$B,$A67,'DB Costi-Ore YtD'!$E:$E,$C67)-SUM($D67:J67),0)</f>
        <v>0</v>
      </c>
      <c r="L67">
        <f>IF((L$1*1)&lt;=MAX('DB Costi-Ore YtD'!$A:$A),SUMIFS('DB Costi-Ore YtD'!$G:$G,'DB Costi-Ore YtD'!$A:$A,L$1,'DB Costi-Ore YtD'!$B:$B,$A67,'DB Costi-Ore YtD'!$E:$E,$C67)-SUM($D67:K67),0)</f>
        <v>0</v>
      </c>
      <c r="M67">
        <f>IF((M$1*1)&lt;=MAX('DB Costi-Ore YtD'!$A:$A),SUMIFS('DB Costi-Ore YtD'!$G:$G,'DB Costi-Ore YtD'!$A:$A,M$1,'DB Costi-Ore YtD'!$B:$B,$A67,'DB Costi-Ore YtD'!$E:$E,$C67)-SUM($D67:L67),0)</f>
        <v>0</v>
      </c>
      <c r="N67">
        <f>IF((N$1*1)&lt;=MAX('DB Costi-Ore YtD'!$A:$A),SUMIFS('DB Costi-Ore YtD'!$G:$G,'DB Costi-Ore YtD'!$A:$A,N$1,'DB Costi-Ore YtD'!$B:$B,$A67,'DB Costi-Ore YtD'!$E:$E,$C67)-SUM($D67:M67),0)</f>
        <v>0</v>
      </c>
      <c r="O67">
        <f>IF((O$1*1)&lt;=MAX('DB Costi-Ore YtD'!$A:$A),SUMIFS('DB Costi-Ore YtD'!$G:$G,'DB Costi-Ore YtD'!$A:$A,O$1,'DB Costi-Ore YtD'!$B:$B,$A67,'DB Costi-Ore YtD'!$E:$E,$C67)-SUM($D67:N67),0)</f>
        <v>0</v>
      </c>
    </row>
    <row r="68" spans="1:15" x14ac:dyDescent="0.3">
      <c r="A68" t="s">
        <v>161</v>
      </c>
      <c r="B68" t="s">
        <v>162</v>
      </c>
      <c r="C68" t="s">
        <v>13</v>
      </c>
      <c r="D68">
        <f>IF((D$1*1)&lt;=MAX('DB Costi-Ore YtD'!$A:$A),SUMIFS('DB Costi-Ore YtD'!$G:$G,'DB Costi-Ore YtD'!$A:$A,D$1,'DB Costi-Ore YtD'!$B:$B,$A68,'DB Costi-Ore YtD'!$E:$E,$C68),0)</f>
        <v>2037.94</v>
      </c>
      <c r="E68">
        <f>IF((E$1*1)&lt;=MAX('DB Costi-Ore YtD'!$A:$A),SUMIFS('DB Costi-Ore YtD'!$G:$G,'DB Costi-Ore YtD'!$A:$A,E$1,'DB Costi-Ore YtD'!$B:$B,$A68,'DB Costi-Ore YtD'!$E:$E,$C68)-SUM($D68:D68),0)</f>
        <v>2274.4699999999998</v>
      </c>
      <c r="F68">
        <f>IF((F$1*1)&lt;=MAX('DB Costi-Ore YtD'!$A:$A),SUMIFS('DB Costi-Ore YtD'!$G:$G,'DB Costi-Ore YtD'!$A:$A,F$1,'DB Costi-Ore YtD'!$B:$B,$A68,'DB Costi-Ore YtD'!$E:$E,$C68)-SUM($D68:E68),0)</f>
        <v>2280.8000000000011</v>
      </c>
      <c r="G68">
        <f>IF((G$1*1)&lt;=MAX('DB Costi-Ore YtD'!$A:$A),SUMIFS('DB Costi-Ore YtD'!$G:$G,'DB Costi-Ore YtD'!$A:$A,G$1,'DB Costi-Ore YtD'!$B:$B,$A68,'DB Costi-Ore YtD'!$E:$E,$C68)-SUM($D68:F68),0)</f>
        <v>2811.3999999999996</v>
      </c>
      <c r="H68">
        <f>IF((H$1*1)&lt;=MAX('DB Costi-Ore YtD'!$A:$A),SUMIFS('DB Costi-Ore YtD'!$G:$G,'DB Costi-Ore YtD'!$A:$A,H$1,'DB Costi-Ore YtD'!$B:$B,$A68,'DB Costi-Ore YtD'!$E:$E,$C68)-SUM($D68:G68),0)</f>
        <v>2573.6699999999964</v>
      </c>
      <c r="I68">
        <f>IF((I$1*1)&lt;=MAX('DB Costi-Ore YtD'!$A:$A),SUMIFS('DB Costi-Ore YtD'!$G:$G,'DB Costi-Ore YtD'!$A:$A,I$1,'DB Costi-Ore YtD'!$B:$B,$A68,'DB Costi-Ore YtD'!$E:$E,$C68)-SUM($D68:H68),0)</f>
        <v>1958.1800000000021</v>
      </c>
      <c r="J68">
        <f>IF((J$1*1)&lt;=MAX('DB Costi-Ore YtD'!$A:$A),SUMIFS('DB Costi-Ore YtD'!$G:$G,'DB Costi-Ore YtD'!$A:$A,J$1,'DB Costi-Ore YtD'!$B:$B,$A68,'DB Costi-Ore YtD'!$E:$E,$C68)-SUM($D68:I68),0)</f>
        <v>0</v>
      </c>
      <c r="K68">
        <f>IF((K$1*1)&lt;=MAX('DB Costi-Ore YtD'!$A:$A),SUMIFS('DB Costi-Ore YtD'!$G:$G,'DB Costi-Ore YtD'!$A:$A,K$1,'DB Costi-Ore YtD'!$B:$B,$A68,'DB Costi-Ore YtD'!$E:$E,$C68)-SUM($D68:J68),0)</f>
        <v>0</v>
      </c>
      <c r="L68">
        <f>IF((L$1*1)&lt;=MAX('DB Costi-Ore YtD'!$A:$A),SUMIFS('DB Costi-Ore YtD'!$G:$G,'DB Costi-Ore YtD'!$A:$A,L$1,'DB Costi-Ore YtD'!$B:$B,$A68,'DB Costi-Ore YtD'!$E:$E,$C68)-SUM($D68:K68),0)</f>
        <v>0</v>
      </c>
      <c r="M68">
        <f>IF((M$1*1)&lt;=MAX('DB Costi-Ore YtD'!$A:$A),SUMIFS('DB Costi-Ore YtD'!$G:$G,'DB Costi-Ore YtD'!$A:$A,M$1,'DB Costi-Ore YtD'!$B:$B,$A68,'DB Costi-Ore YtD'!$E:$E,$C68)-SUM($D68:L68),0)</f>
        <v>0</v>
      </c>
      <c r="N68">
        <f>IF((N$1*1)&lt;=MAX('DB Costi-Ore YtD'!$A:$A),SUMIFS('DB Costi-Ore YtD'!$G:$G,'DB Costi-Ore YtD'!$A:$A,N$1,'DB Costi-Ore YtD'!$B:$B,$A68,'DB Costi-Ore YtD'!$E:$E,$C68)-SUM($D68:M68),0)</f>
        <v>0</v>
      </c>
      <c r="O68">
        <f>IF((O$1*1)&lt;=MAX('DB Costi-Ore YtD'!$A:$A),SUMIFS('DB Costi-Ore YtD'!$G:$G,'DB Costi-Ore YtD'!$A:$A,O$1,'DB Costi-Ore YtD'!$B:$B,$A68,'DB Costi-Ore YtD'!$E:$E,$C68)-SUM($D68:N68),0)</f>
        <v>0</v>
      </c>
    </row>
    <row r="69" spans="1:15" hidden="1" x14ac:dyDescent="0.3">
      <c r="A69" t="s">
        <v>163</v>
      </c>
      <c r="B69" t="s">
        <v>164</v>
      </c>
      <c r="C69" t="s">
        <v>8</v>
      </c>
      <c r="D69">
        <f>IF((D$1*1)&lt;=MAX('DB Costi-Ore YtD'!$A:$A),SUMIFS('DB Costi-Ore YtD'!$G:$G,'DB Costi-Ore YtD'!$A:$A,D$1,'DB Costi-Ore YtD'!$B:$B,$A69,'DB Costi-Ore YtD'!$E:$E,$C69),0)</f>
        <v>4084.72</v>
      </c>
      <c r="E69">
        <f>IF((E$1*1)&lt;=MAX('DB Costi-Ore YtD'!$A:$A),SUMIFS('DB Costi-Ore YtD'!$G:$G,'DB Costi-Ore YtD'!$A:$A,E$1,'DB Costi-Ore YtD'!$B:$B,$A69,'DB Costi-Ore YtD'!$E:$E,$C69)-SUM($D69:D69),0)</f>
        <v>2807.2600000000016</v>
      </c>
      <c r="F69">
        <f>IF((F$1*1)&lt;=MAX('DB Costi-Ore YtD'!$A:$A),SUMIFS('DB Costi-Ore YtD'!$G:$G,'DB Costi-Ore YtD'!$A:$A,F$1,'DB Costi-Ore YtD'!$B:$B,$A69,'DB Costi-Ore YtD'!$E:$E,$C69)-SUM($D69:E69),0)</f>
        <v>3007.6499999999996</v>
      </c>
      <c r="G69">
        <f>IF((G$1*1)&lt;=MAX('DB Costi-Ore YtD'!$A:$A),SUMIFS('DB Costi-Ore YtD'!$G:$G,'DB Costi-Ore YtD'!$A:$A,G$1,'DB Costi-Ore YtD'!$B:$B,$A69,'DB Costi-Ore YtD'!$E:$E,$C69)-SUM($D69:F69),0)</f>
        <v>2886.1099999999988</v>
      </c>
      <c r="H69">
        <f>IF((H$1*1)&lt;=MAX('DB Costi-Ore YtD'!$A:$A),SUMIFS('DB Costi-Ore YtD'!$G:$G,'DB Costi-Ore YtD'!$A:$A,H$1,'DB Costi-Ore YtD'!$B:$B,$A69,'DB Costi-Ore YtD'!$E:$E,$C69)-SUM($D69:G69),0)</f>
        <v>2794.8600000000006</v>
      </c>
      <c r="I69">
        <f>IF((I$1*1)&lt;=MAX('DB Costi-Ore YtD'!$A:$A),SUMIFS('DB Costi-Ore YtD'!$G:$G,'DB Costi-Ore YtD'!$A:$A,I$1,'DB Costi-Ore YtD'!$B:$B,$A69,'DB Costi-Ore YtD'!$E:$E,$C69)-SUM($D69:H69),0)</f>
        <v>2558.5000000000018</v>
      </c>
      <c r="J69">
        <f>IF((J$1*1)&lt;=MAX('DB Costi-Ore YtD'!$A:$A),SUMIFS('DB Costi-Ore YtD'!$G:$G,'DB Costi-Ore YtD'!$A:$A,J$1,'DB Costi-Ore YtD'!$B:$B,$A69,'DB Costi-Ore YtD'!$E:$E,$C69)-SUM($D69:I69),0)</f>
        <v>0</v>
      </c>
      <c r="K69">
        <f>IF((K$1*1)&lt;=MAX('DB Costi-Ore YtD'!$A:$A),SUMIFS('DB Costi-Ore YtD'!$G:$G,'DB Costi-Ore YtD'!$A:$A,K$1,'DB Costi-Ore YtD'!$B:$B,$A69,'DB Costi-Ore YtD'!$E:$E,$C69)-SUM($D69:J69),0)</f>
        <v>0</v>
      </c>
      <c r="L69">
        <f>IF((L$1*1)&lt;=MAX('DB Costi-Ore YtD'!$A:$A),SUMIFS('DB Costi-Ore YtD'!$G:$G,'DB Costi-Ore YtD'!$A:$A,L$1,'DB Costi-Ore YtD'!$B:$B,$A69,'DB Costi-Ore YtD'!$E:$E,$C69)-SUM($D69:K69),0)</f>
        <v>0</v>
      </c>
      <c r="M69">
        <f>IF((M$1*1)&lt;=MAX('DB Costi-Ore YtD'!$A:$A),SUMIFS('DB Costi-Ore YtD'!$G:$G,'DB Costi-Ore YtD'!$A:$A,M$1,'DB Costi-Ore YtD'!$B:$B,$A69,'DB Costi-Ore YtD'!$E:$E,$C69)-SUM($D69:L69),0)</f>
        <v>0</v>
      </c>
      <c r="N69">
        <f>IF((N$1*1)&lt;=MAX('DB Costi-Ore YtD'!$A:$A),SUMIFS('DB Costi-Ore YtD'!$G:$G,'DB Costi-Ore YtD'!$A:$A,N$1,'DB Costi-Ore YtD'!$B:$B,$A69,'DB Costi-Ore YtD'!$E:$E,$C69)-SUM($D69:M69),0)</f>
        <v>0</v>
      </c>
      <c r="O69">
        <f>IF((O$1*1)&lt;=MAX('DB Costi-Ore YtD'!$A:$A),SUMIFS('DB Costi-Ore YtD'!$G:$G,'DB Costi-Ore YtD'!$A:$A,O$1,'DB Costi-Ore YtD'!$B:$B,$A69,'DB Costi-Ore YtD'!$E:$E,$C69)-SUM($D69:N69),0)</f>
        <v>0</v>
      </c>
    </row>
    <row r="70" spans="1:15" hidden="1" x14ac:dyDescent="0.3">
      <c r="A70" t="s">
        <v>165</v>
      </c>
      <c r="B70" t="s">
        <v>166</v>
      </c>
      <c r="C70" t="s">
        <v>3</v>
      </c>
      <c r="D70">
        <f>IF((D$1*1)&lt;=MAX('DB Costi-Ore YtD'!$A:$A),SUMIFS('DB Costi-Ore YtD'!$G:$G,'DB Costi-Ore YtD'!$A:$A,D$1,'DB Costi-Ore YtD'!$B:$B,$A70,'DB Costi-Ore YtD'!$E:$E,$C70),0)</f>
        <v>1639.6300000000003</v>
      </c>
      <c r="E70">
        <f>IF((E$1*1)&lt;=MAX('DB Costi-Ore YtD'!$A:$A),SUMIFS('DB Costi-Ore YtD'!$G:$G,'DB Costi-Ore YtD'!$A:$A,E$1,'DB Costi-Ore YtD'!$B:$B,$A70,'DB Costi-Ore YtD'!$E:$E,$C70)-SUM($D70:D70),0)</f>
        <v>1783.7999999999995</v>
      </c>
      <c r="F70">
        <f>IF((F$1*1)&lt;=MAX('DB Costi-Ore YtD'!$A:$A),SUMIFS('DB Costi-Ore YtD'!$G:$G,'DB Costi-Ore YtD'!$A:$A,F$1,'DB Costi-Ore YtD'!$B:$B,$A70,'DB Costi-Ore YtD'!$E:$E,$C70)-SUM($D70:E70),0)</f>
        <v>1827.6300000000006</v>
      </c>
      <c r="G70">
        <f>IF((G$1*1)&lt;=MAX('DB Costi-Ore YtD'!$A:$A),SUMIFS('DB Costi-Ore YtD'!$G:$G,'DB Costi-Ore YtD'!$A:$A,G$1,'DB Costi-Ore YtD'!$B:$B,$A70,'DB Costi-Ore YtD'!$E:$E,$C70)-SUM($D70:F70),0)</f>
        <v>2057.6900000000005</v>
      </c>
      <c r="H70">
        <f>IF((H$1*1)&lt;=MAX('DB Costi-Ore YtD'!$A:$A),SUMIFS('DB Costi-Ore YtD'!$G:$G,'DB Costi-Ore YtD'!$A:$A,H$1,'DB Costi-Ore YtD'!$B:$B,$A70,'DB Costi-Ore YtD'!$E:$E,$C70)-SUM($D70:G70),0)</f>
        <v>1845.8900000000003</v>
      </c>
      <c r="I70">
        <f>IF((I$1*1)&lt;=MAX('DB Costi-Ore YtD'!$A:$A),SUMIFS('DB Costi-Ore YtD'!$G:$G,'DB Costi-Ore YtD'!$A:$A,I$1,'DB Costi-Ore YtD'!$B:$B,$A70,'DB Costi-Ore YtD'!$E:$E,$C70)-SUM($D70:H70),0)</f>
        <v>1971.8700000000008</v>
      </c>
      <c r="J70">
        <f>IF((J$1*1)&lt;=MAX('DB Costi-Ore YtD'!$A:$A),SUMIFS('DB Costi-Ore YtD'!$G:$G,'DB Costi-Ore YtD'!$A:$A,J$1,'DB Costi-Ore YtD'!$B:$B,$A70,'DB Costi-Ore YtD'!$E:$E,$C70)-SUM($D70:I70),0)</f>
        <v>0</v>
      </c>
      <c r="K70">
        <f>IF((K$1*1)&lt;=MAX('DB Costi-Ore YtD'!$A:$A),SUMIFS('DB Costi-Ore YtD'!$G:$G,'DB Costi-Ore YtD'!$A:$A,K$1,'DB Costi-Ore YtD'!$B:$B,$A70,'DB Costi-Ore YtD'!$E:$E,$C70)-SUM($D70:J70),0)</f>
        <v>0</v>
      </c>
      <c r="L70">
        <f>IF((L$1*1)&lt;=MAX('DB Costi-Ore YtD'!$A:$A),SUMIFS('DB Costi-Ore YtD'!$G:$G,'DB Costi-Ore YtD'!$A:$A,L$1,'DB Costi-Ore YtD'!$B:$B,$A70,'DB Costi-Ore YtD'!$E:$E,$C70)-SUM($D70:K70),0)</f>
        <v>0</v>
      </c>
      <c r="M70">
        <f>IF((M$1*1)&lt;=MAX('DB Costi-Ore YtD'!$A:$A),SUMIFS('DB Costi-Ore YtD'!$G:$G,'DB Costi-Ore YtD'!$A:$A,M$1,'DB Costi-Ore YtD'!$B:$B,$A70,'DB Costi-Ore YtD'!$E:$E,$C70)-SUM($D70:L70),0)</f>
        <v>0</v>
      </c>
      <c r="N70">
        <f>IF((N$1*1)&lt;=MAX('DB Costi-Ore YtD'!$A:$A),SUMIFS('DB Costi-Ore YtD'!$G:$G,'DB Costi-Ore YtD'!$A:$A,N$1,'DB Costi-Ore YtD'!$B:$B,$A70,'DB Costi-Ore YtD'!$E:$E,$C70)-SUM($D70:M70),0)</f>
        <v>0</v>
      </c>
      <c r="O70">
        <f>IF((O$1*1)&lt;=MAX('DB Costi-Ore YtD'!$A:$A),SUMIFS('DB Costi-Ore YtD'!$G:$G,'DB Costi-Ore YtD'!$A:$A,O$1,'DB Costi-Ore YtD'!$B:$B,$A70,'DB Costi-Ore YtD'!$E:$E,$C70)-SUM($D70:N70),0)</f>
        <v>0</v>
      </c>
    </row>
    <row r="71" spans="1:15" hidden="1" x14ac:dyDescent="0.3">
      <c r="A71" t="s">
        <v>167</v>
      </c>
      <c r="B71" t="s">
        <v>168</v>
      </c>
      <c r="C71" t="s">
        <v>3</v>
      </c>
      <c r="D71">
        <f>IF((D$1*1)&lt;=MAX('DB Costi-Ore YtD'!$A:$A),SUMIFS('DB Costi-Ore YtD'!$G:$G,'DB Costi-Ore YtD'!$A:$A,D$1,'DB Costi-Ore YtD'!$B:$B,$A71,'DB Costi-Ore YtD'!$E:$E,$C71),0)</f>
        <v>2139.92</v>
      </c>
      <c r="E71">
        <f>IF((E$1*1)&lt;=MAX('DB Costi-Ore YtD'!$A:$A),SUMIFS('DB Costi-Ore YtD'!$G:$G,'DB Costi-Ore YtD'!$A:$A,E$1,'DB Costi-Ore YtD'!$B:$B,$A71,'DB Costi-Ore YtD'!$E:$E,$C71)-SUM($D71:D71),0)</f>
        <v>2077.13</v>
      </c>
      <c r="F71">
        <f>IF((F$1*1)&lt;=MAX('DB Costi-Ore YtD'!$A:$A),SUMIFS('DB Costi-Ore YtD'!$G:$G,'DB Costi-Ore YtD'!$A:$A,F$1,'DB Costi-Ore YtD'!$B:$B,$A71,'DB Costi-Ore YtD'!$E:$E,$C71)-SUM($D71:E71),0)</f>
        <v>2047.5500000000002</v>
      </c>
      <c r="G71">
        <f>IF((G$1*1)&lt;=MAX('DB Costi-Ore YtD'!$A:$A),SUMIFS('DB Costi-Ore YtD'!$G:$G,'DB Costi-Ore YtD'!$A:$A,G$1,'DB Costi-Ore YtD'!$B:$B,$A71,'DB Costi-Ore YtD'!$E:$E,$C71)-SUM($D71:F71),0)</f>
        <v>2090.9400000000005</v>
      </c>
      <c r="H71">
        <f>IF((H$1*1)&lt;=MAX('DB Costi-Ore YtD'!$A:$A),SUMIFS('DB Costi-Ore YtD'!$G:$G,'DB Costi-Ore YtD'!$A:$A,H$1,'DB Costi-Ore YtD'!$B:$B,$A71,'DB Costi-Ore YtD'!$E:$E,$C71)-SUM($D71:G71),0)</f>
        <v>2012.8899999999994</v>
      </c>
      <c r="I71">
        <f>IF((I$1*1)&lt;=MAX('DB Costi-Ore YtD'!$A:$A),SUMIFS('DB Costi-Ore YtD'!$G:$G,'DB Costi-Ore YtD'!$A:$A,I$1,'DB Costi-Ore YtD'!$B:$B,$A71,'DB Costi-Ore YtD'!$E:$E,$C71)-SUM($D71:H71),0)</f>
        <v>1782.4599999999991</v>
      </c>
      <c r="J71">
        <f>IF((J$1*1)&lt;=MAX('DB Costi-Ore YtD'!$A:$A),SUMIFS('DB Costi-Ore YtD'!$G:$G,'DB Costi-Ore YtD'!$A:$A,J$1,'DB Costi-Ore YtD'!$B:$B,$A71,'DB Costi-Ore YtD'!$E:$E,$C71)-SUM($D71:I71),0)</f>
        <v>0</v>
      </c>
      <c r="K71">
        <f>IF((K$1*1)&lt;=MAX('DB Costi-Ore YtD'!$A:$A),SUMIFS('DB Costi-Ore YtD'!$G:$G,'DB Costi-Ore YtD'!$A:$A,K$1,'DB Costi-Ore YtD'!$B:$B,$A71,'DB Costi-Ore YtD'!$E:$E,$C71)-SUM($D71:J71),0)</f>
        <v>0</v>
      </c>
      <c r="L71">
        <f>IF((L$1*1)&lt;=MAX('DB Costi-Ore YtD'!$A:$A),SUMIFS('DB Costi-Ore YtD'!$G:$G,'DB Costi-Ore YtD'!$A:$A,L$1,'DB Costi-Ore YtD'!$B:$B,$A71,'DB Costi-Ore YtD'!$E:$E,$C71)-SUM($D71:K71),0)</f>
        <v>0</v>
      </c>
      <c r="M71">
        <f>IF((M$1*1)&lt;=MAX('DB Costi-Ore YtD'!$A:$A),SUMIFS('DB Costi-Ore YtD'!$G:$G,'DB Costi-Ore YtD'!$A:$A,M$1,'DB Costi-Ore YtD'!$B:$B,$A71,'DB Costi-Ore YtD'!$E:$E,$C71)-SUM($D71:L71),0)</f>
        <v>0</v>
      </c>
      <c r="N71">
        <f>IF((N$1*1)&lt;=MAX('DB Costi-Ore YtD'!$A:$A),SUMIFS('DB Costi-Ore YtD'!$G:$G,'DB Costi-Ore YtD'!$A:$A,N$1,'DB Costi-Ore YtD'!$B:$B,$A71,'DB Costi-Ore YtD'!$E:$E,$C71)-SUM($D71:M71),0)</f>
        <v>0</v>
      </c>
      <c r="O71">
        <f>IF((O$1*1)&lt;=MAX('DB Costi-Ore YtD'!$A:$A),SUMIFS('DB Costi-Ore YtD'!$G:$G,'DB Costi-Ore YtD'!$A:$A,O$1,'DB Costi-Ore YtD'!$B:$B,$A71,'DB Costi-Ore YtD'!$E:$E,$C71)-SUM($D71:N71),0)</f>
        <v>0</v>
      </c>
    </row>
    <row r="72" spans="1:15" hidden="1" x14ac:dyDescent="0.3">
      <c r="A72" t="s">
        <v>169</v>
      </c>
      <c r="B72" t="s">
        <v>170</v>
      </c>
      <c r="C72" t="s">
        <v>2</v>
      </c>
      <c r="D72">
        <f>IF((D$1*1)&lt;=MAX('DB Costi-Ore YtD'!$A:$A),SUMIFS('DB Costi-Ore YtD'!$G:$G,'DB Costi-Ore YtD'!$A:$A,D$1,'DB Costi-Ore YtD'!$B:$B,$A72,'DB Costi-Ore YtD'!$E:$E,$C72),0)</f>
        <v>2076.8000000000002</v>
      </c>
      <c r="E72">
        <f>IF((E$1*1)&lt;=MAX('DB Costi-Ore YtD'!$A:$A),SUMIFS('DB Costi-Ore YtD'!$G:$G,'DB Costi-Ore YtD'!$A:$A,E$1,'DB Costi-Ore YtD'!$B:$B,$A72,'DB Costi-Ore YtD'!$E:$E,$C72)-SUM($D72:D72),0)</f>
        <v>2004.4299999999994</v>
      </c>
      <c r="F72">
        <f>IF((F$1*1)&lt;=MAX('DB Costi-Ore YtD'!$A:$A),SUMIFS('DB Costi-Ore YtD'!$G:$G,'DB Costi-Ore YtD'!$A:$A,F$1,'DB Costi-Ore YtD'!$B:$B,$A72,'DB Costi-Ore YtD'!$E:$E,$C72)-SUM($D72:E72),0)</f>
        <v>1988.8700000000008</v>
      </c>
      <c r="G72">
        <f>IF((G$1*1)&lt;=MAX('DB Costi-Ore YtD'!$A:$A),SUMIFS('DB Costi-Ore YtD'!$G:$G,'DB Costi-Ore YtD'!$A:$A,G$1,'DB Costi-Ore YtD'!$B:$B,$A72,'DB Costi-Ore YtD'!$E:$E,$C72)-SUM($D72:F72),0)</f>
        <v>2009.1099999999997</v>
      </c>
      <c r="H72">
        <f>IF((H$1*1)&lt;=MAX('DB Costi-Ore YtD'!$A:$A),SUMIFS('DB Costi-Ore YtD'!$G:$G,'DB Costi-Ore YtD'!$A:$A,H$1,'DB Costi-Ore YtD'!$B:$B,$A72,'DB Costi-Ore YtD'!$E:$E,$C72)-SUM($D72:G72),0)</f>
        <v>1980.2400000000007</v>
      </c>
      <c r="I72">
        <f>IF((I$1*1)&lt;=MAX('DB Costi-Ore YtD'!$A:$A),SUMIFS('DB Costi-Ore YtD'!$G:$G,'DB Costi-Ore YtD'!$A:$A,I$1,'DB Costi-Ore YtD'!$B:$B,$A72,'DB Costi-Ore YtD'!$E:$E,$C72)-SUM($D72:H72),0)</f>
        <v>2033.6899999999987</v>
      </c>
      <c r="J72">
        <f>IF((J$1*1)&lt;=MAX('DB Costi-Ore YtD'!$A:$A),SUMIFS('DB Costi-Ore YtD'!$G:$G,'DB Costi-Ore YtD'!$A:$A,J$1,'DB Costi-Ore YtD'!$B:$B,$A72,'DB Costi-Ore YtD'!$E:$E,$C72)-SUM($D72:I72),0)</f>
        <v>0</v>
      </c>
      <c r="K72">
        <f>IF((K$1*1)&lt;=MAX('DB Costi-Ore YtD'!$A:$A),SUMIFS('DB Costi-Ore YtD'!$G:$G,'DB Costi-Ore YtD'!$A:$A,K$1,'DB Costi-Ore YtD'!$B:$B,$A72,'DB Costi-Ore YtD'!$E:$E,$C72)-SUM($D72:J72),0)</f>
        <v>0</v>
      </c>
      <c r="L72">
        <f>IF((L$1*1)&lt;=MAX('DB Costi-Ore YtD'!$A:$A),SUMIFS('DB Costi-Ore YtD'!$G:$G,'DB Costi-Ore YtD'!$A:$A,L$1,'DB Costi-Ore YtD'!$B:$B,$A72,'DB Costi-Ore YtD'!$E:$E,$C72)-SUM($D72:K72),0)</f>
        <v>0</v>
      </c>
      <c r="M72">
        <f>IF((M$1*1)&lt;=MAX('DB Costi-Ore YtD'!$A:$A),SUMIFS('DB Costi-Ore YtD'!$G:$G,'DB Costi-Ore YtD'!$A:$A,M$1,'DB Costi-Ore YtD'!$B:$B,$A72,'DB Costi-Ore YtD'!$E:$E,$C72)-SUM($D72:L72),0)</f>
        <v>0</v>
      </c>
      <c r="N72">
        <f>IF((N$1*1)&lt;=MAX('DB Costi-Ore YtD'!$A:$A),SUMIFS('DB Costi-Ore YtD'!$G:$G,'DB Costi-Ore YtD'!$A:$A,N$1,'DB Costi-Ore YtD'!$B:$B,$A72,'DB Costi-Ore YtD'!$E:$E,$C72)-SUM($D72:M72),0)</f>
        <v>0</v>
      </c>
      <c r="O72">
        <f>IF((O$1*1)&lt;=MAX('DB Costi-Ore YtD'!$A:$A),SUMIFS('DB Costi-Ore YtD'!$G:$G,'DB Costi-Ore YtD'!$A:$A,O$1,'DB Costi-Ore YtD'!$B:$B,$A72,'DB Costi-Ore YtD'!$E:$E,$C72)-SUM($D72:N72),0)</f>
        <v>0</v>
      </c>
    </row>
    <row r="73" spans="1:15" hidden="1" x14ac:dyDescent="0.3">
      <c r="A73" t="s">
        <v>171</v>
      </c>
      <c r="B73" t="s">
        <v>172</v>
      </c>
      <c r="C73" t="s">
        <v>3</v>
      </c>
      <c r="D73">
        <f>IF((D$1*1)&lt;=MAX('DB Costi-Ore YtD'!$A:$A),SUMIFS('DB Costi-Ore YtD'!$G:$G,'DB Costi-Ore YtD'!$A:$A,D$1,'DB Costi-Ore YtD'!$B:$B,$A73,'DB Costi-Ore YtD'!$E:$E,$C73),0)</f>
        <v>1634.64</v>
      </c>
      <c r="E73">
        <f>IF((E$1*1)&lt;=MAX('DB Costi-Ore YtD'!$A:$A),SUMIFS('DB Costi-Ore YtD'!$G:$G,'DB Costi-Ore YtD'!$A:$A,E$1,'DB Costi-Ore YtD'!$B:$B,$A73,'DB Costi-Ore YtD'!$E:$E,$C73)-SUM($D73:D73),0)</f>
        <v>1536.59</v>
      </c>
      <c r="F73">
        <f>IF((F$1*1)&lt;=MAX('DB Costi-Ore YtD'!$A:$A),SUMIFS('DB Costi-Ore YtD'!$G:$G,'DB Costi-Ore YtD'!$A:$A,F$1,'DB Costi-Ore YtD'!$B:$B,$A73,'DB Costi-Ore YtD'!$E:$E,$C73)-SUM($D73:E73),0)</f>
        <v>1665.8100000000009</v>
      </c>
      <c r="G73">
        <f>IF((G$1*1)&lt;=MAX('DB Costi-Ore YtD'!$A:$A),SUMIFS('DB Costi-Ore YtD'!$G:$G,'DB Costi-Ore YtD'!$A:$A,G$1,'DB Costi-Ore YtD'!$B:$B,$A73,'DB Costi-Ore YtD'!$E:$E,$C73)-SUM($D73:F73),0)</f>
        <v>1749.7399999999998</v>
      </c>
      <c r="H73">
        <f>IF((H$1*1)&lt;=MAX('DB Costi-Ore YtD'!$A:$A),SUMIFS('DB Costi-Ore YtD'!$G:$G,'DB Costi-Ore YtD'!$A:$A,H$1,'DB Costi-Ore YtD'!$B:$B,$A73,'DB Costi-Ore YtD'!$E:$E,$C73)-SUM($D73:G73),0)</f>
        <v>1492.88</v>
      </c>
      <c r="I73">
        <f>IF((I$1*1)&lt;=MAX('DB Costi-Ore YtD'!$A:$A),SUMIFS('DB Costi-Ore YtD'!$G:$G,'DB Costi-Ore YtD'!$A:$A,I$1,'DB Costi-Ore YtD'!$B:$B,$A73,'DB Costi-Ore YtD'!$E:$E,$C73)-SUM($D73:H73),0)</f>
        <v>1573.8699999999981</v>
      </c>
      <c r="J73">
        <f>IF((J$1*1)&lt;=MAX('DB Costi-Ore YtD'!$A:$A),SUMIFS('DB Costi-Ore YtD'!$G:$G,'DB Costi-Ore YtD'!$A:$A,J$1,'DB Costi-Ore YtD'!$B:$B,$A73,'DB Costi-Ore YtD'!$E:$E,$C73)-SUM($D73:I73),0)</f>
        <v>0</v>
      </c>
      <c r="K73">
        <f>IF((K$1*1)&lt;=MAX('DB Costi-Ore YtD'!$A:$A),SUMIFS('DB Costi-Ore YtD'!$G:$G,'DB Costi-Ore YtD'!$A:$A,K$1,'DB Costi-Ore YtD'!$B:$B,$A73,'DB Costi-Ore YtD'!$E:$E,$C73)-SUM($D73:J73),0)</f>
        <v>0</v>
      </c>
      <c r="L73">
        <f>IF((L$1*1)&lt;=MAX('DB Costi-Ore YtD'!$A:$A),SUMIFS('DB Costi-Ore YtD'!$G:$G,'DB Costi-Ore YtD'!$A:$A,L$1,'DB Costi-Ore YtD'!$B:$B,$A73,'DB Costi-Ore YtD'!$E:$E,$C73)-SUM($D73:K73),0)</f>
        <v>0</v>
      </c>
      <c r="M73">
        <f>IF((M$1*1)&lt;=MAX('DB Costi-Ore YtD'!$A:$A),SUMIFS('DB Costi-Ore YtD'!$G:$G,'DB Costi-Ore YtD'!$A:$A,M$1,'DB Costi-Ore YtD'!$B:$B,$A73,'DB Costi-Ore YtD'!$E:$E,$C73)-SUM($D73:L73),0)</f>
        <v>0</v>
      </c>
      <c r="N73">
        <f>IF((N$1*1)&lt;=MAX('DB Costi-Ore YtD'!$A:$A),SUMIFS('DB Costi-Ore YtD'!$G:$G,'DB Costi-Ore YtD'!$A:$A,N$1,'DB Costi-Ore YtD'!$B:$B,$A73,'DB Costi-Ore YtD'!$E:$E,$C73)-SUM($D73:M73),0)</f>
        <v>0</v>
      </c>
      <c r="O73">
        <f>IF((O$1*1)&lt;=MAX('DB Costi-Ore YtD'!$A:$A),SUMIFS('DB Costi-Ore YtD'!$G:$G,'DB Costi-Ore YtD'!$A:$A,O$1,'DB Costi-Ore YtD'!$B:$B,$A73,'DB Costi-Ore YtD'!$E:$E,$C73)-SUM($D73:N73),0)</f>
        <v>0</v>
      </c>
    </row>
    <row r="74" spans="1:15" hidden="1" x14ac:dyDescent="0.3">
      <c r="A74" t="s">
        <v>173</v>
      </c>
      <c r="B74" t="s">
        <v>174</v>
      </c>
      <c r="C74" t="s">
        <v>3</v>
      </c>
      <c r="D74">
        <f>IF((D$1*1)&lt;=MAX('DB Costi-Ore YtD'!$A:$A),SUMIFS('DB Costi-Ore YtD'!$G:$G,'DB Costi-Ore YtD'!$A:$A,D$1,'DB Costi-Ore YtD'!$B:$B,$A74,'DB Costi-Ore YtD'!$E:$E,$C74),0)</f>
        <v>1242.1000000000001</v>
      </c>
      <c r="E74">
        <f>IF((E$1*1)&lt;=MAX('DB Costi-Ore YtD'!$A:$A),SUMIFS('DB Costi-Ore YtD'!$G:$G,'DB Costi-Ore YtD'!$A:$A,E$1,'DB Costi-Ore YtD'!$B:$B,$A74,'DB Costi-Ore YtD'!$E:$E,$C74)-SUM($D74:D74),0)</f>
        <v>1080.7699999999998</v>
      </c>
      <c r="F74">
        <f>IF((F$1*1)&lt;=MAX('DB Costi-Ore YtD'!$A:$A),SUMIFS('DB Costi-Ore YtD'!$G:$G,'DB Costi-Ore YtD'!$A:$A,F$1,'DB Costi-Ore YtD'!$B:$B,$A74,'DB Costi-Ore YtD'!$E:$E,$C74)-SUM($D74:E74),0)</f>
        <v>1192.1100000000006</v>
      </c>
      <c r="G74">
        <f>IF((G$1*1)&lt;=MAX('DB Costi-Ore YtD'!$A:$A),SUMIFS('DB Costi-Ore YtD'!$G:$G,'DB Costi-Ore YtD'!$A:$A,G$1,'DB Costi-Ore YtD'!$B:$B,$A74,'DB Costi-Ore YtD'!$E:$E,$C74)-SUM($D74:F74),0)</f>
        <v>1315.4999999999991</v>
      </c>
      <c r="H74">
        <f>IF((H$1*1)&lt;=MAX('DB Costi-Ore YtD'!$A:$A),SUMIFS('DB Costi-Ore YtD'!$G:$G,'DB Costi-Ore YtD'!$A:$A,H$1,'DB Costi-Ore YtD'!$B:$B,$A74,'DB Costi-Ore YtD'!$E:$E,$C74)-SUM($D74:G74),0)</f>
        <v>1166.9800000000014</v>
      </c>
      <c r="I74">
        <f>IF((I$1*1)&lt;=MAX('DB Costi-Ore YtD'!$A:$A),SUMIFS('DB Costi-Ore YtD'!$G:$G,'DB Costi-Ore YtD'!$A:$A,I$1,'DB Costi-Ore YtD'!$B:$B,$A74,'DB Costi-Ore YtD'!$E:$E,$C74)-SUM($D74:H74),0)</f>
        <v>1081.2799999999997</v>
      </c>
      <c r="J74">
        <f>IF((J$1*1)&lt;=MAX('DB Costi-Ore YtD'!$A:$A),SUMIFS('DB Costi-Ore YtD'!$G:$G,'DB Costi-Ore YtD'!$A:$A,J$1,'DB Costi-Ore YtD'!$B:$B,$A74,'DB Costi-Ore YtD'!$E:$E,$C74)-SUM($D74:I74),0)</f>
        <v>0</v>
      </c>
      <c r="K74">
        <f>IF((K$1*1)&lt;=MAX('DB Costi-Ore YtD'!$A:$A),SUMIFS('DB Costi-Ore YtD'!$G:$G,'DB Costi-Ore YtD'!$A:$A,K$1,'DB Costi-Ore YtD'!$B:$B,$A74,'DB Costi-Ore YtD'!$E:$E,$C74)-SUM($D74:J74),0)</f>
        <v>0</v>
      </c>
      <c r="L74">
        <f>IF((L$1*1)&lt;=MAX('DB Costi-Ore YtD'!$A:$A),SUMIFS('DB Costi-Ore YtD'!$G:$G,'DB Costi-Ore YtD'!$A:$A,L$1,'DB Costi-Ore YtD'!$B:$B,$A74,'DB Costi-Ore YtD'!$E:$E,$C74)-SUM($D74:K74),0)</f>
        <v>0</v>
      </c>
      <c r="M74">
        <f>IF((M$1*1)&lt;=MAX('DB Costi-Ore YtD'!$A:$A),SUMIFS('DB Costi-Ore YtD'!$G:$G,'DB Costi-Ore YtD'!$A:$A,M$1,'DB Costi-Ore YtD'!$B:$B,$A74,'DB Costi-Ore YtD'!$E:$E,$C74)-SUM($D74:L74),0)</f>
        <v>0</v>
      </c>
      <c r="N74">
        <f>IF((N$1*1)&lt;=MAX('DB Costi-Ore YtD'!$A:$A),SUMIFS('DB Costi-Ore YtD'!$G:$G,'DB Costi-Ore YtD'!$A:$A,N$1,'DB Costi-Ore YtD'!$B:$B,$A74,'DB Costi-Ore YtD'!$E:$E,$C74)-SUM($D74:M74),0)</f>
        <v>0</v>
      </c>
      <c r="O74">
        <f>IF((O$1*1)&lt;=MAX('DB Costi-Ore YtD'!$A:$A),SUMIFS('DB Costi-Ore YtD'!$G:$G,'DB Costi-Ore YtD'!$A:$A,O$1,'DB Costi-Ore YtD'!$B:$B,$A74,'DB Costi-Ore YtD'!$E:$E,$C74)-SUM($D74:N74),0)</f>
        <v>0</v>
      </c>
    </row>
    <row r="75" spans="1:15" hidden="1" x14ac:dyDescent="0.3">
      <c r="A75" t="s">
        <v>175</v>
      </c>
      <c r="B75" t="s">
        <v>176</v>
      </c>
      <c r="C75" t="s">
        <v>12</v>
      </c>
      <c r="D75">
        <f>IF((D$1*1)&lt;=MAX('DB Costi-Ore YtD'!$A:$A),SUMIFS('DB Costi-Ore YtD'!$G:$G,'DB Costi-Ore YtD'!$A:$A,D$1,'DB Costi-Ore YtD'!$B:$B,$A75,'DB Costi-Ore YtD'!$E:$E,$C75),0)</f>
        <v>2956.87</v>
      </c>
      <c r="E75">
        <f>IF((E$1*1)&lt;=MAX('DB Costi-Ore YtD'!$A:$A),SUMIFS('DB Costi-Ore YtD'!$G:$G,'DB Costi-Ore YtD'!$A:$A,E$1,'DB Costi-Ore YtD'!$B:$B,$A75,'DB Costi-Ore YtD'!$E:$E,$C75)-SUM($D75:D75),0)</f>
        <v>2934.24</v>
      </c>
      <c r="F75">
        <f>IF((F$1*1)&lt;=MAX('DB Costi-Ore YtD'!$A:$A),SUMIFS('DB Costi-Ore YtD'!$G:$G,'DB Costi-Ore YtD'!$A:$A,F$1,'DB Costi-Ore YtD'!$B:$B,$A75,'DB Costi-Ore YtD'!$E:$E,$C75)-SUM($D75:E75),0)</f>
        <v>2956.95</v>
      </c>
      <c r="G75">
        <f>IF((G$1*1)&lt;=MAX('DB Costi-Ore YtD'!$A:$A),SUMIFS('DB Costi-Ore YtD'!$G:$G,'DB Costi-Ore YtD'!$A:$A,G$1,'DB Costi-Ore YtD'!$B:$B,$A75,'DB Costi-Ore YtD'!$E:$E,$C75)-SUM($D75:F75),0)</f>
        <v>2627.0699999999997</v>
      </c>
      <c r="H75">
        <f>IF((H$1*1)&lt;=MAX('DB Costi-Ore YtD'!$A:$A),SUMIFS('DB Costi-Ore YtD'!$G:$G,'DB Costi-Ore YtD'!$A:$A,H$1,'DB Costi-Ore YtD'!$B:$B,$A75,'DB Costi-Ore YtD'!$E:$E,$C75)-SUM($D75:G75),0)</f>
        <v>3064.9199999999983</v>
      </c>
      <c r="I75">
        <f>IF((I$1*1)&lt;=MAX('DB Costi-Ore YtD'!$A:$A),SUMIFS('DB Costi-Ore YtD'!$G:$G,'DB Costi-Ore YtD'!$A:$A,I$1,'DB Costi-Ore YtD'!$B:$B,$A75,'DB Costi-Ore YtD'!$E:$E,$C75)-SUM($D75:H75),0)</f>
        <v>3145.9699999999993</v>
      </c>
      <c r="J75">
        <f>IF((J$1*1)&lt;=MAX('DB Costi-Ore YtD'!$A:$A),SUMIFS('DB Costi-Ore YtD'!$G:$G,'DB Costi-Ore YtD'!$A:$A,J$1,'DB Costi-Ore YtD'!$B:$B,$A75,'DB Costi-Ore YtD'!$E:$E,$C75)-SUM($D75:I75),0)</f>
        <v>0</v>
      </c>
      <c r="K75">
        <f>IF((K$1*1)&lt;=MAX('DB Costi-Ore YtD'!$A:$A),SUMIFS('DB Costi-Ore YtD'!$G:$G,'DB Costi-Ore YtD'!$A:$A,K$1,'DB Costi-Ore YtD'!$B:$B,$A75,'DB Costi-Ore YtD'!$E:$E,$C75)-SUM($D75:J75),0)</f>
        <v>0</v>
      </c>
      <c r="L75">
        <f>IF((L$1*1)&lt;=MAX('DB Costi-Ore YtD'!$A:$A),SUMIFS('DB Costi-Ore YtD'!$G:$G,'DB Costi-Ore YtD'!$A:$A,L$1,'DB Costi-Ore YtD'!$B:$B,$A75,'DB Costi-Ore YtD'!$E:$E,$C75)-SUM($D75:K75),0)</f>
        <v>0</v>
      </c>
      <c r="M75">
        <f>IF((M$1*1)&lt;=MAX('DB Costi-Ore YtD'!$A:$A),SUMIFS('DB Costi-Ore YtD'!$G:$G,'DB Costi-Ore YtD'!$A:$A,M$1,'DB Costi-Ore YtD'!$B:$B,$A75,'DB Costi-Ore YtD'!$E:$E,$C75)-SUM($D75:L75),0)</f>
        <v>0</v>
      </c>
      <c r="N75">
        <f>IF((N$1*1)&lt;=MAX('DB Costi-Ore YtD'!$A:$A),SUMIFS('DB Costi-Ore YtD'!$G:$G,'DB Costi-Ore YtD'!$A:$A,N$1,'DB Costi-Ore YtD'!$B:$B,$A75,'DB Costi-Ore YtD'!$E:$E,$C75)-SUM($D75:M75),0)</f>
        <v>0</v>
      </c>
      <c r="O75">
        <f>IF((O$1*1)&lt;=MAX('DB Costi-Ore YtD'!$A:$A),SUMIFS('DB Costi-Ore YtD'!$G:$G,'DB Costi-Ore YtD'!$A:$A,O$1,'DB Costi-Ore YtD'!$B:$B,$A75,'DB Costi-Ore YtD'!$E:$E,$C75)-SUM($D75:N75),0)</f>
        <v>0</v>
      </c>
    </row>
    <row r="76" spans="1:15" hidden="1" x14ac:dyDescent="0.3">
      <c r="A76" t="s">
        <v>177</v>
      </c>
      <c r="B76" t="s">
        <v>178</v>
      </c>
      <c r="C76" t="s">
        <v>2</v>
      </c>
      <c r="D76">
        <f>IF((D$1*1)&lt;=MAX('DB Costi-Ore YtD'!$A:$A),SUMIFS('DB Costi-Ore YtD'!$G:$G,'DB Costi-Ore YtD'!$A:$A,D$1,'DB Costi-Ore YtD'!$B:$B,$A76,'DB Costi-Ore YtD'!$E:$E,$C76),0)</f>
        <v>158.96000000000004</v>
      </c>
      <c r="E76">
        <f>IF((E$1*1)&lt;=MAX('DB Costi-Ore YtD'!$A:$A),SUMIFS('DB Costi-Ore YtD'!$G:$G,'DB Costi-Ore YtD'!$A:$A,E$1,'DB Costi-Ore YtD'!$B:$B,$A76,'DB Costi-Ore YtD'!$E:$E,$C76)-SUM($D76:D76),0)</f>
        <v>176.70999999999958</v>
      </c>
      <c r="F76">
        <f>IF((F$1*1)&lt;=MAX('DB Costi-Ore YtD'!$A:$A),SUMIFS('DB Costi-Ore YtD'!$G:$G,'DB Costi-Ore YtD'!$A:$A,F$1,'DB Costi-Ore YtD'!$B:$B,$A76,'DB Costi-Ore YtD'!$E:$E,$C76)-SUM($D76:E76),0)</f>
        <v>158.41000000000031</v>
      </c>
      <c r="G76">
        <f>IF((G$1*1)&lt;=MAX('DB Costi-Ore YtD'!$A:$A),SUMIFS('DB Costi-Ore YtD'!$G:$G,'DB Costi-Ore YtD'!$A:$A,G$1,'DB Costi-Ore YtD'!$B:$B,$A76,'DB Costi-Ore YtD'!$E:$E,$C76)-SUM($D76:F76),0)</f>
        <v>162.50999999999976</v>
      </c>
      <c r="H76">
        <f>IF((H$1*1)&lt;=MAX('DB Costi-Ore YtD'!$A:$A),SUMIFS('DB Costi-Ore YtD'!$G:$G,'DB Costi-Ore YtD'!$A:$A,H$1,'DB Costi-Ore YtD'!$B:$B,$A76,'DB Costi-Ore YtD'!$E:$E,$C76)-SUM($D76:G76),0)</f>
        <v>156.02999999999975</v>
      </c>
      <c r="I76">
        <f>IF((I$1*1)&lt;=MAX('DB Costi-Ore YtD'!$A:$A),SUMIFS('DB Costi-Ore YtD'!$G:$G,'DB Costi-Ore YtD'!$A:$A,I$1,'DB Costi-Ore YtD'!$B:$B,$A76,'DB Costi-Ore YtD'!$E:$E,$C76)-SUM($D76:H76),0)</f>
        <v>-618.56999999999925</v>
      </c>
      <c r="J76">
        <f>IF((J$1*1)&lt;=MAX('DB Costi-Ore YtD'!$A:$A),SUMIFS('DB Costi-Ore YtD'!$G:$G,'DB Costi-Ore YtD'!$A:$A,J$1,'DB Costi-Ore YtD'!$B:$B,$A76,'DB Costi-Ore YtD'!$E:$E,$C76)-SUM($D76:I76),0)</f>
        <v>0</v>
      </c>
      <c r="K76">
        <f>IF((K$1*1)&lt;=MAX('DB Costi-Ore YtD'!$A:$A),SUMIFS('DB Costi-Ore YtD'!$G:$G,'DB Costi-Ore YtD'!$A:$A,K$1,'DB Costi-Ore YtD'!$B:$B,$A76,'DB Costi-Ore YtD'!$E:$E,$C76)-SUM($D76:J76),0)</f>
        <v>0</v>
      </c>
      <c r="L76">
        <f>IF((L$1*1)&lt;=MAX('DB Costi-Ore YtD'!$A:$A),SUMIFS('DB Costi-Ore YtD'!$G:$G,'DB Costi-Ore YtD'!$A:$A,L$1,'DB Costi-Ore YtD'!$B:$B,$A76,'DB Costi-Ore YtD'!$E:$E,$C76)-SUM($D76:K76),0)</f>
        <v>0</v>
      </c>
      <c r="M76">
        <f>IF((M$1*1)&lt;=MAX('DB Costi-Ore YtD'!$A:$A),SUMIFS('DB Costi-Ore YtD'!$G:$G,'DB Costi-Ore YtD'!$A:$A,M$1,'DB Costi-Ore YtD'!$B:$B,$A76,'DB Costi-Ore YtD'!$E:$E,$C76)-SUM($D76:L76),0)</f>
        <v>0</v>
      </c>
      <c r="N76">
        <f>IF((N$1*1)&lt;=MAX('DB Costi-Ore YtD'!$A:$A),SUMIFS('DB Costi-Ore YtD'!$G:$G,'DB Costi-Ore YtD'!$A:$A,N$1,'DB Costi-Ore YtD'!$B:$B,$A76,'DB Costi-Ore YtD'!$E:$E,$C76)-SUM($D76:M76),0)</f>
        <v>0</v>
      </c>
      <c r="O76">
        <f>IF((O$1*1)&lt;=MAX('DB Costi-Ore YtD'!$A:$A),SUMIFS('DB Costi-Ore YtD'!$G:$G,'DB Costi-Ore YtD'!$A:$A,O$1,'DB Costi-Ore YtD'!$B:$B,$A76,'DB Costi-Ore YtD'!$E:$E,$C76)-SUM($D76:N76),0)</f>
        <v>0</v>
      </c>
    </row>
    <row r="77" spans="1:15" hidden="1" x14ac:dyDescent="0.3">
      <c r="A77" t="s">
        <v>179</v>
      </c>
      <c r="B77" t="s">
        <v>180</v>
      </c>
      <c r="C77" t="s">
        <v>2</v>
      </c>
      <c r="D77">
        <f>IF((D$1*1)&lt;=MAX('DB Costi-Ore YtD'!$A:$A),SUMIFS('DB Costi-Ore YtD'!$G:$G,'DB Costi-Ore YtD'!$A:$A,D$1,'DB Costi-Ore YtD'!$B:$B,$A77,'DB Costi-Ore YtD'!$E:$E,$C77),0)</f>
        <v>2454.4199999999996</v>
      </c>
      <c r="E77">
        <f>IF((E$1*1)&lt;=MAX('DB Costi-Ore YtD'!$A:$A),SUMIFS('DB Costi-Ore YtD'!$G:$G,'DB Costi-Ore YtD'!$A:$A,E$1,'DB Costi-Ore YtD'!$B:$B,$A77,'DB Costi-Ore YtD'!$E:$E,$C77)-SUM($D77:D77),0)</f>
        <v>2160.2099999999996</v>
      </c>
      <c r="F77">
        <f>IF((F$1*1)&lt;=MAX('DB Costi-Ore YtD'!$A:$A),SUMIFS('DB Costi-Ore YtD'!$G:$G,'DB Costi-Ore YtD'!$A:$A,F$1,'DB Costi-Ore YtD'!$B:$B,$A77,'DB Costi-Ore YtD'!$E:$E,$C77)-SUM($D77:E77),0)</f>
        <v>2208.1000000000004</v>
      </c>
      <c r="G77">
        <f>IF((G$1*1)&lt;=MAX('DB Costi-Ore YtD'!$A:$A),SUMIFS('DB Costi-Ore YtD'!$G:$G,'DB Costi-Ore YtD'!$A:$A,G$1,'DB Costi-Ore YtD'!$B:$B,$A77,'DB Costi-Ore YtD'!$E:$E,$C77)-SUM($D77:F77),0)</f>
        <v>2361.2400000000016</v>
      </c>
      <c r="H77">
        <f>IF((H$1*1)&lt;=MAX('DB Costi-Ore YtD'!$A:$A),SUMIFS('DB Costi-Ore YtD'!$G:$G,'DB Costi-Ore YtD'!$A:$A,H$1,'DB Costi-Ore YtD'!$B:$B,$A77,'DB Costi-Ore YtD'!$E:$E,$C77)-SUM($D77:G77),0)</f>
        <v>2373.4699999999975</v>
      </c>
      <c r="I77">
        <f>IF((I$1*1)&lt;=MAX('DB Costi-Ore YtD'!$A:$A),SUMIFS('DB Costi-Ore YtD'!$G:$G,'DB Costi-Ore YtD'!$A:$A,I$1,'DB Costi-Ore YtD'!$B:$B,$A77,'DB Costi-Ore YtD'!$E:$E,$C77)-SUM($D77:H77),0)</f>
        <v>1147.7399999999998</v>
      </c>
      <c r="J77">
        <f>IF((J$1*1)&lt;=MAX('DB Costi-Ore YtD'!$A:$A),SUMIFS('DB Costi-Ore YtD'!$G:$G,'DB Costi-Ore YtD'!$A:$A,J$1,'DB Costi-Ore YtD'!$B:$B,$A77,'DB Costi-Ore YtD'!$E:$E,$C77)-SUM($D77:I77),0)</f>
        <v>0</v>
      </c>
      <c r="K77">
        <f>IF((K$1*1)&lt;=MAX('DB Costi-Ore YtD'!$A:$A),SUMIFS('DB Costi-Ore YtD'!$G:$G,'DB Costi-Ore YtD'!$A:$A,K$1,'DB Costi-Ore YtD'!$B:$B,$A77,'DB Costi-Ore YtD'!$E:$E,$C77)-SUM($D77:J77),0)</f>
        <v>0</v>
      </c>
      <c r="L77">
        <f>IF((L$1*1)&lt;=MAX('DB Costi-Ore YtD'!$A:$A),SUMIFS('DB Costi-Ore YtD'!$G:$G,'DB Costi-Ore YtD'!$A:$A,L$1,'DB Costi-Ore YtD'!$B:$B,$A77,'DB Costi-Ore YtD'!$E:$E,$C77)-SUM($D77:K77),0)</f>
        <v>0</v>
      </c>
      <c r="M77">
        <f>IF((M$1*1)&lt;=MAX('DB Costi-Ore YtD'!$A:$A),SUMIFS('DB Costi-Ore YtD'!$G:$G,'DB Costi-Ore YtD'!$A:$A,M$1,'DB Costi-Ore YtD'!$B:$B,$A77,'DB Costi-Ore YtD'!$E:$E,$C77)-SUM($D77:L77),0)</f>
        <v>0</v>
      </c>
      <c r="N77">
        <f>IF((N$1*1)&lt;=MAX('DB Costi-Ore YtD'!$A:$A),SUMIFS('DB Costi-Ore YtD'!$G:$G,'DB Costi-Ore YtD'!$A:$A,N$1,'DB Costi-Ore YtD'!$B:$B,$A77,'DB Costi-Ore YtD'!$E:$E,$C77)-SUM($D77:M77),0)</f>
        <v>0</v>
      </c>
      <c r="O77">
        <f>IF((O$1*1)&lt;=MAX('DB Costi-Ore YtD'!$A:$A),SUMIFS('DB Costi-Ore YtD'!$G:$G,'DB Costi-Ore YtD'!$A:$A,O$1,'DB Costi-Ore YtD'!$B:$B,$A77,'DB Costi-Ore YtD'!$E:$E,$C77)-SUM($D77:N77),0)</f>
        <v>0</v>
      </c>
    </row>
    <row r="78" spans="1:15" hidden="1" x14ac:dyDescent="0.3">
      <c r="A78" t="s">
        <v>181</v>
      </c>
      <c r="B78" t="s">
        <v>182</v>
      </c>
      <c r="C78" t="s">
        <v>2</v>
      </c>
      <c r="D78">
        <f>IF((D$1*1)&lt;=MAX('DB Costi-Ore YtD'!$A:$A),SUMIFS('DB Costi-Ore YtD'!$G:$G,'DB Costi-Ore YtD'!$A:$A,D$1,'DB Costi-Ore YtD'!$B:$B,$A78,'DB Costi-Ore YtD'!$E:$E,$C78),0)</f>
        <v>1084.08</v>
      </c>
      <c r="E78">
        <f>IF((E$1*1)&lt;=MAX('DB Costi-Ore YtD'!$A:$A),SUMIFS('DB Costi-Ore YtD'!$G:$G,'DB Costi-Ore YtD'!$A:$A,E$1,'DB Costi-Ore YtD'!$B:$B,$A78,'DB Costi-Ore YtD'!$E:$E,$C78)-SUM($D78:D78),0)</f>
        <v>1264.7599999999998</v>
      </c>
      <c r="F78">
        <f>IF((F$1*1)&lt;=MAX('DB Costi-Ore YtD'!$A:$A),SUMIFS('DB Costi-Ore YtD'!$G:$G,'DB Costi-Ore YtD'!$A:$A,F$1,'DB Costi-Ore YtD'!$B:$B,$A78,'DB Costi-Ore YtD'!$E:$E,$C78)-SUM($D78:E78),0)</f>
        <v>1325.8100000000009</v>
      </c>
      <c r="G78">
        <f>IF((G$1*1)&lt;=MAX('DB Costi-Ore YtD'!$A:$A),SUMIFS('DB Costi-Ore YtD'!$G:$G,'DB Costi-Ore YtD'!$A:$A,G$1,'DB Costi-Ore YtD'!$B:$B,$A78,'DB Costi-Ore YtD'!$E:$E,$C78)-SUM($D78:F78),0)</f>
        <v>1354.5599999999995</v>
      </c>
      <c r="H78">
        <f>IF((H$1*1)&lt;=MAX('DB Costi-Ore YtD'!$A:$A),SUMIFS('DB Costi-Ore YtD'!$G:$G,'DB Costi-Ore YtD'!$A:$A,H$1,'DB Costi-Ore YtD'!$B:$B,$A78,'DB Costi-Ore YtD'!$E:$E,$C78)-SUM($D78:G78),0)</f>
        <v>1297.5300000000007</v>
      </c>
      <c r="I78">
        <f>IF((I$1*1)&lt;=MAX('DB Costi-Ore YtD'!$A:$A),SUMIFS('DB Costi-Ore YtD'!$G:$G,'DB Costi-Ore YtD'!$A:$A,I$1,'DB Costi-Ore YtD'!$B:$B,$A78,'DB Costi-Ore YtD'!$E:$E,$C78)-SUM($D78:H78),0)</f>
        <v>1398.1799999999985</v>
      </c>
      <c r="J78">
        <f>IF((J$1*1)&lt;=MAX('DB Costi-Ore YtD'!$A:$A),SUMIFS('DB Costi-Ore YtD'!$G:$G,'DB Costi-Ore YtD'!$A:$A,J$1,'DB Costi-Ore YtD'!$B:$B,$A78,'DB Costi-Ore YtD'!$E:$E,$C78)-SUM($D78:I78),0)</f>
        <v>0</v>
      </c>
      <c r="K78">
        <f>IF((K$1*1)&lt;=MAX('DB Costi-Ore YtD'!$A:$A),SUMIFS('DB Costi-Ore YtD'!$G:$G,'DB Costi-Ore YtD'!$A:$A,K$1,'DB Costi-Ore YtD'!$B:$B,$A78,'DB Costi-Ore YtD'!$E:$E,$C78)-SUM($D78:J78),0)</f>
        <v>0</v>
      </c>
      <c r="L78">
        <f>IF((L$1*1)&lt;=MAX('DB Costi-Ore YtD'!$A:$A),SUMIFS('DB Costi-Ore YtD'!$G:$G,'DB Costi-Ore YtD'!$A:$A,L$1,'DB Costi-Ore YtD'!$B:$B,$A78,'DB Costi-Ore YtD'!$E:$E,$C78)-SUM($D78:K78),0)</f>
        <v>0</v>
      </c>
      <c r="M78">
        <f>IF((M$1*1)&lt;=MAX('DB Costi-Ore YtD'!$A:$A),SUMIFS('DB Costi-Ore YtD'!$G:$G,'DB Costi-Ore YtD'!$A:$A,M$1,'DB Costi-Ore YtD'!$B:$B,$A78,'DB Costi-Ore YtD'!$E:$E,$C78)-SUM($D78:L78),0)</f>
        <v>0</v>
      </c>
      <c r="N78">
        <f>IF((N$1*1)&lt;=MAX('DB Costi-Ore YtD'!$A:$A),SUMIFS('DB Costi-Ore YtD'!$G:$G,'DB Costi-Ore YtD'!$A:$A,N$1,'DB Costi-Ore YtD'!$B:$B,$A78,'DB Costi-Ore YtD'!$E:$E,$C78)-SUM($D78:M78),0)</f>
        <v>0</v>
      </c>
      <c r="O78">
        <f>IF((O$1*1)&lt;=MAX('DB Costi-Ore YtD'!$A:$A),SUMIFS('DB Costi-Ore YtD'!$G:$G,'DB Costi-Ore YtD'!$A:$A,O$1,'DB Costi-Ore YtD'!$B:$B,$A78,'DB Costi-Ore YtD'!$E:$E,$C78)-SUM($D78:N78),0)</f>
        <v>0</v>
      </c>
    </row>
    <row r="79" spans="1:15" hidden="1" x14ac:dyDescent="0.3">
      <c r="A79" t="s">
        <v>183</v>
      </c>
      <c r="B79" t="s">
        <v>184</v>
      </c>
      <c r="C79" t="s">
        <v>2</v>
      </c>
      <c r="D79">
        <f>IF((D$1*1)&lt;=MAX('DB Costi-Ore YtD'!$A:$A),SUMIFS('DB Costi-Ore YtD'!$G:$G,'DB Costi-Ore YtD'!$A:$A,D$1,'DB Costi-Ore YtD'!$B:$B,$A79,'DB Costi-Ore YtD'!$E:$E,$C79),0)</f>
        <v>2901.9600000000005</v>
      </c>
      <c r="E79">
        <f>IF((E$1*1)&lt;=MAX('DB Costi-Ore YtD'!$A:$A),SUMIFS('DB Costi-Ore YtD'!$G:$G,'DB Costi-Ore YtD'!$A:$A,E$1,'DB Costi-Ore YtD'!$B:$B,$A79,'DB Costi-Ore YtD'!$E:$E,$C79)-SUM($D79:D79),0)</f>
        <v>2373.9499999999994</v>
      </c>
      <c r="F79">
        <f>IF((F$1*1)&lt;=MAX('DB Costi-Ore YtD'!$A:$A),SUMIFS('DB Costi-Ore YtD'!$G:$G,'DB Costi-Ore YtD'!$A:$A,F$1,'DB Costi-Ore YtD'!$B:$B,$A79,'DB Costi-Ore YtD'!$E:$E,$C79)-SUM($D79:E79),0)</f>
        <v>2403.9300000000003</v>
      </c>
      <c r="G79">
        <f>IF((G$1*1)&lt;=MAX('DB Costi-Ore YtD'!$A:$A),SUMIFS('DB Costi-Ore YtD'!$G:$G,'DB Costi-Ore YtD'!$A:$A,G$1,'DB Costi-Ore YtD'!$B:$B,$A79,'DB Costi-Ore YtD'!$E:$E,$C79)-SUM($D79:F79),0)</f>
        <v>2924.4400000000005</v>
      </c>
      <c r="H79">
        <f>IF((H$1*1)&lt;=MAX('DB Costi-Ore YtD'!$A:$A),SUMIFS('DB Costi-Ore YtD'!$G:$G,'DB Costi-Ore YtD'!$A:$A,H$1,'DB Costi-Ore YtD'!$B:$B,$A79,'DB Costi-Ore YtD'!$E:$E,$C79)-SUM($D79:G79),0)</f>
        <v>1734.1599999999999</v>
      </c>
      <c r="I79">
        <f>IF((I$1*1)&lt;=MAX('DB Costi-Ore YtD'!$A:$A),SUMIFS('DB Costi-Ore YtD'!$G:$G,'DB Costi-Ore YtD'!$A:$A,I$1,'DB Costi-Ore YtD'!$B:$B,$A79,'DB Costi-Ore YtD'!$E:$E,$C79)-SUM($D79:H79),0)</f>
        <v>1204.7199999999975</v>
      </c>
      <c r="J79">
        <f>IF((J$1*1)&lt;=MAX('DB Costi-Ore YtD'!$A:$A),SUMIFS('DB Costi-Ore YtD'!$G:$G,'DB Costi-Ore YtD'!$A:$A,J$1,'DB Costi-Ore YtD'!$B:$B,$A79,'DB Costi-Ore YtD'!$E:$E,$C79)-SUM($D79:I79),0)</f>
        <v>0</v>
      </c>
      <c r="K79">
        <f>IF((K$1*1)&lt;=MAX('DB Costi-Ore YtD'!$A:$A),SUMIFS('DB Costi-Ore YtD'!$G:$G,'DB Costi-Ore YtD'!$A:$A,K$1,'DB Costi-Ore YtD'!$B:$B,$A79,'DB Costi-Ore YtD'!$E:$E,$C79)-SUM($D79:J79),0)</f>
        <v>0</v>
      </c>
      <c r="L79">
        <f>IF((L$1*1)&lt;=MAX('DB Costi-Ore YtD'!$A:$A),SUMIFS('DB Costi-Ore YtD'!$G:$G,'DB Costi-Ore YtD'!$A:$A,L$1,'DB Costi-Ore YtD'!$B:$B,$A79,'DB Costi-Ore YtD'!$E:$E,$C79)-SUM($D79:K79),0)</f>
        <v>0</v>
      </c>
      <c r="M79">
        <f>IF((M$1*1)&lt;=MAX('DB Costi-Ore YtD'!$A:$A),SUMIFS('DB Costi-Ore YtD'!$G:$G,'DB Costi-Ore YtD'!$A:$A,M$1,'DB Costi-Ore YtD'!$B:$B,$A79,'DB Costi-Ore YtD'!$E:$E,$C79)-SUM($D79:L79),0)</f>
        <v>0</v>
      </c>
      <c r="N79">
        <f>IF((N$1*1)&lt;=MAX('DB Costi-Ore YtD'!$A:$A),SUMIFS('DB Costi-Ore YtD'!$G:$G,'DB Costi-Ore YtD'!$A:$A,N$1,'DB Costi-Ore YtD'!$B:$B,$A79,'DB Costi-Ore YtD'!$E:$E,$C79)-SUM($D79:M79),0)</f>
        <v>0</v>
      </c>
      <c r="O79">
        <f>IF((O$1*1)&lt;=MAX('DB Costi-Ore YtD'!$A:$A),SUMIFS('DB Costi-Ore YtD'!$G:$G,'DB Costi-Ore YtD'!$A:$A,O$1,'DB Costi-Ore YtD'!$B:$B,$A79,'DB Costi-Ore YtD'!$E:$E,$C79)-SUM($D79:N79),0)</f>
        <v>0</v>
      </c>
    </row>
    <row r="80" spans="1:15" hidden="1" x14ac:dyDescent="0.3">
      <c r="A80" t="s">
        <v>185</v>
      </c>
      <c r="B80" t="s">
        <v>186</v>
      </c>
      <c r="C80" t="s">
        <v>10</v>
      </c>
      <c r="D80">
        <f>IF((D$1*1)&lt;=MAX('DB Costi-Ore YtD'!$A:$A),SUMIFS('DB Costi-Ore YtD'!$G:$G,'DB Costi-Ore YtD'!$A:$A,D$1,'DB Costi-Ore YtD'!$B:$B,$A80,'DB Costi-Ore YtD'!$E:$E,$C80),0)</f>
        <v>3329.6299999999997</v>
      </c>
      <c r="E80">
        <f>IF((E$1*1)&lt;=MAX('DB Costi-Ore YtD'!$A:$A),SUMIFS('DB Costi-Ore YtD'!$G:$G,'DB Costi-Ore YtD'!$A:$A,E$1,'DB Costi-Ore YtD'!$B:$B,$A80,'DB Costi-Ore YtD'!$E:$E,$C80)-SUM($D80:D80),0)</f>
        <v>2990.7100000000005</v>
      </c>
      <c r="F80">
        <f>IF((F$1*1)&lt;=MAX('DB Costi-Ore YtD'!$A:$A),SUMIFS('DB Costi-Ore YtD'!$G:$G,'DB Costi-Ore YtD'!$A:$A,F$1,'DB Costi-Ore YtD'!$B:$B,$A80,'DB Costi-Ore YtD'!$E:$E,$C80)-SUM($D80:E80),0)</f>
        <v>3107.5299999999988</v>
      </c>
      <c r="G80">
        <f>IF((G$1*1)&lt;=MAX('DB Costi-Ore YtD'!$A:$A),SUMIFS('DB Costi-Ore YtD'!$G:$G,'DB Costi-Ore YtD'!$A:$A,G$1,'DB Costi-Ore YtD'!$B:$B,$A80,'DB Costi-Ore YtD'!$E:$E,$C80)-SUM($D80:F80),0)</f>
        <v>3237.0800000000017</v>
      </c>
      <c r="H80">
        <f>IF((H$1*1)&lt;=MAX('DB Costi-Ore YtD'!$A:$A),SUMIFS('DB Costi-Ore YtD'!$G:$G,'DB Costi-Ore YtD'!$A:$A,H$1,'DB Costi-Ore YtD'!$B:$B,$A80,'DB Costi-Ore YtD'!$E:$E,$C80)-SUM($D80:G80),0)</f>
        <v>1835.75</v>
      </c>
      <c r="I80">
        <f>IF((I$1*1)&lt;=MAX('DB Costi-Ore YtD'!$A:$A),SUMIFS('DB Costi-Ore YtD'!$G:$G,'DB Costi-Ore YtD'!$A:$A,I$1,'DB Costi-Ore YtD'!$B:$B,$A80,'DB Costi-Ore YtD'!$E:$E,$C80)-SUM($D80:H80),0)</f>
        <v>4430.0999999999985</v>
      </c>
      <c r="J80">
        <f>IF((J$1*1)&lt;=MAX('DB Costi-Ore YtD'!$A:$A),SUMIFS('DB Costi-Ore YtD'!$G:$G,'DB Costi-Ore YtD'!$A:$A,J$1,'DB Costi-Ore YtD'!$B:$B,$A80,'DB Costi-Ore YtD'!$E:$E,$C80)-SUM($D80:I80),0)</f>
        <v>0</v>
      </c>
      <c r="K80">
        <f>IF((K$1*1)&lt;=MAX('DB Costi-Ore YtD'!$A:$A),SUMIFS('DB Costi-Ore YtD'!$G:$G,'DB Costi-Ore YtD'!$A:$A,K$1,'DB Costi-Ore YtD'!$B:$B,$A80,'DB Costi-Ore YtD'!$E:$E,$C80)-SUM($D80:J80),0)</f>
        <v>0</v>
      </c>
      <c r="L80">
        <f>IF((L$1*1)&lt;=MAX('DB Costi-Ore YtD'!$A:$A),SUMIFS('DB Costi-Ore YtD'!$G:$G,'DB Costi-Ore YtD'!$A:$A,L$1,'DB Costi-Ore YtD'!$B:$B,$A80,'DB Costi-Ore YtD'!$E:$E,$C80)-SUM($D80:K80),0)</f>
        <v>0</v>
      </c>
      <c r="M80">
        <f>IF((M$1*1)&lt;=MAX('DB Costi-Ore YtD'!$A:$A),SUMIFS('DB Costi-Ore YtD'!$G:$G,'DB Costi-Ore YtD'!$A:$A,M$1,'DB Costi-Ore YtD'!$B:$B,$A80,'DB Costi-Ore YtD'!$E:$E,$C80)-SUM($D80:L80),0)</f>
        <v>0</v>
      </c>
      <c r="N80">
        <f>IF((N$1*1)&lt;=MAX('DB Costi-Ore YtD'!$A:$A),SUMIFS('DB Costi-Ore YtD'!$G:$G,'DB Costi-Ore YtD'!$A:$A,N$1,'DB Costi-Ore YtD'!$B:$B,$A80,'DB Costi-Ore YtD'!$E:$E,$C80)-SUM($D80:M80),0)</f>
        <v>0</v>
      </c>
      <c r="O80">
        <f>IF((O$1*1)&lt;=MAX('DB Costi-Ore YtD'!$A:$A),SUMIFS('DB Costi-Ore YtD'!$G:$G,'DB Costi-Ore YtD'!$A:$A,O$1,'DB Costi-Ore YtD'!$B:$B,$A80,'DB Costi-Ore YtD'!$E:$E,$C80)-SUM($D80:N80),0)</f>
        <v>0</v>
      </c>
    </row>
    <row r="81" spans="1:15" hidden="1" x14ac:dyDescent="0.3">
      <c r="A81" t="s">
        <v>187</v>
      </c>
      <c r="B81" t="s">
        <v>188</v>
      </c>
      <c r="C81" t="s">
        <v>6</v>
      </c>
      <c r="D81">
        <f>IF((D$1*1)&lt;=MAX('DB Costi-Ore YtD'!$A:$A),SUMIFS('DB Costi-Ore YtD'!$G:$G,'DB Costi-Ore YtD'!$A:$A,D$1,'DB Costi-Ore YtD'!$B:$B,$A81,'DB Costi-Ore YtD'!$E:$E,$C81),0)</f>
        <v>4344.76</v>
      </c>
      <c r="E81">
        <f>IF((E$1*1)&lt;=MAX('DB Costi-Ore YtD'!$A:$A),SUMIFS('DB Costi-Ore YtD'!$G:$G,'DB Costi-Ore YtD'!$A:$A,E$1,'DB Costi-Ore YtD'!$B:$B,$A81,'DB Costi-Ore YtD'!$E:$E,$C81)-SUM($D81:D81),0)</f>
        <v>4288.7999999999993</v>
      </c>
      <c r="F81">
        <f>IF((F$1*1)&lt;=MAX('DB Costi-Ore YtD'!$A:$A),SUMIFS('DB Costi-Ore YtD'!$G:$G,'DB Costi-Ore YtD'!$A:$A,F$1,'DB Costi-Ore YtD'!$B:$B,$A81,'DB Costi-Ore YtD'!$E:$E,$C81)-SUM($D81:E81),0)</f>
        <v>4159.3799999999992</v>
      </c>
      <c r="G81">
        <f>IF((G$1*1)&lt;=MAX('DB Costi-Ore YtD'!$A:$A),SUMIFS('DB Costi-Ore YtD'!$G:$G,'DB Costi-Ore YtD'!$A:$A,G$1,'DB Costi-Ore YtD'!$B:$B,$A81,'DB Costi-Ore YtD'!$E:$E,$C81)-SUM($D81:F81),0)</f>
        <v>5493.3400000000038</v>
      </c>
      <c r="H81">
        <f>IF((H$1*1)&lt;=MAX('DB Costi-Ore YtD'!$A:$A),SUMIFS('DB Costi-Ore YtD'!$G:$G,'DB Costi-Ore YtD'!$A:$A,H$1,'DB Costi-Ore YtD'!$B:$B,$A81,'DB Costi-Ore YtD'!$E:$E,$C81)-SUM($D81:G81),0)</f>
        <v>4560.0200000000004</v>
      </c>
      <c r="I81">
        <f>IF((I$1*1)&lt;=MAX('DB Costi-Ore YtD'!$A:$A),SUMIFS('DB Costi-Ore YtD'!$G:$G,'DB Costi-Ore YtD'!$A:$A,I$1,'DB Costi-Ore YtD'!$B:$B,$A81,'DB Costi-Ore YtD'!$E:$E,$C81)-SUM($D81:H81),0)</f>
        <v>4577.0300000000025</v>
      </c>
      <c r="J81">
        <f>IF((J$1*1)&lt;=MAX('DB Costi-Ore YtD'!$A:$A),SUMIFS('DB Costi-Ore YtD'!$G:$G,'DB Costi-Ore YtD'!$A:$A,J$1,'DB Costi-Ore YtD'!$B:$B,$A81,'DB Costi-Ore YtD'!$E:$E,$C81)-SUM($D81:I81),0)</f>
        <v>0</v>
      </c>
      <c r="K81">
        <f>IF((K$1*1)&lt;=MAX('DB Costi-Ore YtD'!$A:$A),SUMIFS('DB Costi-Ore YtD'!$G:$G,'DB Costi-Ore YtD'!$A:$A,K$1,'DB Costi-Ore YtD'!$B:$B,$A81,'DB Costi-Ore YtD'!$E:$E,$C81)-SUM($D81:J81),0)</f>
        <v>0</v>
      </c>
      <c r="L81">
        <f>IF((L$1*1)&lt;=MAX('DB Costi-Ore YtD'!$A:$A),SUMIFS('DB Costi-Ore YtD'!$G:$G,'DB Costi-Ore YtD'!$A:$A,L$1,'DB Costi-Ore YtD'!$B:$B,$A81,'DB Costi-Ore YtD'!$E:$E,$C81)-SUM($D81:K81),0)</f>
        <v>0</v>
      </c>
      <c r="M81">
        <f>IF((M$1*1)&lt;=MAX('DB Costi-Ore YtD'!$A:$A),SUMIFS('DB Costi-Ore YtD'!$G:$G,'DB Costi-Ore YtD'!$A:$A,M$1,'DB Costi-Ore YtD'!$B:$B,$A81,'DB Costi-Ore YtD'!$E:$E,$C81)-SUM($D81:L81),0)</f>
        <v>0</v>
      </c>
      <c r="N81">
        <f>IF((N$1*1)&lt;=MAX('DB Costi-Ore YtD'!$A:$A),SUMIFS('DB Costi-Ore YtD'!$G:$G,'DB Costi-Ore YtD'!$A:$A,N$1,'DB Costi-Ore YtD'!$B:$B,$A81,'DB Costi-Ore YtD'!$E:$E,$C81)-SUM($D81:M81),0)</f>
        <v>0</v>
      </c>
      <c r="O81">
        <f>IF((O$1*1)&lt;=MAX('DB Costi-Ore YtD'!$A:$A),SUMIFS('DB Costi-Ore YtD'!$G:$G,'DB Costi-Ore YtD'!$A:$A,O$1,'DB Costi-Ore YtD'!$B:$B,$A81,'DB Costi-Ore YtD'!$E:$E,$C81)-SUM($D81:N81),0)</f>
        <v>0</v>
      </c>
    </row>
    <row r="82" spans="1:15" hidden="1" x14ac:dyDescent="0.3">
      <c r="A82" t="s">
        <v>189</v>
      </c>
      <c r="B82" t="s">
        <v>190</v>
      </c>
      <c r="C82" t="s">
        <v>2</v>
      </c>
      <c r="D82">
        <f>IF((D$1*1)&lt;=MAX('DB Costi-Ore YtD'!$A:$A),SUMIFS('DB Costi-Ore YtD'!$G:$G,'DB Costi-Ore YtD'!$A:$A,D$1,'DB Costi-Ore YtD'!$B:$B,$A82,'DB Costi-Ore YtD'!$E:$E,$C82),0)</f>
        <v>2426.13</v>
      </c>
      <c r="E82">
        <f>IF((E$1*1)&lt;=MAX('DB Costi-Ore YtD'!$A:$A),SUMIFS('DB Costi-Ore YtD'!$G:$G,'DB Costi-Ore YtD'!$A:$A,E$1,'DB Costi-Ore YtD'!$B:$B,$A82,'DB Costi-Ore YtD'!$E:$E,$C82)-SUM($D82:D82),0)</f>
        <v>2370.8399999999992</v>
      </c>
      <c r="F82">
        <f>IF((F$1*1)&lt;=MAX('DB Costi-Ore YtD'!$A:$A),SUMIFS('DB Costi-Ore YtD'!$G:$G,'DB Costi-Ore YtD'!$A:$A,F$1,'DB Costi-Ore YtD'!$B:$B,$A82,'DB Costi-Ore YtD'!$E:$E,$C82)-SUM($D82:E82),0)</f>
        <v>2552.4800000000005</v>
      </c>
      <c r="G82">
        <f>IF((G$1*1)&lt;=MAX('DB Costi-Ore YtD'!$A:$A),SUMIFS('DB Costi-Ore YtD'!$G:$G,'DB Costi-Ore YtD'!$A:$A,G$1,'DB Costi-Ore YtD'!$B:$B,$A82,'DB Costi-Ore YtD'!$E:$E,$C82)-SUM($D82:F82),0)</f>
        <v>2613.0500000000002</v>
      </c>
      <c r="H82">
        <f>IF((H$1*1)&lt;=MAX('DB Costi-Ore YtD'!$A:$A),SUMIFS('DB Costi-Ore YtD'!$G:$G,'DB Costi-Ore YtD'!$A:$A,H$1,'DB Costi-Ore YtD'!$B:$B,$A82,'DB Costi-Ore YtD'!$E:$E,$C82)-SUM($D82:G82),0)</f>
        <v>2417.4299999999985</v>
      </c>
      <c r="I82">
        <f>IF((I$1*1)&lt;=MAX('DB Costi-Ore YtD'!$A:$A),SUMIFS('DB Costi-Ore YtD'!$G:$G,'DB Costi-Ore YtD'!$A:$A,I$1,'DB Costi-Ore YtD'!$B:$B,$A82,'DB Costi-Ore YtD'!$E:$E,$C82)-SUM($D82:H82),0)</f>
        <v>2508.8900000000049</v>
      </c>
      <c r="J82">
        <f>IF((J$1*1)&lt;=MAX('DB Costi-Ore YtD'!$A:$A),SUMIFS('DB Costi-Ore YtD'!$G:$G,'DB Costi-Ore YtD'!$A:$A,J$1,'DB Costi-Ore YtD'!$B:$B,$A82,'DB Costi-Ore YtD'!$E:$E,$C82)-SUM($D82:I82),0)</f>
        <v>0</v>
      </c>
      <c r="K82">
        <f>IF((K$1*1)&lt;=MAX('DB Costi-Ore YtD'!$A:$A),SUMIFS('DB Costi-Ore YtD'!$G:$G,'DB Costi-Ore YtD'!$A:$A,K$1,'DB Costi-Ore YtD'!$B:$B,$A82,'DB Costi-Ore YtD'!$E:$E,$C82)-SUM($D82:J82),0)</f>
        <v>0</v>
      </c>
      <c r="L82">
        <f>IF((L$1*1)&lt;=MAX('DB Costi-Ore YtD'!$A:$A),SUMIFS('DB Costi-Ore YtD'!$G:$G,'DB Costi-Ore YtD'!$A:$A,L$1,'DB Costi-Ore YtD'!$B:$B,$A82,'DB Costi-Ore YtD'!$E:$E,$C82)-SUM($D82:K82),0)</f>
        <v>0</v>
      </c>
      <c r="M82">
        <f>IF((M$1*1)&lt;=MAX('DB Costi-Ore YtD'!$A:$A),SUMIFS('DB Costi-Ore YtD'!$G:$G,'DB Costi-Ore YtD'!$A:$A,M$1,'DB Costi-Ore YtD'!$B:$B,$A82,'DB Costi-Ore YtD'!$E:$E,$C82)-SUM($D82:L82),0)</f>
        <v>0</v>
      </c>
      <c r="N82">
        <f>IF((N$1*1)&lt;=MAX('DB Costi-Ore YtD'!$A:$A),SUMIFS('DB Costi-Ore YtD'!$G:$G,'DB Costi-Ore YtD'!$A:$A,N$1,'DB Costi-Ore YtD'!$B:$B,$A82,'DB Costi-Ore YtD'!$E:$E,$C82)-SUM($D82:M82),0)</f>
        <v>0</v>
      </c>
      <c r="O82">
        <f>IF((O$1*1)&lt;=MAX('DB Costi-Ore YtD'!$A:$A),SUMIFS('DB Costi-Ore YtD'!$G:$G,'DB Costi-Ore YtD'!$A:$A,O$1,'DB Costi-Ore YtD'!$B:$B,$A82,'DB Costi-Ore YtD'!$E:$E,$C82)-SUM($D82:N82),0)</f>
        <v>0</v>
      </c>
    </row>
    <row r="83" spans="1:15" hidden="1" x14ac:dyDescent="0.3">
      <c r="A83" t="s">
        <v>191</v>
      </c>
      <c r="B83" t="s">
        <v>192</v>
      </c>
      <c r="C83" t="s">
        <v>2</v>
      </c>
      <c r="D83">
        <f>IF((D$1*1)&lt;=MAX('DB Costi-Ore YtD'!$A:$A),SUMIFS('DB Costi-Ore YtD'!$G:$G,'DB Costi-Ore YtD'!$A:$A,D$1,'DB Costi-Ore YtD'!$B:$B,$A83,'DB Costi-Ore YtD'!$E:$E,$C83),0)</f>
        <v>3015.3399999999997</v>
      </c>
      <c r="E83">
        <f>IF((E$1*1)&lt;=MAX('DB Costi-Ore YtD'!$A:$A),SUMIFS('DB Costi-Ore YtD'!$G:$G,'DB Costi-Ore YtD'!$A:$A,E$1,'DB Costi-Ore YtD'!$B:$B,$A83,'DB Costi-Ore YtD'!$E:$E,$C83)-SUM($D83:D83),0)</f>
        <v>2400.3000000000006</v>
      </c>
      <c r="F83">
        <f>IF((F$1*1)&lt;=MAX('DB Costi-Ore YtD'!$A:$A),SUMIFS('DB Costi-Ore YtD'!$G:$G,'DB Costi-Ore YtD'!$A:$A,F$1,'DB Costi-Ore YtD'!$B:$B,$A83,'DB Costi-Ore YtD'!$E:$E,$C83)-SUM($D83:E83),0)</f>
        <v>2709.0600000000004</v>
      </c>
      <c r="G83">
        <f>IF((G$1*1)&lt;=MAX('DB Costi-Ore YtD'!$A:$A),SUMIFS('DB Costi-Ore YtD'!$G:$G,'DB Costi-Ore YtD'!$A:$A,G$1,'DB Costi-Ore YtD'!$B:$B,$A83,'DB Costi-Ore YtD'!$E:$E,$C83)-SUM($D83:F83),0)</f>
        <v>2780.8999999999996</v>
      </c>
      <c r="H83">
        <f>IF((H$1*1)&lt;=MAX('DB Costi-Ore YtD'!$A:$A),SUMIFS('DB Costi-Ore YtD'!$G:$G,'DB Costi-Ore YtD'!$A:$A,H$1,'DB Costi-Ore YtD'!$B:$B,$A83,'DB Costi-Ore YtD'!$E:$E,$C83)-SUM($D83:G83),0)</f>
        <v>2604.3000000000029</v>
      </c>
      <c r="I83">
        <f>IF((I$1*1)&lt;=MAX('DB Costi-Ore YtD'!$A:$A),SUMIFS('DB Costi-Ore YtD'!$G:$G,'DB Costi-Ore YtD'!$A:$A,I$1,'DB Costi-Ore YtD'!$B:$B,$A83,'DB Costi-Ore YtD'!$E:$E,$C83)-SUM($D83:H83),0)</f>
        <v>2743.8499999999913</v>
      </c>
      <c r="J83">
        <f>IF((J$1*1)&lt;=MAX('DB Costi-Ore YtD'!$A:$A),SUMIFS('DB Costi-Ore YtD'!$G:$G,'DB Costi-Ore YtD'!$A:$A,J$1,'DB Costi-Ore YtD'!$B:$B,$A83,'DB Costi-Ore YtD'!$E:$E,$C83)-SUM($D83:I83),0)</f>
        <v>0</v>
      </c>
      <c r="K83">
        <f>IF((K$1*1)&lt;=MAX('DB Costi-Ore YtD'!$A:$A),SUMIFS('DB Costi-Ore YtD'!$G:$G,'DB Costi-Ore YtD'!$A:$A,K$1,'DB Costi-Ore YtD'!$B:$B,$A83,'DB Costi-Ore YtD'!$E:$E,$C83)-SUM($D83:J83),0)</f>
        <v>0</v>
      </c>
      <c r="L83">
        <f>IF((L$1*1)&lt;=MAX('DB Costi-Ore YtD'!$A:$A),SUMIFS('DB Costi-Ore YtD'!$G:$G,'DB Costi-Ore YtD'!$A:$A,L$1,'DB Costi-Ore YtD'!$B:$B,$A83,'DB Costi-Ore YtD'!$E:$E,$C83)-SUM($D83:K83),0)</f>
        <v>0</v>
      </c>
      <c r="M83">
        <f>IF((M$1*1)&lt;=MAX('DB Costi-Ore YtD'!$A:$A),SUMIFS('DB Costi-Ore YtD'!$G:$G,'DB Costi-Ore YtD'!$A:$A,M$1,'DB Costi-Ore YtD'!$B:$B,$A83,'DB Costi-Ore YtD'!$E:$E,$C83)-SUM($D83:L83),0)</f>
        <v>0</v>
      </c>
      <c r="N83">
        <f>IF((N$1*1)&lt;=MAX('DB Costi-Ore YtD'!$A:$A),SUMIFS('DB Costi-Ore YtD'!$G:$G,'DB Costi-Ore YtD'!$A:$A,N$1,'DB Costi-Ore YtD'!$B:$B,$A83,'DB Costi-Ore YtD'!$E:$E,$C83)-SUM($D83:M83),0)</f>
        <v>0</v>
      </c>
      <c r="O83">
        <f>IF((O$1*1)&lt;=MAX('DB Costi-Ore YtD'!$A:$A),SUMIFS('DB Costi-Ore YtD'!$G:$G,'DB Costi-Ore YtD'!$A:$A,O$1,'DB Costi-Ore YtD'!$B:$B,$A83,'DB Costi-Ore YtD'!$E:$E,$C83)-SUM($D83:N83),0)</f>
        <v>0</v>
      </c>
    </row>
    <row r="84" spans="1:15" hidden="1" x14ac:dyDescent="0.3">
      <c r="A84" t="s">
        <v>193</v>
      </c>
      <c r="B84" t="s">
        <v>194</v>
      </c>
      <c r="C84" t="s">
        <v>7</v>
      </c>
      <c r="D84">
        <f>IF((D$1*1)&lt;=MAX('DB Costi-Ore YtD'!$A:$A),SUMIFS('DB Costi-Ore YtD'!$G:$G,'DB Costi-Ore YtD'!$A:$A,D$1,'DB Costi-Ore YtD'!$B:$B,$A84,'DB Costi-Ore YtD'!$E:$E,$C84),0)</f>
        <v>2186.0100000000002</v>
      </c>
      <c r="E84">
        <f>IF((E$1*1)&lt;=MAX('DB Costi-Ore YtD'!$A:$A),SUMIFS('DB Costi-Ore YtD'!$G:$G,'DB Costi-Ore YtD'!$A:$A,E$1,'DB Costi-Ore YtD'!$B:$B,$A84,'DB Costi-Ore YtD'!$E:$E,$C84)-SUM($D84:D84),0)</f>
        <v>2005.9699999999993</v>
      </c>
      <c r="F84">
        <f>IF((F$1*1)&lt;=MAX('DB Costi-Ore YtD'!$A:$A),SUMIFS('DB Costi-Ore YtD'!$G:$G,'DB Costi-Ore YtD'!$A:$A,F$1,'DB Costi-Ore YtD'!$B:$B,$A84,'DB Costi-Ore YtD'!$E:$E,$C84)-SUM($D84:E84),0)</f>
        <v>1968.67</v>
      </c>
      <c r="G84">
        <f>IF((G$1*1)&lt;=MAX('DB Costi-Ore YtD'!$A:$A),SUMIFS('DB Costi-Ore YtD'!$G:$G,'DB Costi-Ore YtD'!$A:$A,G$1,'DB Costi-Ore YtD'!$B:$B,$A84,'DB Costi-Ore YtD'!$E:$E,$C84)-SUM($D84:F84),0)</f>
        <v>2253.4500000000007</v>
      </c>
      <c r="H84">
        <f>IF((H$1*1)&lt;=MAX('DB Costi-Ore YtD'!$A:$A),SUMIFS('DB Costi-Ore YtD'!$G:$G,'DB Costi-Ore YtD'!$A:$A,H$1,'DB Costi-Ore YtD'!$B:$B,$A84,'DB Costi-Ore YtD'!$E:$E,$C84)-SUM($D84:G84),0)</f>
        <v>-8414.1</v>
      </c>
      <c r="I84">
        <f>IF((I$1*1)&lt;=MAX('DB Costi-Ore YtD'!$A:$A),SUMIFS('DB Costi-Ore YtD'!$G:$G,'DB Costi-Ore YtD'!$A:$A,I$1,'DB Costi-Ore YtD'!$B:$B,$A84,'DB Costi-Ore YtD'!$E:$E,$C84)-SUM($D84:H84),0)</f>
        <v>0</v>
      </c>
      <c r="J84">
        <f>IF((J$1*1)&lt;=MAX('DB Costi-Ore YtD'!$A:$A),SUMIFS('DB Costi-Ore YtD'!$G:$G,'DB Costi-Ore YtD'!$A:$A,J$1,'DB Costi-Ore YtD'!$B:$B,$A84,'DB Costi-Ore YtD'!$E:$E,$C84)-SUM($D84:I84),0)</f>
        <v>0</v>
      </c>
      <c r="K84">
        <f>IF((K$1*1)&lt;=MAX('DB Costi-Ore YtD'!$A:$A),SUMIFS('DB Costi-Ore YtD'!$G:$G,'DB Costi-Ore YtD'!$A:$A,K$1,'DB Costi-Ore YtD'!$B:$B,$A84,'DB Costi-Ore YtD'!$E:$E,$C84)-SUM($D84:J84),0)</f>
        <v>0</v>
      </c>
      <c r="L84">
        <f>IF((L$1*1)&lt;=MAX('DB Costi-Ore YtD'!$A:$A),SUMIFS('DB Costi-Ore YtD'!$G:$G,'DB Costi-Ore YtD'!$A:$A,L$1,'DB Costi-Ore YtD'!$B:$B,$A84,'DB Costi-Ore YtD'!$E:$E,$C84)-SUM($D84:K84),0)</f>
        <v>0</v>
      </c>
      <c r="M84">
        <f>IF((M$1*1)&lt;=MAX('DB Costi-Ore YtD'!$A:$A),SUMIFS('DB Costi-Ore YtD'!$G:$G,'DB Costi-Ore YtD'!$A:$A,M$1,'DB Costi-Ore YtD'!$B:$B,$A84,'DB Costi-Ore YtD'!$E:$E,$C84)-SUM($D84:L84),0)</f>
        <v>0</v>
      </c>
      <c r="N84">
        <f>IF((N$1*1)&lt;=MAX('DB Costi-Ore YtD'!$A:$A),SUMIFS('DB Costi-Ore YtD'!$G:$G,'DB Costi-Ore YtD'!$A:$A,N$1,'DB Costi-Ore YtD'!$B:$B,$A84,'DB Costi-Ore YtD'!$E:$E,$C84)-SUM($D84:M84),0)</f>
        <v>0</v>
      </c>
      <c r="O84">
        <f>IF((O$1*1)&lt;=MAX('DB Costi-Ore YtD'!$A:$A),SUMIFS('DB Costi-Ore YtD'!$G:$G,'DB Costi-Ore YtD'!$A:$A,O$1,'DB Costi-Ore YtD'!$B:$B,$A84,'DB Costi-Ore YtD'!$E:$E,$C84)-SUM($D84:N84),0)</f>
        <v>0</v>
      </c>
    </row>
    <row r="85" spans="1:15" hidden="1" x14ac:dyDescent="0.3">
      <c r="A85" t="s">
        <v>195</v>
      </c>
      <c r="B85" t="s">
        <v>196</v>
      </c>
      <c r="C85" t="s">
        <v>8</v>
      </c>
      <c r="D85">
        <f>IF((D$1*1)&lt;=MAX('DB Costi-Ore YtD'!$A:$A),SUMIFS('DB Costi-Ore YtD'!$G:$G,'DB Costi-Ore YtD'!$A:$A,D$1,'DB Costi-Ore YtD'!$B:$B,$A85,'DB Costi-Ore YtD'!$E:$E,$C85),0)</f>
        <v>3963.75</v>
      </c>
      <c r="E85">
        <f>IF((E$1*1)&lt;=MAX('DB Costi-Ore YtD'!$A:$A),SUMIFS('DB Costi-Ore YtD'!$G:$G,'DB Costi-Ore YtD'!$A:$A,E$1,'DB Costi-Ore YtD'!$B:$B,$A85,'DB Costi-Ore YtD'!$E:$E,$C85)-SUM($D85:D85),0)</f>
        <v>4488.4400000000005</v>
      </c>
      <c r="F85">
        <f>IF((F$1*1)&lt;=MAX('DB Costi-Ore YtD'!$A:$A),SUMIFS('DB Costi-Ore YtD'!$G:$G,'DB Costi-Ore YtD'!$A:$A,F$1,'DB Costi-Ore YtD'!$B:$B,$A85,'DB Costi-Ore YtD'!$E:$E,$C85)-SUM($D85:E85),0)</f>
        <v>4493.6399999999994</v>
      </c>
      <c r="G85">
        <f>IF((G$1*1)&lt;=MAX('DB Costi-Ore YtD'!$A:$A),SUMIFS('DB Costi-Ore YtD'!$G:$G,'DB Costi-Ore YtD'!$A:$A,G$1,'DB Costi-Ore YtD'!$B:$B,$A85,'DB Costi-Ore YtD'!$E:$E,$C85)-SUM($D85:F85),0)</f>
        <v>4000.159999999998</v>
      </c>
      <c r="H85">
        <f>IF((H$1*1)&lt;=MAX('DB Costi-Ore YtD'!$A:$A),SUMIFS('DB Costi-Ore YtD'!$G:$G,'DB Costi-Ore YtD'!$A:$A,H$1,'DB Costi-Ore YtD'!$B:$B,$A85,'DB Costi-Ore YtD'!$E:$E,$C85)-SUM($D85:G85),0)</f>
        <v>4544.7000000000007</v>
      </c>
      <c r="I85">
        <f>IF((I$1*1)&lt;=MAX('DB Costi-Ore YtD'!$A:$A),SUMIFS('DB Costi-Ore YtD'!$G:$G,'DB Costi-Ore YtD'!$A:$A,I$1,'DB Costi-Ore YtD'!$B:$B,$A85,'DB Costi-Ore YtD'!$E:$E,$C85)-SUM($D85:H85),0)</f>
        <v>4479.5799999999981</v>
      </c>
      <c r="J85">
        <f>IF((J$1*1)&lt;=MAX('DB Costi-Ore YtD'!$A:$A),SUMIFS('DB Costi-Ore YtD'!$G:$G,'DB Costi-Ore YtD'!$A:$A,J$1,'DB Costi-Ore YtD'!$B:$B,$A85,'DB Costi-Ore YtD'!$E:$E,$C85)-SUM($D85:I85),0)</f>
        <v>0</v>
      </c>
      <c r="K85">
        <f>IF((K$1*1)&lt;=MAX('DB Costi-Ore YtD'!$A:$A),SUMIFS('DB Costi-Ore YtD'!$G:$G,'DB Costi-Ore YtD'!$A:$A,K$1,'DB Costi-Ore YtD'!$B:$B,$A85,'DB Costi-Ore YtD'!$E:$E,$C85)-SUM($D85:J85),0)</f>
        <v>0</v>
      </c>
      <c r="L85">
        <f>IF((L$1*1)&lt;=MAX('DB Costi-Ore YtD'!$A:$A),SUMIFS('DB Costi-Ore YtD'!$G:$G,'DB Costi-Ore YtD'!$A:$A,L$1,'DB Costi-Ore YtD'!$B:$B,$A85,'DB Costi-Ore YtD'!$E:$E,$C85)-SUM($D85:K85),0)</f>
        <v>0</v>
      </c>
      <c r="M85">
        <f>IF((M$1*1)&lt;=MAX('DB Costi-Ore YtD'!$A:$A),SUMIFS('DB Costi-Ore YtD'!$G:$G,'DB Costi-Ore YtD'!$A:$A,M$1,'DB Costi-Ore YtD'!$B:$B,$A85,'DB Costi-Ore YtD'!$E:$E,$C85)-SUM($D85:L85),0)</f>
        <v>0</v>
      </c>
      <c r="N85">
        <f>IF((N$1*1)&lt;=MAX('DB Costi-Ore YtD'!$A:$A),SUMIFS('DB Costi-Ore YtD'!$G:$G,'DB Costi-Ore YtD'!$A:$A,N$1,'DB Costi-Ore YtD'!$B:$B,$A85,'DB Costi-Ore YtD'!$E:$E,$C85)-SUM($D85:M85),0)</f>
        <v>0</v>
      </c>
      <c r="O85">
        <f>IF((O$1*1)&lt;=MAX('DB Costi-Ore YtD'!$A:$A),SUMIFS('DB Costi-Ore YtD'!$G:$G,'DB Costi-Ore YtD'!$A:$A,O$1,'DB Costi-Ore YtD'!$B:$B,$A85,'DB Costi-Ore YtD'!$E:$E,$C85)-SUM($D85:N85),0)</f>
        <v>0</v>
      </c>
    </row>
    <row r="86" spans="1:15" hidden="1" x14ac:dyDescent="0.3">
      <c r="A86" t="s">
        <v>197</v>
      </c>
      <c r="B86" t="s">
        <v>198</v>
      </c>
      <c r="C86" t="s">
        <v>3</v>
      </c>
      <c r="D86">
        <f>IF((D$1*1)&lt;=MAX('DB Costi-Ore YtD'!$A:$A),SUMIFS('DB Costi-Ore YtD'!$G:$G,'DB Costi-Ore YtD'!$A:$A,D$1,'DB Costi-Ore YtD'!$B:$B,$A86,'DB Costi-Ore YtD'!$E:$E,$C86),0)</f>
        <v>649.4</v>
      </c>
      <c r="E86">
        <f>IF((E$1*1)&lt;=MAX('DB Costi-Ore YtD'!$A:$A),SUMIFS('DB Costi-Ore YtD'!$G:$G,'DB Costi-Ore YtD'!$A:$A,E$1,'DB Costi-Ore YtD'!$B:$B,$A86,'DB Costi-Ore YtD'!$E:$E,$C86)-SUM($D86:D86),0)</f>
        <v>563.5200000000001</v>
      </c>
      <c r="F86">
        <f>IF((F$1*1)&lt;=MAX('DB Costi-Ore YtD'!$A:$A),SUMIFS('DB Costi-Ore YtD'!$G:$G,'DB Costi-Ore YtD'!$A:$A,F$1,'DB Costi-Ore YtD'!$B:$B,$A86,'DB Costi-Ore YtD'!$E:$E,$C86)-SUM($D86:E86),0)</f>
        <v>524.58000000000038</v>
      </c>
      <c r="G86">
        <f>IF((G$1*1)&lt;=MAX('DB Costi-Ore YtD'!$A:$A),SUMIFS('DB Costi-Ore YtD'!$G:$G,'DB Costi-Ore YtD'!$A:$A,G$1,'DB Costi-Ore YtD'!$B:$B,$A86,'DB Costi-Ore YtD'!$E:$E,$C86)-SUM($D86:F86),0)</f>
        <v>632.61999999999989</v>
      </c>
      <c r="H86">
        <f>IF((H$1*1)&lt;=MAX('DB Costi-Ore YtD'!$A:$A),SUMIFS('DB Costi-Ore YtD'!$G:$G,'DB Costi-Ore YtD'!$A:$A,H$1,'DB Costi-Ore YtD'!$B:$B,$A86,'DB Costi-Ore YtD'!$E:$E,$C86)-SUM($D86:G86),0)</f>
        <v>567.99999999999955</v>
      </c>
      <c r="I86">
        <f>IF((I$1*1)&lt;=MAX('DB Costi-Ore YtD'!$A:$A),SUMIFS('DB Costi-Ore YtD'!$G:$G,'DB Costi-Ore YtD'!$A:$A,I$1,'DB Costi-Ore YtD'!$B:$B,$A86,'DB Costi-Ore YtD'!$E:$E,$C86)-SUM($D86:H86),0)</f>
        <v>456.95000000000027</v>
      </c>
      <c r="J86">
        <f>IF((J$1*1)&lt;=MAX('DB Costi-Ore YtD'!$A:$A),SUMIFS('DB Costi-Ore YtD'!$G:$G,'DB Costi-Ore YtD'!$A:$A,J$1,'DB Costi-Ore YtD'!$B:$B,$A86,'DB Costi-Ore YtD'!$E:$E,$C86)-SUM($D86:I86),0)</f>
        <v>0</v>
      </c>
      <c r="K86">
        <f>IF((K$1*1)&lt;=MAX('DB Costi-Ore YtD'!$A:$A),SUMIFS('DB Costi-Ore YtD'!$G:$G,'DB Costi-Ore YtD'!$A:$A,K$1,'DB Costi-Ore YtD'!$B:$B,$A86,'DB Costi-Ore YtD'!$E:$E,$C86)-SUM($D86:J86),0)</f>
        <v>0</v>
      </c>
      <c r="L86">
        <f>IF((L$1*1)&lt;=MAX('DB Costi-Ore YtD'!$A:$A),SUMIFS('DB Costi-Ore YtD'!$G:$G,'DB Costi-Ore YtD'!$A:$A,L$1,'DB Costi-Ore YtD'!$B:$B,$A86,'DB Costi-Ore YtD'!$E:$E,$C86)-SUM($D86:K86),0)</f>
        <v>0</v>
      </c>
      <c r="M86">
        <f>IF((M$1*1)&lt;=MAX('DB Costi-Ore YtD'!$A:$A),SUMIFS('DB Costi-Ore YtD'!$G:$G,'DB Costi-Ore YtD'!$A:$A,M$1,'DB Costi-Ore YtD'!$B:$B,$A86,'DB Costi-Ore YtD'!$E:$E,$C86)-SUM($D86:L86),0)</f>
        <v>0</v>
      </c>
      <c r="N86">
        <f>IF((N$1*1)&lt;=MAX('DB Costi-Ore YtD'!$A:$A),SUMIFS('DB Costi-Ore YtD'!$G:$G,'DB Costi-Ore YtD'!$A:$A,N$1,'DB Costi-Ore YtD'!$B:$B,$A86,'DB Costi-Ore YtD'!$E:$E,$C86)-SUM($D86:M86),0)</f>
        <v>0</v>
      </c>
      <c r="O86">
        <f>IF((O$1*1)&lt;=MAX('DB Costi-Ore YtD'!$A:$A),SUMIFS('DB Costi-Ore YtD'!$G:$G,'DB Costi-Ore YtD'!$A:$A,O$1,'DB Costi-Ore YtD'!$B:$B,$A86,'DB Costi-Ore YtD'!$E:$E,$C86)-SUM($D86:N86),0)</f>
        <v>0</v>
      </c>
    </row>
    <row r="87" spans="1:15" hidden="1" x14ac:dyDescent="0.3">
      <c r="A87" t="s">
        <v>199</v>
      </c>
      <c r="B87" t="s">
        <v>200</v>
      </c>
      <c r="C87" t="s">
        <v>8</v>
      </c>
      <c r="D87">
        <f>IF((D$1*1)&lt;=MAX('DB Costi-Ore YtD'!$A:$A),SUMIFS('DB Costi-Ore YtD'!$G:$G,'DB Costi-Ore YtD'!$A:$A,D$1,'DB Costi-Ore YtD'!$B:$B,$A87,'DB Costi-Ore YtD'!$E:$E,$C87),0)</f>
        <v>1645.75</v>
      </c>
      <c r="E87">
        <f>IF((E$1*1)&lt;=MAX('DB Costi-Ore YtD'!$A:$A),SUMIFS('DB Costi-Ore YtD'!$G:$G,'DB Costi-Ore YtD'!$A:$A,E$1,'DB Costi-Ore YtD'!$B:$B,$A87,'DB Costi-Ore YtD'!$E:$E,$C87)-SUM($D87:D87),0)</f>
        <v>1530.7399999999998</v>
      </c>
      <c r="F87">
        <f>IF((F$1*1)&lt;=MAX('DB Costi-Ore YtD'!$A:$A),SUMIFS('DB Costi-Ore YtD'!$G:$G,'DB Costi-Ore YtD'!$A:$A,F$1,'DB Costi-Ore YtD'!$B:$B,$A87,'DB Costi-Ore YtD'!$E:$E,$C87)-SUM($D87:E87),0)</f>
        <v>1006.1400000000003</v>
      </c>
      <c r="G87">
        <f>IF((G$1*1)&lt;=MAX('DB Costi-Ore YtD'!$A:$A),SUMIFS('DB Costi-Ore YtD'!$G:$G,'DB Costi-Ore YtD'!$A:$A,G$1,'DB Costi-Ore YtD'!$B:$B,$A87,'DB Costi-Ore YtD'!$E:$E,$C87)-SUM($D87:F87),0)</f>
        <v>1941.8000000000002</v>
      </c>
      <c r="H87">
        <f>IF((H$1*1)&lt;=MAX('DB Costi-Ore YtD'!$A:$A),SUMIFS('DB Costi-Ore YtD'!$G:$G,'DB Costi-Ore YtD'!$A:$A,H$1,'DB Costi-Ore YtD'!$B:$B,$A87,'DB Costi-Ore YtD'!$E:$E,$C87)-SUM($D87:G87),0)</f>
        <v>1772.7399999999998</v>
      </c>
      <c r="I87">
        <f>IF((I$1*1)&lt;=MAX('DB Costi-Ore YtD'!$A:$A),SUMIFS('DB Costi-Ore YtD'!$G:$G,'DB Costi-Ore YtD'!$A:$A,I$1,'DB Costi-Ore YtD'!$B:$B,$A87,'DB Costi-Ore YtD'!$E:$E,$C87)-SUM($D87:H87),0)</f>
        <v>464.07999999999993</v>
      </c>
      <c r="J87">
        <f>IF((J$1*1)&lt;=MAX('DB Costi-Ore YtD'!$A:$A),SUMIFS('DB Costi-Ore YtD'!$G:$G,'DB Costi-Ore YtD'!$A:$A,J$1,'DB Costi-Ore YtD'!$B:$B,$A87,'DB Costi-Ore YtD'!$E:$E,$C87)-SUM($D87:I87),0)</f>
        <v>0</v>
      </c>
      <c r="K87">
        <f>IF((K$1*1)&lt;=MAX('DB Costi-Ore YtD'!$A:$A),SUMIFS('DB Costi-Ore YtD'!$G:$G,'DB Costi-Ore YtD'!$A:$A,K$1,'DB Costi-Ore YtD'!$B:$B,$A87,'DB Costi-Ore YtD'!$E:$E,$C87)-SUM($D87:J87),0)</f>
        <v>0</v>
      </c>
      <c r="L87">
        <f>IF((L$1*1)&lt;=MAX('DB Costi-Ore YtD'!$A:$A),SUMIFS('DB Costi-Ore YtD'!$G:$G,'DB Costi-Ore YtD'!$A:$A,L$1,'DB Costi-Ore YtD'!$B:$B,$A87,'DB Costi-Ore YtD'!$E:$E,$C87)-SUM($D87:K87),0)</f>
        <v>0</v>
      </c>
      <c r="M87">
        <f>IF((M$1*1)&lt;=MAX('DB Costi-Ore YtD'!$A:$A),SUMIFS('DB Costi-Ore YtD'!$G:$G,'DB Costi-Ore YtD'!$A:$A,M$1,'DB Costi-Ore YtD'!$B:$B,$A87,'DB Costi-Ore YtD'!$E:$E,$C87)-SUM($D87:L87),0)</f>
        <v>0</v>
      </c>
      <c r="N87">
        <f>IF((N$1*1)&lt;=MAX('DB Costi-Ore YtD'!$A:$A),SUMIFS('DB Costi-Ore YtD'!$G:$G,'DB Costi-Ore YtD'!$A:$A,N$1,'DB Costi-Ore YtD'!$B:$B,$A87,'DB Costi-Ore YtD'!$E:$E,$C87)-SUM($D87:M87),0)</f>
        <v>0</v>
      </c>
      <c r="O87">
        <f>IF((O$1*1)&lt;=MAX('DB Costi-Ore YtD'!$A:$A),SUMIFS('DB Costi-Ore YtD'!$G:$G,'DB Costi-Ore YtD'!$A:$A,O$1,'DB Costi-Ore YtD'!$B:$B,$A87,'DB Costi-Ore YtD'!$E:$E,$C87)-SUM($D87:N87),0)</f>
        <v>0</v>
      </c>
    </row>
    <row r="88" spans="1:15" hidden="1" x14ac:dyDescent="0.3">
      <c r="A88" t="s">
        <v>201</v>
      </c>
      <c r="B88" t="s">
        <v>202</v>
      </c>
      <c r="C88" t="s">
        <v>12</v>
      </c>
      <c r="D88">
        <f>IF((D$1*1)&lt;=MAX('DB Costi-Ore YtD'!$A:$A),SUMIFS('DB Costi-Ore YtD'!$G:$G,'DB Costi-Ore YtD'!$A:$A,D$1,'DB Costi-Ore YtD'!$B:$B,$A88,'DB Costi-Ore YtD'!$E:$E,$C88),0)</f>
        <v>5524.15</v>
      </c>
      <c r="E88">
        <f>IF((E$1*1)&lt;=MAX('DB Costi-Ore YtD'!$A:$A),SUMIFS('DB Costi-Ore YtD'!$G:$G,'DB Costi-Ore YtD'!$A:$A,E$1,'DB Costi-Ore YtD'!$B:$B,$A88,'DB Costi-Ore YtD'!$E:$E,$C88)-SUM($D88:D88),0)</f>
        <v>5990.85</v>
      </c>
      <c r="F88">
        <f>IF((F$1*1)&lt;=MAX('DB Costi-Ore YtD'!$A:$A),SUMIFS('DB Costi-Ore YtD'!$G:$G,'DB Costi-Ore YtD'!$A:$A,F$1,'DB Costi-Ore YtD'!$B:$B,$A88,'DB Costi-Ore YtD'!$E:$E,$C88)-SUM($D88:E88),0)</f>
        <v>5523.8799999999974</v>
      </c>
      <c r="G88">
        <f>IF((G$1*1)&lt;=MAX('DB Costi-Ore YtD'!$A:$A),SUMIFS('DB Costi-Ore YtD'!$G:$G,'DB Costi-Ore YtD'!$A:$A,G$1,'DB Costi-Ore YtD'!$B:$B,$A88,'DB Costi-Ore YtD'!$E:$E,$C88)-SUM($D88:F88),0)</f>
        <v>9980.130000000001</v>
      </c>
      <c r="H88">
        <f>IF((H$1*1)&lt;=MAX('DB Costi-Ore YtD'!$A:$A),SUMIFS('DB Costi-Ore YtD'!$G:$G,'DB Costi-Ore YtD'!$A:$A,H$1,'DB Costi-Ore YtD'!$B:$B,$A88,'DB Costi-Ore YtD'!$E:$E,$C88)-SUM($D88:G88),0)</f>
        <v>6003.2400000000016</v>
      </c>
      <c r="I88">
        <f>IF((I$1*1)&lt;=MAX('DB Costi-Ore YtD'!$A:$A),SUMIFS('DB Costi-Ore YtD'!$G:$G,'DB Costi-Ore YtD'!$A:$A,I$1,'DB Costi-Ore YtD'!$B:$B,$A88,'DB Costi-Ore YtD'!$E:$E,$C88)-SUM($D88:H88),0)</f>
        <v>5705.4199999999983</v>
      </c>
      <c r="J88">
        <f>IF((J$1*1)&lt;=MAX('DB Costi-Ore YtD'!$A:$A),SUMIFS('DB Costi-Ore YtD'!$G:$G,'DB Costi-Ore YtD'!$A:$A,J$1,'DB Costi-Ore YtD'!$B:$B,$A88,'DB Costi-Ore YtD'!$E:$E,$C88)-SUM($D88:I88),0)</f>
        <v>0</v>
      </c>
      <c r="K88">
        <f>IF((K$1*1)&lt;=MAX('DB Costi-Ore YtD'!$A:$A),SUMIFS('DB Costi-Ore YtD'!$G:$G,'DB Costi-Ore YtD'!$A:$A,K$1,'DB Costi-Ore YtD'!$B:$B,$A88,'DB Costi-Ore YtD'!$E:$E,$C88)-SUM($D88:J88),0)</f>
        <v>0</v>
      </c>
      <c r="L88">
        <f>IF((L$1*1)&lt;=MAX('DB Costi-Ore YtD'!$A:$A),SUMIFS('DB Costi-Ore YtD'!$G:$G,'DB Costi-Ore YtD'!$A:$A,L$1,'DB Costi-Ore YtD'!$B:$B,$A88,'DB Costi-Ore YtD'!$E:$E,$C88)-SUM($D88:K88),0)</f>
        <v>0</v>
      </c>
      <c r="M88">
        <f>IF((M$1*1)&lt;=MAX('DB Costi-Ore YtD'!$A:$A),SUMIFS('DB Costi-Ore YtD'!$G:$G,'DB Costi-Ore YtD'!$A:$A,M$1,'DB Costi-Ore YtD'!$B:$B,$A88,'DB Costi-Ore YtD'!$E:$E,$C88)-SUM($D88:L88),0)</f>
        <v>0</v>
      </c>
      <c r="N88">
        <f>IF((N$1*1)&lt;=MAX('DB Costi-Ore YtD'!$A:$A),SUMIFS('DB Costi-Ore YtD'!$G:$G,'DB Costi-Ore YtD'!$A:$A,N$1,'DB Costi-Ore YtD'!$B:$B,$A88,'DB Costi-Ore YtD'!$E:$E,$C88)-SUM($D88:M88),0)</f>
        <v>0</v>
      </c>
      <c r="O88">
        <f>IF((O$1*1)&lt;=MAX('DB Costi-Ore YtD'!$A:$A),SUMIFS('DB Costi-Ore YtD'!$G:$G,'DB Costi-Ore YtD'!$A:$A,O$1,'DB Costi-Ore YtD'!$B:$B,$A88,'DB Costi-Ore YtD'!$E:$E,$C88)-SUM($D88:N88),0)</f>
        <v>0</v>
      </c>
    </row>
    <row r="89" spans="1:15" hidden="1" x14ac:dyDescent="0.3">
      <c r="A89" t="s">
        <v>203</v>
      </c>
      <c r="B89" t="s">
        <v>204</v>
      </c>
      <c r="C89" t="s">
        <v>3</v>
      </c>
      <c r="D89">
        <f>IF((D$1*1)&lt;=MAX('DB Costi-Ore YtD'!$A:$A),SUMIFS('DB Costi-Ore YtD'!$G:$G,'DB Costi-Ore YtD'!$A:$A,D$1,'DB Costi-Ore YtD'!$B:$B,$A89,'DB Costi-Ore YtD'!$E:$E,$C89),0)</f>
        <v>2935.53</v>
      </c>
      <c r="E89">
        <f>IF((E$1*1)&lt;=MAX('DB Costi-Ore YtD'!$A:$A),SUMIFS('DB Costi-Ore YtD'!$G:$G,'DB Costi-Ore YtD'!$A:$A,E$1,'DB Costi-Ore YtD'!$B:$B,$A89,'DB Costi-Ore YtD'!$E:$E,$C89)-SUM($D89:D89),0)</f>
        <v>2593.1599999999994</v>
      </c>
      <c r="F89">
        <f>IF((F$1*1)&lt;=MAX('DB Costi-Ore YtD'!$A:$A),SUMIFS('DB Costi-Ore YtD'!$G:$G,'DB Costi-Ore YtD'!$A:$A,F$1,'DB Costi-Ore YtD'!$B:$B,$A89,'DB Costi-Ore YtD'!$E:$E,$C89)-SUM($D89:E89),0)</f>
        <v>2649.3099999999995</v>
      </c>
      <c r="G89">
        <f>IF((G$1*1)&lt;=MAX('DB Costi-Ore YtD'!$A:$A),SUMIFS('DB Costi-Ore YtD'!$G:$G,'DB Costi-Ore YtD'!$A:$A,G$1,'DB Costi-Ore YtD'!$B:$B,$A89,'DB Costi-Ore YtD'!$E:$E,$C89)-SUM($D89:F89),0)</f>
        <v>2852.5900000000011</v>
      </c>
      <c r="H89">
        <f>IF((H$1*1)&lt;=MAX('DB Costi-Ore YtD'!$A:$A),SUMIFS('DB Costi-Ore YtD'!$G:$G,'DB Costi-Ore YtD'!$A:$A,H$1,'DB Costi-Ore YtD'!$B:$B,$A89,'DB Costi-Ore YtD'!$E:$E,$C89)-SUM($D89:G89),0)</f>
        <v>2617.8199999999997</v>
      </c>
      <c r="I89">
        <f>IF((I$1*1)&lt;=MAX('DB Costi-Ore YtD'!$A:$A),SUMIFS('DB Costi-Ore YtD'!$G:$G,'DB Costi-Ore YtD'!$A:$A,I$1,'DB Costi-Ore YtD'!$B:$B,$A89,'DB Costi-Ore YtD'!$E:$E,$C89)-SUM($D89:H89),0)</f>
        <v>1631.1500000000015</v>
      </c>
      <c r="J89">
        <f>IF((J$1*1)&lt;=MAX('DB Costi-Ore YtD'!$A:$A),SUMIFS('DB Costi-Ore YtD'!$G:$G,'DB Costi-Ore YtD'!$A:$A,J$1,'DB Costi-Ore YtD'!$B:$B,$A89,'DB Costi-Ore YtD'!$E:$E,$C89)-SUM($D89:I89),0)</f>
        <v>0</v>
      </c>
      <c r="K89">
        <f>IF((K$1*1)&lt;=MAX('DB Costi-Ore YtD'!$A:$A),SUMIFS('DB Costi-Ore YtD'!$G:$G,'DB Costi-Ore YtD'!$A:$A,K$1,'DB Costi-Ore YtD'!$B:$B,$A89,'DB Costi-Ore YtD'!$E:$E,$C89)-SUM($D89:J89),0)</f>
        <v>0</v>
      </c>
      <c r="L89">
        <f>IF((L$1*1)&lt;=MAX('DB Costi-Ore YtD'!$A:$A),SUMIFS('DB Costi-Ore YtD'!$G:$G,'DB Costi-Ore YtD'!$A:$A,L$1,'DB Costi-Ore YtD'!$B:$B,$A89,'DB Costi-Ore YtD'!$E:$E,$C89)-SUM($D89:K89),0)</f>
        <v>0</v>
      </c>
      <c r="M89">
        <f>IF((M$1*1)&lt;=MAX('DB Costi-Ore YtD'!$A:$A),SUMIFS('DB Costi-Ore YtD'!$G:$G,'DB Costi-Ore YtD'!$A:$A,M$1,'DB Costi-Ore YtD'!$B:$B,$A89,'DB Costi-Ore YtD'!$E:$E,$C89)-SUM($D89:L89),0)</f>
        <v>0</v>
      </c>
      <c r="N89">
        <f>IF((N$1*1)&lt;=MAX('DB Costi-Ore YtD'!$A:$A),SUMIFS('DB Costi-Ore YtD'!$G:$G,'DB Costi-Ore YtD'!$A:$A,N$1,'DB Costi-Ore YtD'!$B:$B,$A89,'DB Costi-Ore YtD'!$E:$E,$C89)-SUM($D89:M89),0)</f>
        <v>0</v>
      </c>
      <c r="O89">
        <f>IF((O$1*1)&lt;=MAX('DB Costi-Ore YtD'!$A:$A),SUMIFS('DB Costi-Ore YtD'!$G:$G,'DB Costi-Ore YtD'!$A:$A,O$1,'DB Costi-Ore YtD'!$B:$B,$A89,'DB Costi-Ore YtD'!$E:$E,$C89)-SUM($D89:N89),0)</f>
        <v>0</v>
      </c>
    </row>
    <row r="90" spans="1:15" hidden="1" x14ac:dyDescent="0.3">
      <c r="A90" t="s">
        <v>205</v>
      </c>
      <c r="B90" t="s">
        <v>206</v>
      </c>
      <c r="C90" t="s">
        <v>2</v>
      </c>
      <c r="D90">
        <f>IF((D$1*1)&lt;=MAX('DB Costi-Ore YtD'!$A:$A),SUMIFS('DB Costi-Ore YtD'!$G:$G,'DB Costi-Ore YtD'!$A:$A,D$1,'DB Costi-Ore YtD'!$B:$B,$A90,'DB Costi-Ore YtD'!$E:$E,$C90),0)</f>
        <v>2380.2399999999998</v>
      </c>
      <c r="E90">
        <f>IF((E$1*1)&lt;=MAX('DB Costi-Ore YtD'!$A:$A),SUMIFS('DB Costi-Ore YtD'!$G:$G,'DB Costi-Ore YtD'!$A:$A,E$1,'DB Costi-Ore YtD'!$B:$B,$A90,'DB Costi-Ore YtD'!$E:$E,$C90)-SUM($D90:D90),0)</f>
        <v>2345.0199999999995</v>
      </c>
      <c r="F90">
        <f>IF((F$1*1)&lt;=MAX('DB Costi-Ore YtD'!$A:$A),SUMIFS('DB Costi-Ore YtD'!$G:$G,'DB Costi-Ore YtD'!$A:$A,F$1,'DB Costi-Ore YtD'!$B:$B,$A90,'DB Costi-Ore YtD'!$E:$E,$C90)-SUM($D90:E90),0)</f>
        <v>2373.3400000000011</v>
      </c>
      <c r="G90">
        <f>IF((G$1*1)&lt;=MAX('DB Costi-Ore YtD'!$A:$A),SUMIFS('DB Costi-Ore YtD'!$G:$G,'DB Costi-Ore YtD'!$A:$A,G$1,'DB Costi-Ore YtD'!$B:$B,$A90,'DB Costi-Ore YtD'!$E:$E,$C90)-SUM($D90:F90),0)</f>
        <v>2087.9599999999991</v>
      </c>
      <c r="H90">
        <f>IF((H$1*1)&lt;=MAX('DB Costi-Ore YtD'!$A:$A),SUMIFS('DB Costi-Ore YtD'!$G:$G,'DB Costi-Ore YtD'!$A:$A,H$1,'DB Costi-Ore YtD'!$B:$B,$A90,'DB Costi-Ore YtD'!$E:$E,$C90)-SUM($D90:G90),0)</f>
        <v>2283.4899999999998</v>
      </c>
      <c r="I90">
        <f>IF((I$1*1)&lt;=MAX('DB Costi-Ore YtD'!$A:$A),SUMIFS('DB Costi-Ore YtD'!$G:$G,'DB Costi-Ore YtD'!$A:$A,I$1,'DB Costi-Ore YtD'!$B:$B,$A90,'DB Costi-Ore YtD'!$E:$E,$C90)-SUM($D90:H90),0)</f>
        <v>2310.7899999999991</v>
      </c>
      <c r="J90">
        <f>IF((J$1*1)&lt;=MAX('DB Costi-Ore YtD'!$A:$A),SUMIFS('DB Costi-Ore YtD'!$G:$G,'DB Costi-Ore YtD'!$A:$A,J$1,'DB Costi-Ore YtD'!$B:$B,$A90,'DB Costi-Ore YtD'!$E:$E,$C90)-SUM($D90:I90),0)</f>
        <v>0</v>
      </c>
      <c r="K90">
        <f>IF((K$1*1)&lt;=MAX('DB Costi-Ore YtD'!$A:$A),SUMIFS('DB Costi-Ore YtD'!$G:$G,'DB Costi-Ore YtD'!$A:$A,K$1,'DB Costi-Ore YtD'!$B:$B,$A90,'DB Costi-Ore YtD'!$E:$E,$C90)-SUM($D90:J90),0)</f>
        <v>0</v>
      </c>
      <c r="L90">
        <f>IF((L$1*1)&lt;=MAX('DB Costi-Ore YtD'!$A:$A),SUMIFS('DB Costi-Ore YtD'!$G:$G,'DB Costi-Ore YtD'!$A:$A,L$1,'DB Costi-Ore YtD'!$B:$B,$A90,'DB Costi-Ore YtD'!$E:$E,$C90)-SUM($D90:K90),0)</f>
        <v>0</v>
      </c>
      <c r="M90">
        <f>IF((M$1*1)&lt;=MAX('DB Costi-Ore YtD'!$A:$A),SUMIFS('DB Costi-Ore YtD'!$G:$G,'DB Costi-Ore YtD'!$A:$A,M$1,'DB Costi-Ore YtD'!$B:$B,$A90,'DB Costi-Ore YtD'!$E:$E,$C90)-SUM($D90:L90),0)</f>
        <v>0</v>
      </c>
      <c r="N90">
        <f>IF((N$1*1)&lt;=MAX('DB Costi-Ore YtD'!$A:$A),SUMIFS('DB Costi-Ore YtD'!$G:$G,'DB Costi-Ore YtD'!$A:$A,N$1,'DB Costi-Ore YtD'!$B:$B,$A90,'DB Costi-Ore YtD'!$E:$E,$C90)-SUM($D90:M90),0)</f>
        <v>0</v>
      </c>
      <c r="O90">
        <f>IF((O$1*1)&lt;=MAX('DB Costi-Ore YtD'!$A:$A),SUMIFS('DB Costi-Ore YtD'!$G:$G,'DB Costi-Ore YtD'!$A:$A,O$1,'DB Costi-Ore YtD'!$B:$B,$A90,'DB Costi-Ore YtD'!$E:$E,$C90)-SUM($D90:N90),0)</f>
        <v>0</v>
      </c>
    </row>
    <row r="91" spans="1:15" hidden="1" x14ac:dyDescent="0.3">
      <c r="A91" t="s">
        <v>207</v>
      </c>
      <c r="B91" t="s">
        <v>208</v>
      </c>
      <c r="C91" t="s">
        <v>12</v>
      </c>
      <c r="D91">
        <f>IF((D$1*1)&lt;=MAX('DB Costi-Ore YtD'!$A:$A),SUMIFS('DB Costi-Ore YtD'!$G:$G,'DB Costi-Ore YtD'!$A:$A,D$1,'DB Costi-Ore YtD'!$B:$B,$A91,'DB Costi-Ore YtD'!$E:$E,$C91),0)</f>
        <v>1071.1099999999997</v>
      </c>
      <c r="E91">
        <f>IF((E$1*1)&lt;=MAX('DB Costi-Ore YtD'!$A:$A),SUMIFS('DB Costi-Ore YtD'!$G:$G,'DB Costi-Ore YtD'!$A:$A,E$1,'DB Costi-Ore YtD'!$B:$B,$A91,'DB Costi-Ore YtD'!$E:$E,$C91)-SUM($D91:D91),0)</f>
        <v>1159.7599999999998</v>
      </c>
      <c r="F91">
        <f>IF((F$1*1)&lt;=MAX('DB Costi-Ore YtD'!$A:$A),SUMIFS('DB Costi-Ore YtD'!$G:$G,'DB Costi-Ore YtD'!$A:$A,F$1,'DB Costi-Ore YtD'!$B:$B,$A91,'DB Costi-Ore YtD'!$E:$E,$C91)-SUM($D91:E91),0)</f>
        <v>1221.4300000000007</v>
      </c>
      <c r="G91">
        <f>IF((G$1*1)&lt;=MAX('DB Costi-Ore YtD'!$A:$A),SUMIFS('DB Costi-Ore YtD'!$G:$G,'DB Costi-Ore YtD'!$A:$A,G$1,'DB Costi-Ore YtD'!$B:$B,$A91,'DB Costi-Ore YtD'!$E:$E,$C91)-SUM($D91:F91),0)</f>
        <v>601.39999999999918</v>
      </c>
      <c r="H91">
        <f>IF((H$1*1)&lt;=MAX('DB Costi-Ore YtD'!$A:$A),SUMIFS('DB Costi-Ore YtD'!$G:$G,'DB Costi-Ore YtD'!$A:$A,H$1,'DB Costi-Ore YtD'!$B:$B,$A91,'DB Costi-Ore YtD'!$E:$E,$C91)-SUM($D91:G91),0)</f>
        <v>484.70000000000118</v>
      </c>
      <c r="I91">
        <f>IF((I$1*1)&lt;=MAX('DB Costi-Ore YtD'!$A:$A),SUMIFS('DB Costi-Ore YtD'!$G:$G,'DB Costi-Ore YtD'!$A:$A,I$1,'DB Costi-Ore YtD'!$B:$B,$A91,'DB Costi-Ore YtD'!$E:$E,$C91)-SUM($D91:H91),0)</f>
        <v>232.36999999999898</v>
      </c>
      <c r="J91">
        <f>IF((J$1*1)&lt;=MAX('DB Costi-Ore YtD'!$A:$A),SUMIFS('DB Costi-Ore YtD'!$G:$G,'DB Costi-Ore YtD'!$A:$A,J$1,'DB Costi-Ore YtD'!$B:$B,$A91,'DB Costi-Ore YtD'!$E:$E,$C91)-SUM($D91:I91),0)</f>
        <v>0</v>
      </c>
      <c r="K91">
        <f>IF((K$1*1)&lt;=MAX('DB Costi-Ore YtD'!$A:$A),SUMIFS('DB Costi-Ore YtD'!$G:$G,'DB Costi-Ore YtD'!$A:$A,K$1,'DB Costi-Ore YtD'!$B:$B,$A91,'DB Costi-Ore YtD'!$E:$E,$C91)-SUM($D91:J91),0)</f>
        <v>0</v>
      </c>
      <c r="L91">
        <f>IF((L$1*1)&lt;=MAX('DB Costi-Ore YtD'!$A:$A),SUMIFS('DB Costi-Ore YtD'!$G:$G,'DB Costi-Ore YtD'!$A:$A,L$1,'DB Costi-Ore YtD'!$B:$B,$A91,'DB Costi-Ore YtD'!$E:$E,$C91)-SUM($D91:K91),0)</f>
        <v>0</v>
      </c>
      <c r="M91">
        <f>IF((M$1*1)&lt;=MAX('DB Costi-Ore YtD'!$A:$A),SUMIFS('DB Costi-Ore YtD'!$G:$G,'DB Costi-Ore YtD'!$A:$A,M$1,'DB Costi-Ore YtD'!$B:$B,$A91,'DB Costi-Ore YtD'!$E:$E,$C91)-SUM($D91:L91),0)</f>
        <v>0</v>
      </c>
      <c r="N91">
        <f>IF((N$1*1)&lt;=MAX('DB Costi-Ore YtD'!$A:$A),SUMIFS('DB Costi-Ore YtD'!$G:$G,'DB Costi-Ore YtD'!$A:$A,N$1,'DB Costi-Ore YtD'!$B:$B,$A91,'DB Costi-Ore YtD'!$E:$E,$C91)-SUM($D91:M91),0)</f>
        <v>0</v>
      </c>
      <c r="O91">
        <f>IF((O$1*1)&lt;=MAX('DB Costi-Ore YtD'!$A:$A),SUMIFS('DB Costi-Ore YtD'!$G:$G,'DB Costi-Ore YtD'!$A:$A,O$1,'DB Costi-Ore YtD'!$B:$B,$A91,'DB Costi-Ore YtD'!$E:$E,$C91)-SUM($D91:N91),0)</f>
        <v>0</v>
      </c>
    </row>
    <row r="92" spans="1:15" hidden="1" x14ac:dyDescent="0.3">
      <c r="A92" t="s">
        <v>209</v>
      </c>
      <c r="B92" t="s">
        <v>210</v>
      </c>
      <c r="C92" t="s">
        <v>2</v>
      </c>
      <c r="D92">
        <f>IF((D$1*1)&lt;=MAX('DB Costi-Ore YtD'!$A:$A),SUMIFS('DB Costi-Ore YtD'!$G:$G,'DB Costi-Ore YtD'!$A:$A,D$1,'DB Costi-Ore YtD'!$B:$B,$A92,'DB Costi-Ore YtD'!$E:$E,$C92),0)</f>
        <v>1855.32</v>
      </c>
      <c r="E92">
        <f>IF((E$1*1)&lt;=MAX('DB Costi-Ore YtD'!$A:$A),SUMIFS('DB Costi-Ore YtD'!$G:$G,'DB Costi-Ore YtD'!$A:$A,E$1,'DB Costi-Ore YtD'!$B:$B,$A92,'DB Costi-Ore YtD'!$E:$E,$C92)-SUM($D92:D92),0)</f>
        <v>1820.4400000000003</v>
      </c>
      <c r="F92">
        <f>IF((F$1*1)&lt;=MAX('DB Costi-Ore YtD'!$A:$A),SUMIFS('DB Costi-Ore YtD'!$G:$G,'DB Costi-Ore YtD'!$A:$A,F$1,'DB Costi-Ore YtD'!$B:$B,$A92,'DB Costi-Ore YtD'!$E:$E,$C92)-SUM($D92:E92),0)</f>
        <v>1833.7799999999997</v>
      </c>
      <c r="G92">
        <f>IF((G$1*1)&lt;=MAX('DB Costi-Ore YtD'!$A:$A),SUMIFS('DB Costi-Ore YtD'!$G:$G,'DB Costi-Ore YtD'!$A:$A,G$1,'DB Costi-Ore YtD'!$B:$B,$A92,'DB Costi-Ore YtD'!$E:$E,$C92)-SUM($D92:F92),0)</f>
        <v>1421.6000000000004</v>
      </c>
      <c r="H92">
        <f>IF((H$1*1)&lt;=MAX('DB Costi-Ore YtD'!$A:$A),SUMIFS('DB Costi-Ore YtD'!$G:$G,'DB Costi-Ore YtD'!$A:$A,H$1,'DB Costi-Ore YtD'!$B:$B,$A92,'DB Costi-Ore YtD'!$E:$E,$C92)-SUM($D92:G92),0)</f>
        <v>1803.8400000000011</v>
      </c>
      <c r="I92">
        <f>IF((I$1*1)&lt;=MAX('DB Costi-Ore YtD'!$A:$A),SUMIFS('DB Costi-Ore YtD'!$G:$G,'DB Costi-Ore YtD'!$A:$A,I$1,'DB Costi-Ore YtD'!$B:$B,$A92,'DB Costi-Ore YtD'!$E:$E,$C92)-SUM($D92:H92),0)</f>
        <v>1843.0999999999967</v>
      </c>
      <c r="J92">
        <f>IF((J$1*1)&lt;=MAX('DB Costi-Ore YtD'!$A:$A),SUMIFS('DB Costi-Ore YtD'!$G:$G,'DB Costi-Ore YtD'!$A:$A,J$1,'DB Costi-Ore YtD'!$B:$B,$A92,'DB Costi-Ore YtD'!$E:$E,$C92)-SUM($D92:I92),0)</f>
        <v>0</v>
      </c>
      <c r="K92">
        <f>IF((K$1*1)&lt;=MAX('DB Costi-Ore YtD'!$A:$A),SUMIFS('DB Costi-Ore YtD'!$G:$G,'DB Costi-Ore YtD'!$A:$A,K$1,'DB Costi-Ore YtD'!$B:$B,$A92,'DB Costi-Ore YtD'!$E:$E,$C92)-SUM($D92:J92),0)</f>
        <v>0</v>
      </c>
      <c r="L92">
        <f>IF((L$1*1)&lt;=MAX('DB Costi-Ore YtD'!$A:$A),SUMIFS('DB Costi-Ore YtD'!$G:$G,'DB Costi-Ore YtD'!$A:$A,L$1,'DB Costi-Ore YtD'!$B:$B,$A92,'DB Costi-Ore YtD'!$E:$E,$C92)-SUM($D92:K92),0)</f>
        <v>0</v>
      </c>
      <c r="M92">
        <f>IF((M$1*1)&lt;=MAX('DB Costi-Ore YtD'!$A:$A),SUMIFS('DB Costi-Ore YtD'!$G:$G,'DB Costi-Ore YtD'!$A:$A,M$1,'DB Costi-Ore YtD'!$B:$B,$A92,'DB Costi-Ore YtD'!$E:$E,$C92)-SUM($D92:L92),0)</f>
        <v>0</v>
      </c>
      <c r="N92">
        <f>IF((N$1*1)&lt;=MAX('DB Costi-Ore YtD'!$A:$A),SUMIFS('DB Costi-Ore YtD'!$G:$G,'DB Costi-Ore YtD'!$A:$A,N$1,'DB Costi-Ore YtD'!$B:$B,$A92,'DB Costi-Ore YtD'!$E:$E,$C92)-SUM($D92:M92),0)</f>
        <v>0</v>
      </c>
      <c r="O92">
        <f>IF((O$1*1)&lt;=MAX('DB Costi-Ore YtD'!$A:$A),SUMIFS('DB Costi-Ore YtD'!$G:$G,'DB Costi-Ore YtD'!$A:$A,O$1,'DB Costi-Ore YtD'!$B:$B,$A92,'DB Costi-Ore YtD'!$E:$E,$C92)-SUM($D92:N92),0)</f>
        <v>0</v>
      </c>
    </row>
    <row r="93" spans="1:15" hidden="1" x14ac:dyDescent="0.3">
      <c r="A93" t="s">
        <v>211</v>
      </c>
      <c r="B93" t="s">
        <v>212</v>
      </c>
      <c r="C93" t="s">
        <v>9</v>
      </c>
      <c r="D93">
        <f>IF((D$1*1)&lt;=MAX('DB Costi-Ore YtD'!$A:$A),SUMIFS('DB Costi-Ore YtD'!$G:$G,'DB Costi-Ore YtD'!$A:$A,D$1,'DB Costi-Ore YtD'!$B:$B,$A93,'DB Costi-Ore YtD'!$E:$E,$C93),0)</f>
        <v>6092.07</v>
      </c>
      <c r="E93">
        <f>IF((E$1*1)&lt;=MAX('DB Costi-Ore YtD'!$A:$A),SUMIFS('DB Costi-Ore YtD'!$G:$G,'DB Costi-Ore YtD'!$A:$A,E$1,'DB Costi-Ore YtD'!$B:$B,$A93,'DB Costi-Ore YtD'!$E:$E,$C93)-SUM($D93:D93),0)</f>
        <v>4117.82</v>
      </c>
      <c r="F93">
        <f>IF((F$1*1)&lt;=MAX('DB Costi-Ore YtD'!$A:$A),SUMIFS('DB Costi-Ore YtD'!$G:$G,'DB Costi-Ore YtD'!$A:$A,F$1,'DB Costi-Ore YtD'!$B:$B,$A93,'DB Costi-Ore YtD'!$E:$E,$C93)-SUM($D93:E93),0)</f>
        <v>4246.26</v>
      </c>
      <c r="G93">
        <f>IF((G$1*1)&lt;=MAX('DB Costi-Ore YtD'!$A:$A),SUMIFS('DB Costi-Ore YtD'!$G:$G,'DB Costi-Ore YtD'!$A:$A,G$1,'DB Costi-Ore YtD'!$B:$B,$A93,'DB Costi-Ore YtD'!$E:$E,$C93)-SUM($D93:F93),0)</f>
        <v>3270.3999999999996</v>
      </c>
      <c r="H93">
        <f>IF((H$1*1)&lt;=MAX('DB Costi-Ore YtD'!$A:$A),SUMIFS('DB Costi-Ore YtD'!$G:$G,'DB Costi-Ore YtD'!$A:$A,H$1,'DB Costi-Ore YtD'!$B:$B,$A93,'DB Costi-Ore YtD'!$E:$E,$C93)-SUM($D93:G93),0)</f>
        <v>3976.380000000001</v>
      </c>
      <c r="I93">
        <f>IF((I$1*1)&lt;=MAX('DB Costi-Ore YtD'!$A:$A),SUMIFS('DB Costi-Ore YtD'!$G:$G,'DB Costi-Ore YtD'!$A:$A,I$1,'DB Costi-Ore YtD'!$B:$B,$A93,'DB Costi-Ore YtD'!$E:$E,$C93)-SUM($D93:H93),0)</f>
        <v>4894.8600000000006</v>
      </c>
      <c r="J93">
        <f>IF((J$1*1)&lt;=MAX('DB Costi-Ore YtD'!$A:$A),SUMIFS('DB Costi-Ore YtD'!$G:$G,'DB Costi-Ore YtD'!$A:$A,J$1,'DB Costi-Ore YtD'!$B:$B,$A93,'DB Costi-Ore YtD'!$E:$E,$C93)-SUM($D93:I93),0)</f>
        <v>0</v>
      </c>
      <c r="K93">
        <f>IF((K$1*1)&lt;=MAX('DB Costi-Ore YtD'!$A:$A),SUMIFS('DB Costi-Ore YtD'!$G:$G,'DB Costi-Ore YtD'!$A:$A,K$1,'DB Costi-Ore YtD'!$B:$B,$A93,'DB Costi-Ore YtD'!$E:$E,$C93)-SUM($D93:J93),0)</f>
        <v>0</v>
      </c>
      <c r="L93">
        <f>IF((L$1*1)&lt;=MAX('DB Costi-Ore YtD'!$A:$A),SUMIFS('DB Costi-Ore YtD'!$G:$G,'DB Costi-Ore YtD'!$A:$A,L$1,'DB Costi-Ore YtD'!$B:$B,$A93,'DB Costi-Ore YtD'!$E:$E,$C93)-SUM($D93:K93),0)</f>
        <v>0</v>
      </c>
      <c r="M93">
        <f>IF((M$1*1)&lt;=MAX('DB Costi-Ore YtD'!$A:$A),SUMIFS('DB Costi-Ore YtD'!$G:$G,'DB Costi-Ore YtD'!$A:$A,M$1,'DB Costi-Ore YtD'!$B:$B,$A93,'DB Costi-Ore YtD'!$E:$E,$C93)-SUM($D93:L93),0)</f>
        <v>0</v>
      </c>
      <c r="N93">
        <f>IF((N$1*1)&lt;=MAX('DB Costi-Ore YtD'!$A:$A),SUMIFS('DB Costi-Ore YtD'!$G:$G,'DB Costi-Ore YtD'!$A:$A,N$1,'DB Costi-Ore YtD'!$B:$B,$A93,'DB Costi-Ore YtD'!$E:$E,$C93)-SUM($D93:M93),0)</f>
        <v>0</v>
      </c>
      <c r="O93">
        <f>IF((O$1*1)&lt;=MAX('DB Costi-Ore YtD'!$A:$A),SUMIFS('DB Costi-Ore YtD'!$G:$G,'DB Costi-Ore YtD'!$A:$A,O$1,'DB Costi-Ore YtD'!$B:$B,$A93,'DB Costi-Ore YtD'!$E:$E,$C93)-SUM($D93:N93),0)</f>
        <v>0</v>
      </c>
    </row>
    <row r="94" spans="1:15" hidden="1" x14ac:dyDescent="0.3">
      <c r="A94" t="s">
        <v>213</v>
      </c>
      <c r="B94" t="s">
        <v>214</v>
      </c>
      <c r="C94" t="s">
        <v>8</v>
      </c>
      <c r="D94">
        <f>IF((D$1*1)&lt;=MAX('DB Costi-Ore YtD'!$A:$A),SUMIFS('DB Costi-Ore YtD'!$G:$G,'DB Costi-Ore YtD'!$A:$A,D$1,'DB Costi-Ore YtD'!$B:$B,$A94,'DB Costi-Ore YtD'!$E:$E,$C94),0)</f>
        <v>3835.47</v>
      </c>
      <c r="E94">
        <f>IF((E$1*1)&lt;=MAX('DB Costi-Ore YtD'!$A:$A),SUMIFS('DB Costi-Ore YtD'!$G:$G,'DB Costi-Ore YtD'!$A:$A,E$1,'DB Costi-Ore YtD'!$B:$B,$A94,'DB Costi-Ore YtD'!$E:$E,$C94)-SUM($D94:D94),0)</f>
        <v>2835.1300000000006</v>
      </c>
      <c r="F94">
        <f>IF((F$1*1)&lt;=MAX('DB Costi-Ore YtD'!$A:$A),SUMIFS('DB Costi-Ore YtD'!$G:$G,'DB Costi-Ore YtD'!$A:$A,F$1,'DB Costi-Ore YtD'!$B:$B,$A94,'DB Costi-Ore YtD'!$E:$E,$C94)-SUM($D94:E94),0)</f>
        <v>2592.6499999999996</v>
      </c>
      <c r="G94">
        <f>IF((G$1*1)&lt;=MAX('DB Costi-Ore YtD'!$A:$A),SUMIFS('DB Costi-Ore YtD'!$G:$G,'DB Costi-Ore YtD'!$A:$A,G$1,'DB Costi-Ore YtD'!$B:$B,$A94,'DB Costi-Ore YtD'!$E:$E,$C94)-SUM($D94:F94),0)</f>
        <v>2662.5600000000013</v>
      </c>
      <c r="H94">
        <f>IF((H$1*1)&lt;=MAX('DB Costi-Ore YtD'!$A:$A),SUMIFS('DB Costi-Ore YtD'!$G:$G,'DB Costi-Ore YtD'!$A:$A,H$1,'DB Costi-Ore YtD'!$B:$B,$A94,'DB Costi-Ore YtD'!$E:$E,$C94)-SUM($D94:G94),0)</f>
        <v>2726.7099999999991</v>
      </c>
      <c r="I94">
        <f>IF((I$1*1)&lt;=MAX('DB Costi-Ore YtD'!$A:$A),SUMIFS('DB Costi-Ore YtD'!$G:$G,'DB Costi-Ore YtD'!$A:$A,I$1,'DB Costi-Ore YtD'!$B:$B,$A94,'DB Costi-Ore YtD'!$E:$E,$C94)-SUM($D94:H94),0)</f>
        <v>3399.25</v>
      </c>
      <c r="J94">
        <f>IF((J$1*1)&lt;=MAX('DB Costi-Ore YtD'!$A:$A),SUMIFS('DB Costi-Ore YtD'!$G:$G,'DB Costi-Ore YtD'!$A:$A,J$1,'DB Costi-Ore YtD'!$B:$B,$A94,'DB Costi-Ore YtD'!$E:$E,$C94)-SUM($D94:I94),0)</f>
        <v>0</v>
      </c>
      <c r="K94">
        <f>IF((K$1*1)&lt;=MAX('DB Costi-Ore YtD'!$A:$A),SUMIFS('DB Costi-Ore YtD'!$G:$G,'DB Costi-Ore YtD'!$A:$A,K$1,'DB Costi-Ore YtD'!$B:$B,$A94,'DB Costi-Ore YtD'!$E:$E,$C94)-SUM($D94:J94),0)</f>
        <v>0</v>
      </c>
      <c r="L94">
        <f>IF((L$1*1)&lt;=MAX('DB Costi-Ore YtD'!$A:$A),SUMIFS('DB Costi-Ore YtD'!$G:$G,'DB Costi-Ore YtD'!$A:$A,L$1,'DB Costi-Ore YtD'!$B:$B,$A94,'DB Costi-Ore YtD'!$E:$E,$C94)-SUM($D94:K94),0)</f>
        <v>0</v>
      </c>
      <c r="M94">
        <f>IF((M$1*1)&lt;=MAX('DB Costi-Ore YtD'!$A:$A),SUMIFS('DB Costi-Ore YtD'!$G:$G,'DB Costi-Ore YtD'!$A:$A,M$1,'DB Costi-Ore YtD'!$B:$B,$A94,'DB Costi-Ore YtD'!$E:$E,$C94)-SUM($D94:L94),0)</f>
        <v>0</v>
      </c>
      <c r="N94">
        <f>IF((N$1*1)&lt;=MAX('DB Costi-Ore YtD'!$A:$A),SUMIFS('DB Costi-Ore YtD'!$G:$G,'DB Costi-Ore YtD'!$A:$A,N$1,'DB Costi-Ore YtD'!$B:$B,$A94,'DB Costi-Ore YtD'!$E:$E,$C94)-SUM($D94:M94),0)</f>
        <v>0</v>
      </c>
      <c r="O94">
        <f>IF((O$1*1)&lt;=MAX('DB Costi-Ore YtD'!$A:$A),SUMIFS('DB Costi-Ore YtD'!$G:$G,'DB Costi-Ore YtD'!$A:$A,O$1,'DB Costi-Ore YtD'!$B:$B,$A94,'DB Costi-Ore YtD'!$E:$E,$C94)-SUM($D94:N94),0)</f>
        <v>0</v>
      </c>
    </row>
    <row r="95" spans="1:15" hidden="1" x14ac:dyDescent="0.3">
      <c r="A95" t="s">
        <v>215</v>
      </c>
      <c r="B95" t="s">
        <v>216</v>
      </c>
      <c r="C95" t="s">
        <v>7</v>
      </c>
      <c r="D95">
        <f>IF((D$1*1)&lt;=MAX('DB Costi-Ore YtD'!$A:$A),SUMIFS('DB Costi-Ore YtD'!$G:$G,'DB Costi-Ore YtD'!$A:$A,D$1,'DB Costi-Ore YtD'!$B:$B,$A95,'DB Costi-Ore YtD'!$E:$E,$C95),0)</f>
        <v>2064.2799999999997</v>
      </c>
      <c r="E95">
        <f>IF((E$1*1)&lt;=MAX('DB Costi-Ore YtD'!$A:$A),SUMIFS('DB Costi-Ore YtD'!$G:$G,'DB Costi-Ore YtD'!$A:$A,E$1,'DB Costi-Ore YtD'!$B:$B,$A95,'DB Costi-Ore YtD'!$E:$E,$C95)-SUM($D95:D95),0)</f>
        <v>2103.3100000000004</v>
      </c>
      <c r="F95">
        <f>IF((F$1*1)&lt;=MAX('DB Costi-Ore YtD'!$A:$A),SUMIFS('DB Costi-Ore YtD'!$G:$G,'DB Costi-Ore YtD'!$A:$A,F$1,'DB Costi-Ore YtD'!$B:$B,$A95,'DB Costi-Ore YtD'!$E:$E,$C95)-SUM($D95:E95),0)</f>
        <v>1911.3999999999996</v>
      </c>
      <c r="G95">
        <f>IF((G$1*1)&lt;=MAX('DB Costi-Ore YtD'!$A:$A),SUMIFS('DB Costi-Ore YtD'!$G:$G,'DB Costi-Ore YtD'!$A:$A,G$1,'DB Costi-Ore YtD'!$B:$B,$A95,'DB Costi-Ore YtD'!$E:$E,$C95)-SUM($D95:F95),0)</f>
        <v>2207.5300000000007</v>
      </c>
      <c r="H95">
        <f>IF((H$1*1)&lt;=MAX('DB Costi-Ore YtD'!$A:$A),SUMIFS('DB Costi-Ore YtD'!$G:$G,'DB Costi-Ore YtD'!$A:$A,H$1,'DB Costi-Ore YtD'!$B:$B,$A95,'DB Costi-Ore YtD'!$E:$E,$C95)-SUM($D95:G95),0)</f>
        <v>2166.5200000000004</v>
      </c>
      <c r="I95">
        <f>IF((I$1*1)&lt;=MAX('DB Costi-Ore YtD'!$A:$A),SUMIFS('DB Costi-Ore YtD'!$G:$G,'DB Costi-Ore YtD'!$A:$A,I$1,'DB Costi-Ore YtD'!$B:$B,$A95,'DB Costi-Ore YtD'!$E:$E,$C95)-SUM($D95:H95),0)</f>
        <v>2084.630000000001</v>
      </c>
      <c r="J95">
        <f>IF((J$1*1)&lt;=MAX('DB Costi-Ore YtD'!$A:$A),SUMIFS('DB Costi-Ore YtD'!$G:$G,'DB Costi-Ore YtD'!$A:$A,J$1,'DB Costi-Ore YtD'!$B:$B,$A95,'DB Costi-Ore YtD'!$E:$E,$C95)-SUM($D95:I95),0)</f>
        <v>0</v>
      </c>
      <c r="K95">
        <f>IF((K$1*1)&lt;=MAX('DB Costi-Ore YtD'!$A:$A),SUMIFS('DB Costi-Ore YtD'!$G:$G,'DB Costi-Ore YtD'!$A:$A,K$1,'DB Costi-Ore YtD'!$B:$B,$A95,'DB Costi-Ore YtD'!$E:$E,$C95)-SUM($D95:J95),0)</f>
        <v>0</v>
      </c>
      <c r="L95">
        <f>IF((L$1*1)&lt;=MAX('DB Costi-Ore YtD'!$A:$A),SUMIFS('DB Costi-Ore YtD'!$G:$G,'DB Costi-Ore YtD'!$A:$A,L$1,'DB Costi-Ore YtD'!$B:$B,$A95,'DB Costi-Ore YtD'!$E:$E,$C95)-SUM($D95:K95),0)</f>
        <v>0</v>
      </c>
      <c r="M95">
        <f>IF((M$1*1)&lt;=MAX('DB Costi-Ore YtD'!$A:$A),SUMIFS('DB Costi-Ore YtD'!$G:$G,'DB Costi-Ore YtD'!$A:$A,M$1,'DB Costi-Ore YtD'!$B:$B,$A95,'DB Costi-Ore YtD'!$E:$E,$C95)-SUM($D95:L95),0)</f>
        <v>0</v>
      </c>
      <c r="N95">
        <f>IF((N$1*1)&lt;=MAX('DB Costi-Ore YtD'!$A:$A),SUMIFS('DB Costi-Ore YtD'!$G:$G,'DB Costi-Ore YtD'!$A:$A,N$1,'DB Costi-Ore YtD'!$B:$B,$A95,'DB Costi-Ore YtD'!$E:$E,$C95)-SUM($D95:M95),0)</f>
        <v>0</v>
      </c>
      <c r="O95">
        <f>IF((O$1*1)&lt;=MAX('DB Costi-Ore YtD'!$A:$A),SUMIFS('DB Costi-Ore YtD'!$G:$G,'DB Costi-Ore YtD'!$A:$A,O$1,'DB Costi-Ore YtD'!$B:$B,$A95,'DB Costi-Ore YtD'!$E:$E,$C95)-SUM($D95:N95),0)</f>
        <v>0</v>
      </c>
    </row>
    <row r="96" spans="1:15" hidden="1" x14ac:dyDescent="0.3">
      <c r="A96" t="s">
        <v>217</v>
      </c>
      <c r="B96" t="s">
        <v>218</v>
      </c>
      <c r="C96" t="s">
        <v>2</v>
      </c>
      <c r="D96">
        <f>IF((D$1*1)&lt;=MAX('DB Costi-Ore YtD'!$A:$A),SUMIFS('DB Costi-Ore YtD'!$G:$G,'DB Costi-Ore YtD'!$A:$A,D$1,'DB Costi-Ore YtD'!$B:$B,$A96,'DB Costi-Ore YtD'!$E:$E,$C96),0)</f>
        <v>2482.39</v>
      </c>
      <c r="E96">
        <f>IF((E$1*1)&lt;=MAX('DB Costi-Ore YtD'!$A:$A),SUMIFS('DB Costi-Ore YtD'!$G:$G,'DB Costi-Ore YtD'!$A:$A,E$1,'DB Costi-Ore YtD'!$B:$B,$A96,'DB Costi-Ore YtD'!$E:$E,$C96)-SUM($D96:D96),0)</f>
        <v>1793.5900000000006</v>
      </c>
      <c r="F96">
        <f>IF((F$1*1)&lt;=MAX('DB Costi-Ore YtD'!$A:$A),SUMIFS('DB Costi-Ore YtD'!$G:$G,'DB Costi-Ore YtD'!$A:$A,F$1,'DB Costi-Ore YtD'!$B:$B,$A96,'DB Costi-Ore YtD'!$E:$E,$C96)-SUM($D96:E96),0)</f>
        <v>1883.37</v>
      </c>
      <c r="G96">
        <f>IF((G$1*1)&lt;=MAX('DB Costi-Ore YtD'!$A:$A),SUMIFS('DB Costi-Ore YtD'!$G:$G,'DB Costi-Ore YtD'!$A:$A,G$1,'DB Costi-Ore YtD'!$B:$B,$A96,'DB Costi-Ore YtD'!$E:$E,$C96)-SUM($D96:F96),0)</f>
        <v>2391.4799999999996</v>
      </c>
      <c r="H96">
        <f>IF((H$1*1)&lt;=MAX('DB Costi-Ore YtD'!$A:$A),SUMIFS('DB Costi-Ore YtD'!$G:$G,'DB Costi-Ore YtD'!$A:$A,H$1,'DB Costi-Ore YtD'!$B:$B,$A96,'DB Costi-Ore YtD'!$E:$E,$C96)-SUM($D96:G96),0)</f>
        <v>1981.2000000000007</v>
      </c>
      <c r="I96">
        <f>IF((I$1*1)&lt;=MAX('DB Costi-Ore YtD'!$A:$A),SUMIFS('DB Costi-Ore YtD'!$G:$G,'DB Costi-Ore YtD'!$A:$A,I$1,'DB Costi-Ore YtD'!$B:$B,$A96,'DB Costi-Ore YtD'!$E:$E,$C96)-SUM($D96:H96),0)</f>
        <v>2344.8099999999959</v>
      </c>
      <c r="J96">
        <f>IF((J$1*1)&lt;=MAX('DB Costi-Ore YtD'!$A:$A),SUMIFS('DB Costi-Ore YtD'!$G:$G,'DB Costi-Ore YtD'!$A:$A,J$1,'DB Costi-Ore YtD'!$B:$B,$A96,'DB Costi-Ore YtD'!$E:$E,$C96)-SUM($D96:I96),0)</f>
        <v>0</v>
      </c>
      <c r="K96">
        <f>IF((K$1*1)&lt;=MAX('DB Costi-Ore YtD'!$A:$A),SUMIFS('DB Costi-Ore YtD'!$G:$G,'DB Costi-Ore YtD'!$A:$A,K$1,'DB Costi-Ore YtD'!$B:$B,$A96,'DB Costi-Ore YtD'!$E:$E,$C96)-SUM($D96:J96),0)</f>
        <v>0</v>
      </c>
      <c r="L96">
        <f>IF((L$1*1)&lt;=MAX('DB Costi-Ore YtD'!$A:$A),SUMIFS('DB Costi-Ore YtD'!$G:$G,'DB Costi-Ore YtD'!$A:$A,L$1,'DB Costi-Ore YtD'!$B:$B,$A96,'DB Costi-Ore YtD'!$E:$E,$C96)-SUM($D96:K96),0)</f>
        <v>0</v>
      </c>
      <c r="M96">
        <f>IF((M$1*1)&lt;=MAX('DB Costi-Ore YtD'!$A:$A),SUMIFS('DB Costi-Ore YtD'!$G:$G,'DB Costi-Ore YtD'!$A:$A,M$1,'DB Costi-Ore YtD'!$B:$B,$A96,'DB Costi-Ore YtD'!$E:$E,$C96)-SUM($D96:L96),0)</f>
        <v>0</v>
      </c>
      <c r="N96">
        <f>IF((N$1*1)&lt;=MAX('DB Costi-Ore YtD'!$A:$A),SUMIFS('DB Costi-Ore YtD'!$G:$G,'DB Costi-Ore YtD'!$A:$A,N$1,'DB Costi-Ore YtD'!$B:$B,$A96,'DB Costi-Ore YtD'!$E:$E,$C96)-SUM($D96:M96),0)</f>
        <v>0</v>
      </c>
      <c r="O96">
        <f>IF((O$1*1)&lt;=MAX('DB Costi-Ore YtD'!$A:$A),SUMIFS('DB Costi-Ore YtD'!$G:$G,'DB Costi-Ore YtD'!$A:$A,O$1,'DB Costi-Ore YtD'!$B:$B,$A96,'DB Costi-Ore YtD'!$E:$E,$C96)-SUM($D96:N96),0)</f>
        <v>0</v>
      </c>
    </row>
    <row r="97" spans="1:15" hidden="1" x14ac:dyDescent="0.3">
      <c r="A97" t="s">
        <v>219</v>
      </c>
      <c r="B97" t="s">
        <v>220</v>
      </c>
      <c r="C97" t="s">
        <v>15</v>
      </c>
      <c r="D97">
        <f>IF((D$1*1)&lt;=MAX('DB Costi-Ore YtD'!$A:$A),SUMIFS('DB Costi-Ore YtD'!$G:$G,'DB Costi-Ore YtD'!$A:$A,D$1,'DB Costi-Ore YtD'!$B:$B,$A97,'DB Costi-Ore YtD'!$E:$E,$C97),0)</f>
        <v>2038.13</v>
      </c>
      <c r="E97">
        <f>IF((E$1*1)&lt;=MAX('DB Costi-Ore YtD'!$A:$A),SUMIFS('DB Costi-Ore YtD'!$G:$G,'DB Costi-Ore YtD'!$A:$A,E$1,'DB Costi-Ore YtD'!$B:$B,$A97,'DB Costi-Ore YtD'!$E:$E,$C97)-SUM($D97:D97),0)</f>
        <v>2008.2799999999997</v>
      </c>
      <c r="F97">
        <f>IF((F$1*1)&lt;=MAX('DB Costi-Ore YtD'!$A:$A),SUMIFS('DB Costi-Ore YtD'!$G:$G,'DB Costi-Ore YtD'!$A:$A,F$1,'DB Costi-Ore YtD'!$B:$B,$A97,'DB Costi-Ore YtD'!$E:$E,$C97)-SUM($D97:E97),0)</f>
        <v>2020.0999999999995</v>
      </c>
      <c r="G97">
        <f>IF((G$1*1)&lt;=MAX('DB Costi-Ore YtD'!$A:$A),SUMIFS('DB Costi-Ore YtD'!$G:$G,'DB Costi-Ore YtD'!$A:$A,G$1,'DB Costi-Ore YtD'!$B:$B,$A97,'DB Costi-Ore YtD'!$E:$E,$C97)-SUM($D97:F97),0)</f>
        <v>2197.6200000000017</v>
      </c>
      <c r="H97">
        <f>IF((H$1*1)&lt;=MAX('DB Costi-Ore YtD'!$A:$A),SUMIFS('DB Costi-Ore YtD'!$G:$G,'DB Costi-Ore YtD'!$A:$A,H$1,'DB Costi-Ore YtD'!$B:$B,$A97,'DB Costi-Ore YtD'!$E:$E,$C97)-SUM($D97:G97),0)</f>
        <v>2082.489999999998</v>
      </c>
      <c r="I97">
        <f>IF((I$1*1)&lt;=MAX('DB Costi-Ore YtD'!$A:$A),SUMIFS('DB Costi-Ore YtD'!$G:$G,'DB Costi-Ore YtD'!$A:$A,I$1,'DB Costi-Ore YtD'!$B:$B,$A97,'DB Costi-Ore YtD'!$E:$E,$C97)-SUM($D97:H97),0)</f>
        <v>1902.6000000000004</v>
      </c>
      <c r="J97">
        <f>IF((J$1*1)&lt;=MAX('DB Costi-Ore YtD'!$A:$A),SUMIFS('DB Costi-Ore YtD'!$G:$G,'DB Costi-Ore YtD'!$A:$A,J$1,'DB Costi-Ore YtD'!$B:$B,$A97,'DB Costi-Ore YtD'!$E:$E,$C97)-SUM($D97:I97),0)</f>
        <v>0</v>
      </c>
      <c r="K97">
        <f>IF((K$1*1)&lt;=MAX('DB Costi-Ore YtD'!$A:$A),SUMIFS('DB Costi-Ore YtD'!$G:$G,'DB Costi-Ore YtD'!$A:$A,K$1,'DB Costi-Ore YtD'!$B:$B,$A97,'DB Costi-Ore YtD'!$E:$E,$C97)-SUM($D97:J97),0)</f>
        <v>0</v>
      </c>
      <c r="L97">
        <f>IF((L$1*1)&lt;=MAX('DB Costi-Ore YtD'!$A:$A),SUMIFS('DB Costi-Ore YtD'!$G:$G,'DB Costi-Ore YtD'!$A:$A,L$1,'DB Costi-Ore YtD'!$B:$B,$A97,'DB Costi-Ore YtD'!$E:$E,$C97)-SUM($D97:K97),0)</f>
        <v>0</v>
      </c>
      <c r="M97">
        <f>IF((M$1*1)&lt;=MAX('DB Costi-Ore YtD'!$A:$A),SUMIFS('DB Costi-Ore YtD'!$G:$G,'DB Costi-Ore YtD'!$A:$A,M$1,'DB Costi-Ore YtD'!$B:$B,$A97,'DB Costi-Ore YtD'!$E:$E,$C97)-SUM($D97:L97),0)</f>
        <v>0</v>
      </c>
      <c r="N97">
        <f>IF((N$1*1)&lt;=MAX('DB Costi-Ore YtD'!$A:$A),SUMIFS('DB Costi-Ore YtD'!$G:$G,'DB Costi-Ore YtD'!$A:$A,N$1,'DB Costi-Ore YtD'!$B:$B,$A97,'DB Costi-Ore YtD'!$E:$E,$C97)-SUM($D97:M97),0)</f>
        <v>0</v>
      </c>
      <c r="O97">
        <f>IF((O$1*1)&lt;=MAX('DB Costi-Ore YtD'!$A:$A),SUMIFS('DB Costi-Ore YtD'!$G:$G,'DB Costi-Ore YtD'!$A:$A,O$1,'DB Costi-Ore YtD'!$B:$B,$A97,'DB Costi-Ore YtD'!$E:$E,$C97)-SUM($D97:N97),0)</f>
        <v>0</v>
      </c>
    </row>
    <row r="98" spans="1:15" hidden="1" x14ac:dyDescent="0.3">
      <c r="A98" t="s">
        <v>221</v>
      </c>
      <c r="B98" t="s">
        <v>222</v>
      </c>
      <c r="C98" t="s">
        <v>2</v>
      </c>
      <c r="D98">
        <f>IF((D$1*1)&lt;=MAX('DB Costi-Ore YtD'!$A:$A),SUMIFS('DB Costi-Ore YtD'!$G:$G,'DB Costi-Ore YtD'!$A:$A,D$1,'DB Costi-Ore YtD'!$B:$B,$A98,'DB Costi-Ore YtD'!$E:$E,$C98),0)</f>
        <v>2237.9499999999998</v>
      </c>
      <c r="E98">
        <f>IF((E$1*1)&lt;=MAX('DB Costi-Ore YtD'!$A:$A),SUMIFS('DB Costi-Ore YtD'!$G:$G,'DB Costi-Ore YtD'!$A:$A,E$1,'DB Costi-Ore YtD'!$B:$B,$A98,'DB Costi-Ore YtD'!$E:$E,$C98)-SUM($D98:D98),0)</f>
        <v>1711.4099999999999</v>
      </c>
      <c r="F98">
        <f>IF((F$1*1)&lt;=MAX('DB Costi-Ore YtD'!$A:$A),SUMIFS('DB Costi-Ore YtD'!$G:$G,'DB Costi-Ore YtD'!$A:$A,F$1,'DB Costi-Ore YtD'!$B:$B,$A98,'DB Costi-Ore YtD'!$E:$E,$C98)-SUM($D98:E98),0)</f>
        <v>2168.0699999999997</v>
      </c>
      <c r="G98">
        <f>IF((G$1*1)&lt;=MAX('DB Costi-Ore YtD'!$A:$A),SUMIFS('DB Costi-Ore YtD'!$G:$G,'DB Costi-Ore YtD'!$A:$A,G$1,'DB Costi-Ore YtD'!$B:$B,$A98,'DB Costi-Ore YtD'!$E:$E,$C98)-SUM($D98:F98),0)</f>
        <v>2262.37</v>
      </c>
      <c r="H98">
        <f>IF((H$1*1)&lt;=MAX('DB Costi-Ore YtD'!$A:$A),SUMIFS('DB Costi-Ore YtD'!$G:$G,'DB Costi-Ore YtD'!$A:$A,H$1,'DB Costi-Ore YtD'!$B:$B,$A98,'DB Costi-Ore YtD'!$E:$E,$C98)-SUM($D98:G98),0)</f>
        <v>2110.1999999999989</v>
      </c>
      <c r="I98">
        <f>IF((I$1*1)&lt;=MAX('DB Costi-Ore YtD'!$A:$A),SUMIFS('DB Costi-Ore YtD'!$G:$G,'DB Costi-Ore YtD'!$A:$A,I$1,'DB Costi-Ore YtD'!$B:$B,$A98,'DB Costi-Ore YtD'!$E:$E,$C98)-SUM($D98:H98),0)</f>
        <v>2168.0800000000036</v>
      </c>
      <c r="J98">
        <f>IF((J$1*1)&lt;=MAX('DB Costi-Ore YtD'!$A:$A),SUMIFS('DB Costi-Ore YtD'!$G:$G,'DB Costi-Ore YtD'!$A:$A,J$1,'DB Costi-Ore YtD'!$B:$B,$A98,'DB Costi-Ore YtD'!$E:$E,$C98)-SUM($D98:I98),0)</f>
        <v>0</v>
      </c>
      <c r="K98">
        <f>IF((K$1*1)&lt;=MAX('DB Costi-Ore YtD'!$A:$A),SUMIFS('DB Costi-Ore YtD'!$G:$G,'DB Costi-Ore YtD'!$A:$A,K$1,'DB Costi-Ore YtD'!$B:$B,$A98,'DB Costi-Ore YtD'!$E:$E,$C98)-SUM($D98:J98),0)</f>
        <v>0</v>
      </c>
      <c r="L98">
        <f>IF((L$1*1)&lt;=MAX('DB Costi-Ore YtD'!$A:$A),SUMIFS('DB Costi-Ore YtD'!$G:$G,'DB Costi-Ore YtD'!$A:$A,L$1,'DB Costi-Ore YtD'!$B:$B,$A98,'DB Costi-Ore YtD'!$E:$E,$C98)-SUM($D98:K98),0)</f>
        <v>0</v>
      </c>
      <c r="M98">
        <f>IF((M$1*1)&lt;=MAX('DB Costi-Ore YtD'!$A:$A),SUMIFS('DB Costi-Ore YtD'!$G:$G,'DB Costi-Ore YtD'!$A:$A,M$1,'DB Costi-Ore YtD'!$B:$B,$A98,'DB Costi-Ore YtD'!$E:$E,$C98)-SUM($D98:L98),0)</f>
        <v>0</v>
      </c>
      <c r="N98">
        <f>IF((N$1*1)&lt;=MAX('DB Costi-Ore YtD'!$A:$A),SUMIFS('DB Costi-Ore YtD'!$G:$G,'DB Costi-Ore YtD'!$A:$A,N$1,'DB Costi-Ore YtD'!$B:$B,$A98,'DB Costi-Ore YtD'!$E:$E,$C98)-SUM($D98:M98),0)</f>
        <v>0</v>
      </c>
      <c r="O98">
        <f>IF((O$1*1)&lt;=MAX('DB Costi-Ore YtD'!$A:$A),SUMIFS('DB Costi-Ore YtD'!$G:$G,'DB Costi-Ore YtD'!$A:$A,O$1,'DB Costi-Ore YtD'!$B:$B,$A98,'DB Costi-Ore YtD'!$E:$E,$C98)-SUM($D98:N98),0)</f>
        <v>0</v>
      </c>
    </row>
    <row r="99" spans="1:15" hidden="1" x14ac:dyDescent="0.3">
      <c r="A99" t="s">
        <v>223</v>
      </c>
      <c r="B99" t="s">
        <v>224</v>
      </c>
      <c r="C99" t="s">
        <v>14</v>
      </c>
      <c r="D99">
        <f>IF((D$1*1)&lt;=MAX('DB Costi-Ore YtD'!$A:$A),SUMIFS('DB Costi-Ore YtD'!$G:$G,'DB Costi-Ore YtD'!$A:$A,D$1,'DB Costi-Ore YtD'!$B:$B,$A99,'DB Costi-Ore YtD'!$E:$E,$C99),0)</f>
        <v>4653.83</v>
      </c>
      <c r="E99">
        <f>IF((E$1*1)&lt;=MAX('DB Costi-Ore YtD'!$A:$A),SUMIFS('DB Costi-Ore YtD'!$G:$G,'DB Costi-Ore YtD'!$A:$A,E$1,'DB Costi-Ore YtD'!$B:$B,$A99,'DB Costi-Ore YtD'!$E:$E,$C99)-SUM($D99:D99),0)</f>
        <v>3030.55</v>
      </c>
      <c r="F99">
        <f>IF((F$1*1)&lt;=MAX('DB Costi-Ore YtD'!$A:$A),SUMIFS('DB Costi-Ore YtD'!$G:$G,'DB Costi-Ore YtD'!$A:$A,F$1,'DB Costi-Ore YtD'!$B:$B,$A99,'DB Costi-Ore YtD'!$E:$E,$C99)-SUM($D99:E99),0)</f>
        <v>3009.6600000000008</v>
      </c>
      <c r="G99">
        <f>IF((G$1*1)&lt;=MAX('DB Costi-Ore YtD'!$A:$A),SUMIFS('DB Costi-Ore YtD'!$G:$G,'DB Costi-Ore YtD'!$A:$A,G$1,'DB Costi-Ore YtD'!$B:$B,$A99,'DB Costi-Ore YtD'!$E:$E,$C99)-SUM($D99:F99),0)</f>
        <v>3014.3099999999977</v>
      </c>
      <c r="H99">
        <f>IF((H$1*1)&lt;=MAX('DB Costi-Ore YtD'!$A:$A),SUMIFS('DB Costi-Ore YtD'!$G:$G,'DB Costi-Ore YtD'!$A:$A,H$1,'DB Costi-Ore YtD'!$B:$B,$A99,'DB Costi-Ore YtD'!$E:$E,$C99)-SUM($D99:G99),0)</f>
        <v>3006.9300000000039</v>
      </c>
      <c r="I99">
        <f>IF((I$1*1)&lt;=MAX('DB Costi-Ore YtD'!$A:$A),SUMIFS('DB Costi-Ore YtD'!$G:$G,'DB Costi-Ore YtD'!$A:$A,I$1,'DB Costi-Ore YtD'!$B:$B,$A99,'DB Costi-Ore YtD'!$E:$E,$C99)-SUM($D99:H99),0)</f>
        <v>2582.0299999999952</v>
      </c>
      <c r="J99">
        <f>IF((J$1*1)&lt;=MAX('DB Costi-Ore YtD'!$A:$A),SUMIFS('DB Costi-Ore YtD'!$G:$G,'DB Costi-Ore YtD'!$A:$A,J$1,'DB Costi-Ore YtD'!$B:$B,$A99,'DB Costi-Ore YtD'!$E:$E,$C99)-SUM($D99:I99),0)</f>
        <v>0</v>
      </c>
      <c r="K99">
        <f>IF((K$1*1)&lt;=MAX('DB Costi-Ore YtD'!$A:$A),SUMIFS('DB Costi-Ore YtD'!$G:$G,'DB Costi-Ore YtD'!$A:$A,K$1,'DB Costi-Ore YtD'!$B:$B,$A99,'DB Costi-Ore YtD'!$E:$E,$C99)-SUM($D99:J99),0)</f>
        <v>0</v>
      </c>
      <c r="L99">
        <f>IF((L$1*1)&lt;=MAX('DB Costi-Ore YtD'!$A:$A),SUMIFS('DB Costi-Ore YtD'!$G:$G,'DB Costi-Ore YtD'!$A:$A,L$1,'DB Costi-Ore YtD'!$B:$B,$A99,'DB Costi-Ore YtD'!$E:$E,$C99)-SUM($D99:K99),0)</f>
        <v>0</v>
      </c>
      <c r="M99">
        <f>IF((M$1*1)&lt;=MAX('DB Costi-Ore YtD'!$A:$A),SUMIFS('DB Costi-Ore YtD'!$G:$G,'DB Costi-Ore YtD'!$A:$A,M$1,'DB Costi-Ore YtD'!$B:$B,$A99,'DB Costi-Ore YtD'!$E:$E,$C99)-SUM($D99:L99),0)</f>
        <v>0</v>
      </c>
      <c r="N99">
        <f>IF((N$1*1)&lt;=MAX('DB Costi-Ore YtD'!$A:$A),SUMIFS('DB Costi-Ore YtD'!$G:$G,'DB Costi-Ore YtD'!$A:$A,N$1,'DB Costi-Ore YtD'!$B:$B,$A99,'DB Costi-Ore YtD'!$E:$E,$C99)-SUM($D99:M99),0)</f>
        <v>0</v>
      </c>
      <c r="O99">
        <f>IF((O$1*1)&lt;=MAX('DB Costi-Ore YtD'!$A:$A),SUMIFS('DB Costi-Ore YtD'!$G:$G,'DB Costi-Ore YtD'!$A:$A,O$1,'DB Costi-Ore YtD'!$B:$B,$A99,'DB Costi-Ore YtD'!$E:$E,$C99)-SUM($D99:N99),0)</f>
        <v>0</v>
      </c>
    </row>
    <row r="100" spans="1:15" hidden="1" x14ac:dyDescent="0.3">
      <c r="A100" t="s">
        <v>225</v>
      </c>
      <c r="B100" t="s">
        <v>226</v>
      </c>
      <c r="C100" t="s">
        <v>3</v>
      </c>
      <c r="D100">
        <f>IF((D$1*1)&lt;=MAX('DB Costi-Ore YtD'!$A:$A),SUMIFS('DB Costi-Ore YtD'!$G:$G,'DB Costi-Ore YtD'!$A:$A,D$1,'DB Costi-Ore YtD'!$B:$B,$A100,'DB Costi-Ore YtD'!$E:$E,$C100),0)</f>
        <v>677.96</v>
      </c>
      <c r="E100">
        <f>IF((E$1*1)&lt;=MAX('DB Costi-Ore YtD'!$A:$A),SUMIFS('DB Costi-Ore YtD'!$G:$G,'DB Costi-Ore YtD'!$A:$A,E$1,'DB Costi-Ore YtD'!$B:$B,$A100,'DB Costi-Ore YtD'!$E:$E,$C100)-SUM($D100:D100),0)</f>
        <v>1219.04</v>
      </c>
      <c r="F100">
        <f>IF((F$1*1)&lt;=MAX('DB Costi-Ore YtD'!$A:$A),SUMIFS('DB Costi-Ore YtD'!$G:$G,'DB Costi-Ore YtD'!$A:$A,F$1,'DB Costi-Ore YtD'!$B:$B,$A100,'DB Costi-Ore YtD'!$E:$E,$C100)-SUM($D100:E100),0)</f>
        <v>1377.9099999999999</v>
      </c>
      <c r="G100">
        <f>IF((G$1*1)&lt;=MAX('DB Costi-Ore YtD'!$A:$A),SUMIFS('DB Costi-Ore YtD'!$G:$G,'DB Costi-Ore YtD'!$A:$A,G$1,'DB Costi-Ore YtD'!$B:$B,$A100,'DB Costi-Ore YtD'!$E:$E,$C100)-SUM($D100:F100),0)</f>
        <v>1278.5100000000002</v>
      </c>
      <c r="H100">
        <f>IF((H$1*1)&lt;=MAX('DB Costi-Ore YtD'!$A:$A),SUMIFS('DB Costi-Ore YtD'!$G:$G,'DB Costi-Ore YtD'!$A:$A,H$1,'DB Costi-Ore YtD'!$B:$B,$A100,'DB Costi-Ore YtD'!$E:$E,$C100)-SUM($D100:G100),0)</f>
        <v>1436.670000000001</v>
      </c>
      <c r="I100">
        <f>IF((I$1*1)&lt;=MAX('DB Costi-Ore YtD'!$A:$A),SUMIFS('DB Costi-Ore YtD'!$G:$G,'DB Costi-Ore YtD'!$A:$A,I$1,'DB Costi-Ore YtD'!$B:$B,$A100,'DB Costi-Ore YtD'!$E:$E,$C100)-SUM($D100:H100),0)</f>
        <v>1270.5999999999985</v>
      </c>
      <c r="J100">
        <f>IF((J$1*1)&lt;=MAX('DB Costi-Ore YtD'!$A:$A),SUMIFS('DB Costi-Ore YtD'!$G:$G,'DB Costi-Ore YtD'!$A:$A,J$1,'DB Costi-Ore YtD'!$B:$B,$A100,'DB Costi-Ore YtD'!$E:$E,$C100)-SUM($D100:I100),0)</f>
        <v>0</v>
      </c>
      <c r="K100">
        <f>IF((K$1*1)&lt;=MAX('DB Costi-Ore YtD'!$A:$A),SUMIFS('DB Costi-Ore YtD'!$G:$G,'DB Costi-Ore YtD'!$A:$A,K$1,'DB Costi-Ore YtD'!$B:$B,$A100,'DB Costi-Ore YtD'!$E:$E,$C100)-SUM($D100:J100),0)</f>
        <v>0</v>
      </c>
      <c r="L100">
        <f>IF((L$1*1)&lt;=MAX('DB Costi-Ore YtD'!$A:$A),SUMIFS('DB Costi-Ore YtD'!$G:$G,'DB Costi-Ore YtD'!$A:$A,L$1,'DB Costi-Ore YtD'!$B:$B,$A100,'DB Costi-Ore YtD'!$E:$E,$C100)-SUM($D100:K100),0)</f>
        <v>0</v>
      </c>
      <c r="M100">
        <f>IF((M$1*1)&lt;=MAX('DB Costi-Ore YtD'!$A:$A),SUMIFS('DB Costi-Ore YtD'!$G:$G,'DB Costi-Ore YtD'!$A:$A,M$1,'DB Costi-Ore YtD'!$B:$B,$A100,'DB Costi-Ore YtD'!$E:$E,$C100)-SUM($D100:L100),0)</f>
        <v>0</v>
      </c>
      <c r="N100">
        <f>IF((N$1*1)&lt;=MAX('DB Costi-Ore YtD'!$A:$A),SUMIFS('DB Costi-Ore YtD'!$G:$G,'DB Costi-Ore YtD'!$A:$A,N$1,'DB Costi-Ore YtD'!$B:$B,$A100,'DB Costi-Ore YtD'!$E:$E,$C100)-SUM($D100:M100),0)</f>
        <v>0</v>
      </c>
      <c r="O100">
        <f>IF((O$1*1)&lt;=MAX('DB Costi-Ore YtD'!$A:$A),SUMIFS('DB Costi-Ore YtD'!$G:$G,'DB Costi-Ore YtD'!$A:$A,O$1,'DB Costi-Ore YtD'!$B:$B,$A100,'DB Costi-Ore YtD'!$E:$E,$C100)-SUM($D100:N100),0)</f>
        <v>0</v>
      </c>
    </row>
    <row r="101" spans="1:15" hidden="1" x14ac:dyDescent="0.3">
      <c r="A101" t="s">
        <v>227</v>
      </c>
      <c r="B101" t="s">
        <v>228</v>
      </c>
      <c r="C101" t="s">
        <v>7</v>
      </c>
      <c r="D101">
        <f>IF((D$1*1)&lt;=MAX('DB Costi-Ore YtD'!$A:$A),SUMIFS('DB Costi-Ore YtD'!$G:$G,'DB Costi-Ore YtD'!$A:$A,D$1,'DB Costi-Ore YtD'!$B:$B,$A101,'DB Costi-Ore YtD'!$E:$E,$C101),0)</f>
        <v>2847.57</v>
      </c>
      <c r="E101">
        <f>IF((E$1*1)&lt;=MAX('DB Costi-Ore YtD'!$A:$A),SUMIFS('DB Costi-Ore YtD'!$G:$G,'DB Costi-Ore YtD'!$A:$A,E$1,'DB Costi-Ore YtD'!$B:$B,$A101,'DB Costi-Ore YtD'!$E:$E,$C101)-SUM($D101:D101),0)</f>
        <v>3274.3300000000013</v>
      </c>
      <c r="F101">
        <f>IF((F$1*1)&lt;=MAX('DB Costi-Ore YtD'!$A:$A),SUMIFS('DB Costi-Ore YtD'!$G:$G,'DB Costi-Ore YtD'!$A:$A,F$1,'DB Costi-Ore YtD'!$B:$B,$A101,'DB Costi-Ore YtD'!$E:$E,$C101)-SUM($D101:E101),0)</f>
        <v>4040.1899999999987</v>
      </c>
      <c r="G101">
        <f>IF((G$1*1)&lt;=MAX('DB Costi-Ore YtD'!$A:$A),SUMIFS('DB Costi-Ore YtD'!$G:$G,'DB Costi-Ore YtD'!$A:$A,G$1,'DB Costi-Ore YtD'!$B:$B,$A101,'DB Costi-Ore YtD'!$E:$E,$C101)-SUM($D101:F101),0)</f>
        <v>3847.08</v>
      </c>
      <c r="H101">
        <f>IF((H$1*1)&lt;=MAX('DB Costi-Ore YtD'!$A:$A),SUMIFS('DB Costi-Ore YtD'!$G:$G,'DB Costi-Ore YtD'!$A:$A,H$1,'DB Costi-Ore YtD'!$B:$B,$A101,'DB Costi-Ore YtD'!$E:$E,$C101)-SUM($D101:G101),0)</f>
        <v>-14009.17</v>
      </c>
      <c r="I101">
        <f>IF((I$1*1)&lt;=MAX('DB Costi-Ore YtD'!$A:$A),SUMIFS('DB Costi-Ore YtD'!$G:$G,'DB Costi-Ore YtD'!$A:$A,I$1,'DB Costi-Ore YtD'!$B:$B,$A101,'DB Costi-Ore YtD'!$E:$E,$C101)-SUM($D101:H101),0)</f>
        <v>0</v>
      </c>
      <c r="J101">
        <f>IF((J$1*1)&lt;=MAX('DB Costi-Ore YtD'!$A:$A),SUMIFS('DB Costi-Ore YtD'!$G:$G,'DB Costi-Ore YtD'!$A:$A,J$1,'DB Costi-Ore YtD'!$B:$B,$A101,'DB Costi-Ore YtD'!$E:$E,$C101)-SUM($D101:I101),0)</f>
        <v>0</v>
      </c>
      <c r="K101">
        <f>IF((K$1*1)&lt;=MAX('DB Costi-Ore YtD'!$A:$A),SUMIFS('DB Costi-Ore YtD'!$G:$G,'DB Costi-Ore YtD'!$A:$A,K$1,'DB Costi-Ore YtD'!$B:$B,$A101,'DB Costi-Ore YtD'!$E:$E,$C101)-SUM($D101:J101),0)</f>
        <v>0</v>
      </c>
      <c r="L101">
        <f>IF((L$1*1)&lt;=MAX('DB Costi-Ore YtD'!$A:$A),SUMIFS('DB Costi-Ore YtD'!$G:$G,'DB Costi-Ore YtD'!$A:$A,L$1,'DB Costi-Ore YtD'!$B:$B,$A101,'DB Costi-Ore YtD'!$E:$E,$C101)-SUM($D101:K101),0)</f>
        <v>0</v>
      </c>
      <c r="M101">
        <f>IF((M$1*1)&lt;=MAX('DB Costi-Ore YtD'!$A:$A),SUMIFS('DB Costi-Ore YtD'!$G:$G,'DB Costi-Ore YtD'!$A:$A,M$1,'DB Costi-Ore YtD'!$B:$B,$A101,'DB Costi-Ore YtD'!$E:$E,$C101)-SUM($D101:L101),0)</f>
        <v>0</v>
      </c>
      <c r="N101">
        <f>IF((N$1*1)&lt;=MAX('DB Costi-Ore YtD'!$A:$A),SUMIFS('DB Costi-Ore YtD'!$G:$G,'DB Costi-Ore YtD'!$A:$A,N$1,'DB Costi-Ore YtD'!$B:$B,$A101,'DB Costi-Ore YtD'!$E:$E,$C101)-SUM($D101:M101),0)</f>
        <v>0</v>
      </c>
      <c r="O101">
        <f>IF((O$1*1)&lt;=MAX('DB Costi-Ore YtD'!$A:$A),SUMIFS('DB Costi-Ore YtD'!$G:$G,'DB Costi-Ore YtD'!$A:$A,O$1,'DB Costi-Ore YtD'!$B:$B,$A101,'DB Costi-Ore YtD'!$E:$E,$C101)-SUM($D101:N101),0)</f>
        <v>0</v>
      </c>
    </row>
    <row r="102" spans="1:15" hidden="1" x14ac:dyDescent="0.3">
      <c r="A102" t="s">
        <v>229</v>
      </c>
      <c r="B102" t="s">
        <v>230</v>
      </c>
      <c r="C102" t="s">
        <v>2</v>
      </c>
      <c r="D102">
        <f>IF((D$1*1)&lt;=MAX('DB Costi-Ore YtD'!$A:$A),SUMIFS('DB Costi-Ore YtD'!$G:$G,'DB Costi-Ore YtD'!$A:$A,D$1,'DB Costi-Ore YtD'!$B:$B,$A102,'DB Costi-Ore YtD'!$E:$E,$C102),0)</f>
        <v>1771.49</v>
      </c>
      <c r="E102">
        <f>IF((E$1*1)&lt;=MAX('DB Costi-Ore YtD'!$A:$A),SUMIFS('DB Costi-Ore YtD'!$G:$G,'DB Costi-Ore YtD'!$A:$A,E$1,'DB Costi-Ore YtD'!$B:$B,$A102,'DB Costi-Ore YtD'!$E:$E,$C102)-SUM($D102:D102),0)</f>
        <v>1543.05</v>
      </c>
      <c r="F102">
        <f>IF((F$1*1)&lt;=MAX('DB Costi-Ore YtD'!$A:$A),SUMIFS('DB Costi-Ore YtD'!$G:$G,'DB Costi-Ore YtD'!$A:$A,F$1,'DB Costi-Ore YtD'!$B:$B,$A102,'DB Costi-Ore YtD'!$E:$E,$C102)-SUM($D102:E102),0)</f>
        <v>1458.4600000000009</v>
      </c>
      <c r="G102">
        <f>IF((G$1*1)&lt;=MAX('DB Costi-Ore YtD'!$A:$A),SUMIFS('DB Costi-Ore YtD'!$G:$G,'DB Costi-Ore YtD'!$A:$A,G$1,'DB Costi-Ore YtD'!$B:$B,$A102,'DB Costi-Ore YtD'!$E:$E,$C102)-SUM($D102:F102),0)</f>
        <v>1283.8899999999994</v>
      </c>
      <c r="H102">
        <f>IF((H$1*1)&lt;=MAX('DB Costi-Ore YtD'!$A:$A),SUMIFS('DB Costi-Ore YtD'!$G:$G,'DB Costi-Ore YtD'!$A:$A,H$1,'DB Costi-Ore YtD'!$B:$B,$A102,'DB Costi-Ore YtD'!$E:$E,$C102)-SUM($D102:G102),0)</f>
        <v>829.02000000000135</v>
      </c>
      <c r="I102">
        <f>IF((I$1*1)&lt;=MAX('DB Costi-Ore YtD'!$A:$A),SUMIFS('DB Costi-Ore YtD'!$G:$G,'DB Costi-Ore YtD'!$A:$A,I$1,'DB Costi-Ore YtD'!$B:$B,$A102,'DB Costi-Ore YtD'!$E:$E,$C102)-SUM($D102:H102),0)</f>
        <v>-97.760000000000218</v>
      </c>
      <c r="J102">
        <f>IF((J$1*1)&lt;=MAX('DB Costi-Ore YtD'!$A:$A),SUMIFS('DB Costi-Ore YtD'!$G:$G,'DB Costi-Ore YtD'!$A:$A,J$1,'DB Costi-Ore YtD'!$B:$B,$A102,'DB Costi-Ore YtD'!$E:$E,$C102)-SUM($D102:I102),0)</f>
        <v>0</v>
      </c>
      <c r="K102">
        <f>IF((K$1*1)&lt;=MAX('DB Costi-Ore YtD'!$A:$A),SUMIFS('DB Costi-Ore YtD'!$G:$G,'DB Costi-Ore YtD'!$A:$A,K$1,'DB Costi-Ore YtD'!$B:$B,$A102,'DB Costi-Ore YtD'!$E:$E,$C102)-SUM($D102:J102),0)</f>
        <v>0</v>
      </c>
      <c r="L102">
        <f>IF((L$1*1)&lt;=MAX('DB Costi-Ore YtD'!$A:$A),SUMIFS('DB Costi-Ore YtD'!$G:$G,'DB Costi-Ore YtD'!$A:$A,L$1,'DB Costi-Ore YtD'!$B:$B,$A102,'DB Costi-Ore YtD'!$E:$E,$C102)-SUM($D102:K102),0)</f>
        <v>0</v>
      </c>
      <c r="M102">
        <f>IF((M$1*1)&lt;=MAX('DB Costi-Ore YtD'!$A:$A),SUMIFS('DB Costi-Ore YtD'!$G:$G,'DB Costi-Ore YtD'!$A:$A,M$1,'DB Costi-Ore YtD'!$B:$B,$A102,'DB Costi-Ore YtD'!$E:$E,$C102)-SUM($D102:L102),0)</f>
        <v>0</v>
      </c>
      <c r="N102">
        <f>IF((N$1*1)&lt;=MAX('DB Costi-Ore YtD'!$A:$A),SUMIFS('DB Costi-Ore YtD'!$G:$G,'DB Costi-Ore YtD'!$A:$A,N$1,'DB Costi-Ore YtD'!$B:$B,$A102,'DB Costi-Ore YtD'!$E:$E,$C102)-SUM($D102:M102),0)</f>
        <v>0</v>
      </c>
      <c r="O102">
        <f>IF((O$1*1)&lt;=MAX('DB Costi-Ore YtD'!$A:$A),SUMIFS('DB Costi-Ore YtD'!$G:$G,'DB Costi-Ore YtD'!$A:$A,O$1,'DB Costi-Ore YtD'!$B:$B,$A102,'DB Costi-Ore YtD'!$E:$E,$C102)-SUM($D102:N102),0)</f>
        <v>0</v>
      </c>
    </row>
    <row r="103" spans="1:15" hidden="1" x14ac:dyDescent="0.3">
      <c r="A103" t="s">
        <v>231</v>
      </c>
      <c r="B103" t="s">
        <v>232</v>
      </c>
      <c r="C103" t="s">
        <v>2</v>
      </c>
      <c r="D103">
        <f>IF((D$1*1)&lt;=MAX('DB Costi-Ore YtD'!$A:$A),SUMIFS('DB Costi-Ore YtD'!$G:$G,'DB Costi-Ore YtD'!$A:$A,D$1,'DB Costi-Ore YtD'!$B:$B,$A103,'DB Costi-Ore YtD'!$E:$E,$C103),0)</f>
        <v>1893.89</v>
      </c>
      <c r="E103">
        <f>IF((E$1*1)&lt;=MAX('DB Costi-Ore YtD'!$A:$A),SUMIFS('DB Costi-Ore YtD'!$G:$G,'DB Costi-Ore YtD'!$A:$A,E$1,'DB Costi-Ore YtD'!$B:$B,$A103,'DB Costi-Ore YtD'!$E:$E,$C103)-SUM($D103:D103),0)</f>
        <v>2003.14</v>
      </c>
      <c r="F103">
        <f>IF((F$1*1)&lt;=MAX('DB Costi-Ore YtD'!$A:$A),SUMIFS('DB Costi-Ore YtD'!$G:$G,'DB Costi-Ore YtD'!$A:$A,F$1,'DB Costi-Ore YtD'!$B:$B,$A103,'DB Costi-Ore YtD'!$E:$E,$C103)-SUM($D103:E103),0)</f>
        <v>2266.9799999999991</v>
      </c>
      <c r="G103">
        <f>IF((G$1*1)&lt;=MAX('DB Costi-Ore YtD'!$A:$A),SUMIFS('DB Costi-Ore YtD'!$G:$G,'DB Costi-Ore YtD'!$A:$A,G$1,'DB Costi-Ore YtD'!$B:$B,$A103,'DB Costi-Ore YtD'!$E:$E,$C103)-SUM($D103:F103),0)</f>
        <v>2483.37</v>
      </c>
      <c r="H103">
        <f>IF((H$1*1)&lt;=MAX('DB Costi-Ore YtD'!$A:$A),SUMIFS('DB Costi-Ore YtD'!$G:$G,'DB Costi-Ore YtD'!$A:$A,H$1,'DB Costi-Ore YtD'!$B:$B,$A103,'DB Costi-Ore YtD'!$E:$E,$C103)-SUM($D103:G103),0)</f>
        <v>911.65000000000146</v>
      </c>
      <c r="I103">
        <f>IF((I$1*1)&lt;=MAX('DB Costi-Ore YtD'!$A:$A),SUMIFS('DB Costi-Ore YtD'!$G:$G,'DB Costi-Ore YtD'!$A:$A,I$1,'DB Costi-Ore YtD'!$B:$B,$A103,'DB Costi-Ore YtD'!$E:$E,$C103)-SUM($D103:H103),0)</f>
        <v>3955.5500000000011</v>
      </c>
      <c r="J103">
        <f>IF((J$1*1)&lt;=MAX('DB Costi-Ore YtD'!$A:$A),SUMIFS('DB Costi-Ore YtD'!$G:$G,'DB Costi-Ore YtD'!$A:$A,J$1,'DB Costi-Ore YtD'!$B:$B,$A103,'DB Costi-Ore YtD'!$E:$E,$C103)-SUM($D103:I103),0)</f>
        <v>0</v>
      </c>
      <c r="K103">
        <f>IF((K$1*1)&lt;=MAX('DB Costi-Ore YtD'!$A:$A),SUMIFS('DB Costi-Ore YtD'!$G:$G,'DB Costi-Ore YtD'!$A:$A,K$1,'DB Costi-Ore YtD'!$B:$B,$A103,'DB Costi-Ore YtD'!$E:$E,$C103)-SUM($D103:J103),0)</f>
        <v>0</v>
      </c>
      <c r="L103">
        <f>IF((L$1*1)&lt;=MAX('DB Costi-Ore YtD'!$A:$A),SUMIFS('DB Costi-Ore YtD'!$G:$G,'DB Costi-Ore YtD'!$A:$A,L$1,'DB Costi-Ore YtD'!$B:$B,$A103,'DB Costi-Ore YtD'!$E:$E,$C103)-SUM($D103:K103),0)</f>
        <v>0</v>
      </c>
      <c r="M103">
        <f>IF((M$1*1)&lt;=MAX('DB Costi-Ore YtD'!$A:$A),SUMIFS('DB Costi-Ore YtD'!$G:$G,'DB Costi-Ore YtD'!$A:$A,M$1,'DB Costi-Ore YtD'!$B:$B,$A103,'DB Costi-Ore YtD'!$E:$E,$C103)-SUM($D103:L103),0)</f>
        <v>0</v>
      </c>
      <c r="N103">
        <f>IF((N$1*1)&lt;=MAX('DB Costi-Ore YtD'!$A:$A),SUMIFS('DB Costi-Ore YtD'!$G:$G,'DB Costi-Ore YtD'!$A:$A,N$1,'DB Costi-Ore YtD'!$B:$B,$A103,'DB Costi-Ore YtD'!$E:$E,$C103)-SUM($D103:M103),0)</f>
        <v>0</v>
      </c>
      <c r="O103">
        <f>IF((O$1*1)&lt;=MAX('DB Costi-Ore YtD'!$A:$A),SUMIFS('DB Costi-Ore YtD'!$G:$G,'DB Costi-Ore YtD'!$A:$A,O$1,'DB Costi-Ore YtD'!$B:$B,$A103,'DB Costi-Ore YtD'!$E:$E,$C103)-SUM($D103:N103),0)</f>
        <v>0</v>
      </c>
    </row>
    <row r="104" spans="1:15" hidden="1" x14ac:dyDescent="0.3">
      <c r="A104" t="s">
        <v>233</v>
      </c>
      <c r="B104" t="s">
        <v>234</v>
      </c>
      <c r="C104" t="s">
        <v>2</v>
      </c>
      <c r="D104">
        <f>IF((D$1*1)&lt;=MAX('DB Costi-Ore YtD'!$A:$A),SUMIFS('DB Costi-Ore YtD'!$G:$G,'DB Costi-Ore YtD'!$A:$A,D$1,'DB Costi-Ore YtD'!$B:$B,$A104,'DB Costi-Ore YtD'!$E:$E,$C104),0)</f>
        <v>1306.75</v>
      </c>
      <c r="E104">
        <f>IF((E$1*1)&lt;=MAX('DB Costi-Ore YtD'!$A:$A),SUMIFS('DB Costi-Ore YtD'!$G:$G,'DB Costi-Ore YtD'!$A:$A,E$1,'DB Costi-Ore YtD'!$B:$B,$A104,'DB Costi-Ore YtD'!$E:$E,$C104)-SUM($D104:D104),0)</f>
        <v>1156.8699999999999</v>
      </c>
      <c r="F104">
        <f>IF((F$1*1)&lt;=MAX('DB Costi-Ore YtD'!$A:$A),SUMIFS('DB Costi-Ore YtD'!$G:$G,'DB Costi-Ore YtD'!$A:$A,F$1,'DB Costi-Ore YtD'!$B:$B,$A104,'DB Costi-Ore YtD'!$E:$E,$C104)-SUM($D104:E104),0)</f>
        <v>1294.7100000000005</v>
      </c>
      <c r="G104">
        <f>IF((G$1*1)&lt;=MAX('DB Costi-Ore YtD'!$A:$A),SUMIFS('DB Costi-Ore YtD'!$G:$G,'DB Costi-Ore YtD'!$A:$A,G$1,'DB Costi-Ore YtD'!$B:$B,$A104,'DB Costi-Ore YtD'!$E:$E,$C104)-SUM($D104:F104),0)</f>
        <v>1531.0099999999998</v>
      </c>
      <c r="H104">
        <f>IF((H$1*1)&lt;=MAX('DB Costi-Ore YtD'!$A:$A),SUMIFS('DB Costi-Ore YtD'!$G:$G,'DB Costi-Ore YtD'!$A:$A,H$1,'DB Costi-Ore YtD'!$B:$B,$A104,'DB Costi-Ore YtD'!$E:$E,$C104)-SUM($D104:G104),0)</f>
        <v>-5289.34</v>
      </c>
      <c r="I104">
        <f>IF((I$1*1)&lt;=MAX('DB Costi-Ore YtD'!$A:$A),SUMIFS('DB Costi-Ore YtD'!$G:$G,'DB Costi-Ore YtD'!$A:$A,I$1,'DB Costi-Ore YtD'!$B:$B,$A104,'DB Costi-Ore YtD'!$E:$E,$C104)-SUM($D104:H104),0)</f>
        <v>0</v>
      </c>
      <c r="J104">
        <f>IF((J$1*1)&lt;=MAX('DB Costi-Ore YtD'!$A:$A),SUMIFS('DB Costi-Ore YtD'!$G:$G,'DB Costi-Ore YtD'!$A:$A,J$1,'DB Costi-Ore YtD'!$B:$B,$A104,'DB Costi-Ore YtD'!$E:$E,$C104)-SUM($D104:I104),0)</f>
        <v>0</v>
      </c>
      <c r="K104">
        <f>IF((K$1*1)&lt;=MAX('DB Costi-Ore YtD'!$A:$A),SUMIFS('DB Costi-Ore YtD'!$G:$G,'DB Costi-Ore YtD'!$A:$A,K$1,'DB Costi-Ore YtD'!$B:$B,$A104,'DB Costi-Ore YtD'!$E:$E,$C104)-SUM($D104:J104),0)</f>
        <v>0</v>
      </c>
      <c r="L104">
        <f>IF((L$1*1)&lt;=MAX('DB Costi-Ore YtD'!$A:$A),SUMIFS('DB Costi-Ore YtD'!$G:$G,'DB Costi-Ore YtD'!$A:$A,L$1,'DB Costi-Ore YtD'!$B:$B,$A104,'DB Costi-Ore YtD'!$E:$E,$C104)-SUM($D104:K104),0)</f>
        <v>0</v>
      </c>
      <c r="M104">
        <f>IF((M$1*1)&lt;=MAX('DB Costi-Ore YtD'!$A:$A),SUMIFS('DB Costi-Ore YtD'!$G:$G,'DB Costi-Ore YtD'!$A:$A,M$1,'DB Costi-Ore YtD'!$B:$B,$A104,'DB Costi-Ore YtD'!$E:$E,$C104)-SUM($D104:L104),0)</f>
        <v>0</v>
      </c>
      <c r="N104">
        <f>IF((N$1*1)&lt;=MAX('DB Costi-Ore YtD'!$A:$A),SUMIFS('DB Costi-Ore YtD'!$G:$G,'DB Costi-Ore YtD'!$A:$A,N$1,'DB Costi-Ore YtD'!$B:$B,$A104,'DB Costi-Ore YtD'!$E:$E,$C104)-SUM($D104:M104),0)</f>
        <v>0</v>
      </c>
      <c r="O104">
        <f>IF((O$1*1)&lt;=MAX('DB Costi-Ore YtD'!$A:$A),SUMIFS('DB Costi-Ore YtD'!$G:$G,'DB Costi-Ore YtD'!$A:$A,O$1,'DB Costi-Ore YtD'!$B:$B,$A104,'DB Costi-Ore YtD'!$E:$E,$C104)-SUM($D104:N104),0)</f>
        <v>0</v>
      </c>
    </row>
    <row r="105" spans="1:15" hidden="1" x14ac:dyDescent="0.3">
      <c r="A105" t="s">
        <v>235</v>
      </c>
      <c r="B105" t="s">
        <v>236</v>
      </c>
      <c r="C105" t="s">
        <v>3</v>
      </c>
      <c r="D105">
        <f>IF((D$1*1)&lt;=MAX('DB Costi-Ore YtD'!$A:$A),SUMIFS('DB Costi-Ore YtD'!$G:$G,'DB Costi-Ore YtD'!$A:$A,D$1,'DB Costi-Ore YtD'!$B:$B,$A105,'DB Costi-Ore YtD'!$E:$E,$C105),0)</f>
        <v>1252.5800000000002</v>
      </c>
      <c r="E105">
        <f>IF((E$1*1)&lt;=MAX('DB Costi-Ore YtD'!$A:$A),SUMIFS('DB Costi-Ore YtD'!$G:$G,'DB Costi-Ore YtD'!$A:$A,E$1,'DB Costi-Ore YtD'!$B:$B,$A105,'DB Costi-Ore YtD'!$E:$E,$C105)-SUM($D105:D105),0)</f>
        <v>1090.01</v>
      </c>
      <c r="F105">
        <f>IF((F$1*1)&lt;=MAX('DB Costi-Ore YtD'!$A:$A),SUMIFS('DB Costi-Ore YtD'!$G:$G,'DB Costi-Ore YtD'!$A:$A,F$1,'DB Costi-Ore YtD'!$B:$B,$A105,'DB Costi-Ore YtD'!$E:$E,$C105)-SUM($D105:E105),0)</f>
        <v>2180.4499999999998</v>
      </c>
      <c r="G105">
        <f>IF((G$1*1)&lt;=MAX('DB Costi-Ore YtD'!$A:$A),SUMIFS('DB Costi-Ore YtD'!$G:$G,'DB Costi-Ore YtD'!$A:$A,G$1,'DB Costi-Ore YtD'!$B:$B,$A105,'DB Costi-Ore YtD'!$E:$E,$C105)-SUM($D105:F105),0)</f>
        <v>2361.4499999999998</v>
      </c>
      <c r="H105">
        <f>IF((H$1*1)&lt;=MAX('DB Costi-Ore YtD'!$A:$A),SUMIFS('DB Costi-Ore YtD'!$G:$G,'DB Costi-Ore YtD'!$A:$A,H$1,'DB Costi-Ore YtD'!$B:$B,$A105,'DB Costi-Ore YtD'!$E:$E,$C105)-SUM($D105:G105),0)</f>
        <v>2203.0700000000015</v>
      </c>
      <c r="I105">
        <f>IF((I$1*1)&lt;=MAX('DB Costi-Ore YtD'!$A:$A),SUMIFS('DB Costi-Ore YtD'!$G:$G,'DB Costi-Ore YtD'!$A:$A,I$1,'DB Costi-Ore YtD'!$B:$B,$A105,'DB Costi-Ore YtD'!$E:$E,$C105)-SUM($D105:H105),0)</f>
        <v>2163.9999999999982</v>
      </c>
      <c r="J105">
        <f>IF((J$1*1)&lt;=MAX('DB Costi-Ore YtD'!$A:$A),SUMIFS('DB Costi-Ore YtD'!$G:$G,'DB Costi-Ore YtD'!$A:$A,J$1,'DB Costi-Ore YtD'!$B:$B,$A105,'DB Costi-Ore YtD'!$E:$E,$C105)-SUM($D105:I105),0)</f>
        <v>0</v>
      </c>
      <c r="K105">
        <f>IF((K$1*1)&lt;=MAX('DB Costi-Ore YtD'!$A:$A),SUMIFS('DB Costi-Ore YtD'!$G:$G,'DB Costi-Ore YtD'!$A:$A,K$1,'DB Costi-Ore YtD'!$B:$B,$A105,'DB Costi-Ore YtD'!$E:$E,$C105)-SUM($D105:J105),0)</f>
        <v>0</v>
      </c>
      <c r="L105">
        <f>IF((L$1*1)&lt;=MAX('DB Costi-Ore YtD'!$A:$A),SUMIFS('DB Costi-Ore YtD'!$G:$G,'DB Costi-Ore YtD'!$A:$A,L$1,'DB Costi-Ore YtD'!$B:$B,$A105,'DB Costi-Ore YtD'!$E:$E,$C105)-SUM($D105:K105),0)</f>
        <v>0</v>
      </c>
      <c r="M105">
        <f>IF((M$1*1)&lt;=MAX('DB Costi-Ore YtD'!$A:$A),SUMIFS('DB Costi-Ore YtD'!$G:$G,'DB Costi-Ore YtD'!$A:$A,M$1,'DB Costi-Ore YtD'!$B:$B,$A105,'DB Costi-Ore YtD'!$E:$E,$C105)-SUM($D105:L105),0)</f>
        <v>0</v>
      </c>
      <c r="N105">
        <f>IF((N$1*1)&lt;=MAX('DB Costi-Ore YtD'!$A:$A),SUMIFS('DB Costi-Ore YtD'!$G:$G,'DB Costi-Ore YtD'!$A:$A,N$1,'DB Costi-Ore YtD'!$B:$B,$A105,'DB Costi-Ore YtD'!$E:$E,$C105)-SUM($D105:M105),0)</f>
        <v>0</v>
      </c>
      <c r="O105">
        <f>IF((O$1*1)&lt;=MAX('DB Costi-Ore YtD'!$A:$A),SUMIFS('DB Costi-Ore YtD'!$G:$G,'DB Costi-Ore YtD'!$A:$A,O$1,'DB Costi-Ore YtD'!$B:$B,$A105,'DB Costi-Ore YtD'!$E:$E,$C105)-SUM($D105:N105),0)</f>
        <v>0</v>
      </c>
    </row>
    <row r="106" spans="1:15" hidden="1" x14ac:dyDescent="0.3">
      <c r="A106" t="s">
        <v>237</v>
      </c>
      <c r="B106" t="s">
        <v>238</v>
      </c>
      <c r="C106" t="s">
        <v>5</v>
      </c>
      <c r="D106">
        <f>IF((D$1*1)&lt;=MAX('DB Costi-Ore YtD'!$A:$A),SUMIFS('DB Costi-Ore YtD'!$G:$G,'DB Costi-Ore YtD'!$A:$A,D$1,'DB Costi-Ore YtD'!$B:$B,$A106,'DB Costi-Ore YtD'!$E:$E,$C106),0)</f>
        <v>1023.02</v>
      </c>
      <c r="E106">
        <f>IF((E$1*1)&lt;=MAX('DB Costi-Ore YtD'!$A:$A),SUMIFS('DB Costi-Ore YtD'!$G:$G,'DB Costi-Ore YtD'!$A:$A,E$1,'DB Costi-Ore YtD'!$B:$B,$A106,'DB Costi-Ore YtD'!$E:$E,$C106)-SUM($D106:D106),0)</f>
        <v>1529.0099999999998</v>
      </c>
      <c r="F106">
        <f>IF((F$1*1)&lt;=MAX('DB Costi-Ore YtD'!$A:$A),SUMIFS('DB Costi-Ore YtD'!$G:$G,'DB Costi-Ore YtD'!$A:$A,F$1,'DB Costi-Ore YtD'!$B:$B,$A106,'DB Costi-Ore YtD'!$E:$E,$C106)-SUM($D106:E106),0)</f>
        <v>0</v>
      </c>
      <c r="G106">
        <f>IF((G$1*1)&lt;=MAX('DB Costi-Ore YtD'!$A:$A),SUMIFS('DB Costi-Ore YtD'!$G:$G,'DB Costi-Ore YtD'!$A:$A,G$1,'DB Costi-Ore YtD'!$B:$B,$A106,'DB Costi-Ore YtD'!$E:$E,$C106)-SUM($D106:F106),0)</f>
        <v>0</v>
      </c>
      <c r="H106">
        <f>IF((H$1*1)&lt;=MAX('DB Costi-Ore YtD'!$A:$A),SUMIFS('DB Costi-Ore YtD'!$G:$G,'DB Costi-Ore YtD'!$A:$A,H$1,'DB Costi-Ore YtD'!$B:$B,$A106,'DB Costi-Ore YtD'!$E:$E,$C106)-SUM($D106:G106),0)</f>
        <v>0</v>
      </c>
      <c r="I106">
        <f>IF((I$1*1)&lt;=MAX('DB Costi-Ore YtD'!$A:$A),SUMIFS('DB Costi-Ore YtD'!$G:$G,'DB Costi-Ore YtD'!$A:$A,I$1,'DB Costi-Ore YtD'!$B:$B,$A106,'DB Costi-Ore YtD'!$E:$E,$C106)-SUM($D106:H106),0)</f>
        <v>0</v>
      </c>
      <c r="J106">
        <f>IF((J$1*1)&lt;=MAX('DB Costi-Ore YtD'!$A:$A),SUMIFS('DB Costi-Ore YtD'!$G:$G,'DB Costi-Ore YtD'!$A:$A,J$1,'DB Costi-Ore YtD'!$B:$B,$A106,'DB Costi-Ore YtD'!$E:$E,$C106)-SUM($D106:I106),0)</f>
        <v>0</v>
      </c>
      <c r="K106">
        <f>IF((K$1*1)&lt;=MAX('DB Costi-Ore YtD'!$A:$A),SUMIFS('DB Costi-Ore YtD'!$G:$G,'DB Costi-Ore YtD'!$A:$A,K$1,'DB Costi-Ore YtD'!$B:$B,$A106,'DB Costi-Ore YtD'!$E:$E,$C106)-SUM($D106:J106),0)</f>
        <v>0</v>
      </c>
      <c r="L106">
        <f>IF((L$1*1)&lt;=MAX('DB Costi-Ore YtD'!$A:$A),SUMIFS('DB Costi-Ore YtD'!$G:$G,'DB Costi-Ore YtD'!$A:$A,L$1,'DB Costi-Ore YtD'!$B:$B,$A106,'DB Costi-Ore YtD'!$E:$E,$C106)-SUM($D106:K106),0)</f>
        <v>0</v>
      </c>
      <c r="M106">
        <f>IF((M$1*1)&lt;=MAX('DB Costi-Ore YtD'!$A:$A),SUMIFS('DB Costi-Ore YtD'!$G:$G,'DB Costi-Ore YtD'!$A:$A,M$1,'DB Costi-Ore YtD'!$B:$B,$A106,'DB Costi-Ore YtD'!$E:$E,$C106)-SUM($D106:L106),0)</f>
        <v>0</v>
      </c>
      <c r="N106">
        <f>IF((N$1*1)&lt;=MAX('DB Costi-Ore YtD'!$A:$A),SUMIFS('DB Costi-Ore YtD'!$G:$G,'DB Costi-Ore YtD'!$A:$A,N$1,'DB Costi-Ore YtD'!$B:$B,$A106,'DB Costi-Ore YtD'!$E:$E,$C106)-SUM($D106:M106),0)</f>
        <v>0</v>
      </c>
      <c r="O106">
        <f>IF((O$1*1)&lt;=MAX('DB Costi-Ore YtD'!$A:$A),SUMIFS('DB Costi-Ore YtD'!$G:$G,'DB Costi-Ore YtD'!$A:$A,O$1,'DB Costi-Ore YtD'!$B:$B,$A106,'DB Costi-Ore YtD'!$E:$E,$C106)-SUM($D106:N106),0)</f>
        <v>0</v>
      </c>
    </row>
    <row r="107" spans="1:15" hidden="1" x14ac:dyDescent="0.3">
      <c r="A107" t="s">
        <v>239</v>
      </c>
      <c r="B107" t="s">
        <v>240</v>
      </c>
      <c r="C107" t="s">
        <v>12</v>
      </c>
      <c r="D107">
        <f>IF((D$1*1)&lt;=MAX('DB Costi-Ore YtD'!$A:$A),SUMIFS('DB Costi-Ore YtD'!$G:$G,'DB Costi-Ore YtD'!$A:$A,D$1,'DB Costi-Ore YtD'!$B:$B,$A107,'DB Costi-Ore YtD'!$E:$E,$C107),0)</f>
        <v>2462.65</v>
      </c>
      <c r="E107">
        <f>IF((E$1*1)&lt;=MAX('DB Costi-Ore YtD'!$A:$A),SUMIFS('DB Costi-Ore YtD'!$G:$G,'DB Costi-Ore YtD'!$A:$A,E$1,'DB Costi-Ore YtD'!$B:$B,$A107,'DB Costi-Ore YtD'!$E:$E,$C107)-SUM($D107:D107),0)</f>
        <v>2331.3200000000002</v>
      </c>
      <c r="F107">
        <f>IF((F$1*1)&lt;=MAX('DB Costi-Ore YtD'!$A:$A),SUMIFS('DB Costi-Ore YtD'!$G:$G,'DB Costi-Ore YtD'!$A:$A,F$1,'DB Costi-Ore YtD'!$B:$B,$A107,'DB Costi-Ore YtD'!$E:$E,$C107)-SUM($D107:E107),0)</f>
        <v>2342.63</v>
      </c>
      <c r="G107">
        <f>IF((G$1*1)&lt;=MAX('DB Costi-Ore YtD'!$A:$A),SUMIFS('DB Costi-Ore YtD'!$G:$G,'DB Costi-Ore YtD'!$A:$A,G$1,'DB Costi-Ore YtD'!$B:$B,$A107,'DB Costi-Ore YtD'!$E:$E,$C107)-SUM($D107:F107),0)</f>
        <v>2577.9400000000005</v>
      </c>
      <c r="H107">
        <f>IF((H$1*1)&lt;=MAX('DB Costi-Ore YtD'!$A:$A),SUMIFS('DB Costi-Ore YtD'!$G:$G,'DB Costi-Ore YtD'!$A:$A,H$1,'DB Costi-Ore YtD'!$B:$B,$A107,'DB Costi-Ore YtD'!$E:$E,$C107)-SUM($D107:G107),0)</f>
        <v>2194.7700000000004</v>
      </c>
      <c r="I107">
        <f>IF((I$1*1)&lt;=MAX('DB Costi-Ore YtD'!$A:$A),SUMIFS('DB Costi-Ore YtD'!$G:$G,'DB Costi-Ore YtD'!$A:$A,I$1,'DB Costi-Ore YtD'!$B:$B,$A107,'DB Costi-Ore YtD'!$E:$E,$C107)-SUM($D107:H107),0)</f>
        <v>2202.409999999998</v>
      </c>
      <c r="J107">
        <f>IF((J$1*1)&lt;=MAX('DB Costi-Ore YtD'!$A:$A),SUMIFS('DB Costi-Ore YtD'!$G:$G,'DB Costi-Ore YtD'!$A:$A,J$1,'DB Costi-Ore YtD'!$B:$B,$A107,'DB Costi-Ore YtD'!$E:$E,$C107)-SUM($D107:I107),0)</f>
        <v>0</v>
      </c>
      <c r="K107">
        <f>IF((K$1*1)&lt;=MAX('DB Costi-Ore YtD'!$A:$A),SUMIFS('DB Costi-Ore YtD'!$G:$G,'DB Costi-Ore YtD'!$A:$A,K$1,'DB Costi-Ore YtD'!$B:$B,$A107,'DB Costi-Ore YtD'!$E:$E,$C107)-SUM($D107:J107),0)</f>
        <v>0</v>
      </c>
      <c r="L107">
        <f>IF((L$1*1)&lt;=MAX('DB Costi-Ore YtD'!$A:$A),SUMIFS('DB Costi-Ore YtD'!$G:$G,'DB Costi-Ore YtD'!$A:$A,L$1,'DB Costi-Ore YtD'!$B:$B,$A107,'DB Costi-Ore YtD'!$E:$E,$C107)-SUM($D107:K107),0)</f>
        <v>0</v>
      </c>
      <c r="M107">
        <f>IF((M$1*1)&lt;=MAX('DB Costi-Ore YtD'!$A:$A),SUMIFS('DB Costi-Ore YtD'!$G:$G,'DB Costi-Ore YtD'!$A:$A,M$1,'DB Costi-Ore YtD'!$B:$B,$A107,'DB Costi-Ore YtD'!$E:$E,$C107)-SUM($D107:L107),0)</f>
        <v>0</v>
      </c>
      <c r="N107">
        <f>IF((N$1*1)&lt;=MAX('DB Costi-Ore YtD'!$A:$A),SUMIFS('DB Costi-Ore YtD'!$G:$G,'DB Costi-Ore YtD'!$A:$A,N$1,'DB Costi-Ore YtD'!$B:$B,$A107,'DB Costi-Ore YtD'!$E:$E,$C107)-SUM($D107:M107),0)</f>
        <v>0</v>
      </c>
      <c r="O107">
        <f>IF((O$1*1)&lt;=MAX('DB Costi-Ore YtD'!$A:$A),SUMIFS('DB Costi-Ore YtD'!$G:$G,'DB Costi-Ore YtD'!$A:$A,O$1,'DB Costi-Ore YtD'!$B:$B,$A107,'DB Costi-Ore YtD'!$E:$E,$C107)-SUM($D107:N107),0)</f>
        <v>0</v>
      </c>
    </row>
    <row r="108" spans="1:15" x14ac:dyDescent="0.3">
      <c r="A108" t="s">
        <v>241</v>
      </c>
      <c r="B108" t="s">
        <v>242</v>
      </c>
      <c r="C108" t="s">
        <v>13</v>
      </c>
      <c r="D108">
        <f>IF((D$1*1)&lt;=MAX('DB Costi-Ore YtD'!$A:$A),SUMIFS('DB Costi-Ore YtD'!$G:$G,'DB Costi-Ore YtD'!$A:$A,D$1,'DB Costi-Ore YtD'!$B:$B,$A108,'DB Costi-Ore YtD'!$E:$E,$C108),0)</f>
        <v>4890.04</v>
      </c>
      <c r="E108">
        <f>IF((E$1*1)&lt;=MAX('DB Costi-Ore YtD'!$A:$A),SUMIFS('DB Costi-Ore YtD'!$G:$G,'DB Costi-Ore YtD'!$A:$A,E$1,'DB Costi-Ore YtD'!$B:$B,$A108,'DB Costi-Ore YtD'!$E:$E,$C108)-SUM($D108:D108),0)</f>
        <v>5241.0900000000011</v>
      </c>
      <c r="F108">
        <f>IF((F$1*1)&lt;=MAX('DB Costi-Ore YtD'!$A:$A),SUMIFS('DB Costi-Ore YtD'!$G:$G,'DB Costi-Ore YtD'!$A:$A,F$1,'DB Costi-Ore YtD'!$B:$B,$A108,'DB Costi-Ore YtD'!$E:$E,$C108)-SUM($D108:E108),0)</f>
        <v>5092.2199999999975</v>
      </c>
      <c r="G108">
        <f>IF((G$1*1)&lt;=MAX('DB Costi-Ore YtD'!$A:$A),SUMIFS('DB Costi-Ore YtD'!$G:$G,'DB Costi-Ore YtD'!$A:$A,G$1,'DB Costi-Ore YtD'!$B:$B,$A108,'DB Costi-Ore YtD'!$E:$E,$C108)-SUM($D108:F108),0)</f>
        <v>8705.66</v>
      </c>
      <c r="H108">
        <f>IF((H$1*1)&lt;=MAX('DB Costi-Ore YtD'!$A:$A),SUMIFS('DB Costi-Ore YtD'!$G:$G,'DB Costi-Ore YtD'!$A:$A,H$1,'DB Costi-Ore YtD'!$B:$B,$A108,'DB Costi-Ore YtD'!$E:$E,$C108)-SUM($D108:G108),0)</f>
        <v>5319.0399999999972</v>
      </c>
      <c r="I108">
        <f>IF((I$1*1)&lt;=MAX('DB Costi-Ore YtD'!$A:$A),SUMIFS('DB Costi-Ore YtD'!$G:$G,'DB Costi-Ore YtD'!$A:$A,I$1,'DB Costi-Ore YtD'!$B:$B,$A108,'DB Costi-Ore YtD'!$E:$E,$C108)-SUM($D108:H108),0)</f>
        <v>4875.7200000000084</v>
      </c>
      <c r="J108">
        <f>IF((J$1*1)&lt;=MAX('DB Costi-Ore YtD'!$A:$A),SUMIFS('DB Costi-Ore YtD'!$G:$G,'DB Costi-Ore YtD'!$A:$A,J$1,'DB Costi-Ore YtD'!$B:$B,$A108,'DB Costi-Ore YtD'!$E:$E,$C108)-SUM($D108:I108),0)</f>
        <v>0</v>
      </c>
      <c r="K108">
        <f>IF((K$1*1)&lt;=MAX('DB Costi-Ore YtD'!$A:$A),SUMIFS('DB Costi-Ore YtD'!$G:$G,'DB Costi-Ore YtD'!$A:$A,K$1,'DB Costi-Ore YtD'!$B:$B,$A108,'DB Costi-Ore YtD'!$E:$E,$C108)-SUM($D108:J108),0)</f>
        <v>0</v>
      </c>
      <c r="L108">
        <f>IF((L$1*1)&lt;=MAX('DB Costi-Ore YtD'!$A:$A),SUMIFS('DB Costi-Ore YtD'!$G:$G,'DB Costi-Ore YtD'!$A:$A,L$1,'DB Costi-Ore YtD'!$B:$B,$A108,'DB Costi-Ore YtD'!$E:$E,$C108)-SUM($D108:K108),0)</f>
        <v>0</v>
      </c>
      <c r="M108">
        <f>IF((M$1*1)&lt;=MAX('DB Costi-Ore YtD'!$A:$A),SUMIFS('DB Costi-Ore YtD'!$G:$G,'DB Costi-Ore YtD'!$A:$A,M$1,'DB Costi-Ore YtD'!$B:$B,$A108,'DB Costi-Ore YtD'!$E:$E,$C108)-SUM($D108:L108),0)</f>
        <v>0</v>
      </c>
      <c r="N108">
        <f>IF((N$1*1)&lt;=MAX('DB Costi-Ore YtD'!$A:$A),SUMIFS('DB Costi-Ore YtD'!$G:$G,'DB Costi-Ore YtD'!$A:$A,N$1,'DB Costi-Ore YtD'!$B:$B,$A108,'DB Costi-Ore YtD'!$E:$E,$C108)-SUM($D108:M108),0)</f>
        <v>0</v>
      </c>
      <c r="O108">
        <f>IF((O$1*1)&lt;=MAX('DB Costi-Ore YtD'!$A:$A),SUMIFS('DB Costi-Ore YtD'!$G:$G,'DB Costi-Ore YtD'!$A:$A,O$1,'DB Costi-Ore YtD'!$B:$B,$A108,'DB Costi-Ore YtD'!$E:$E,$C108)-SUM($D108:N108),0)</f>
        <v>0</v>
      </c>
    </row>
    <row r="109" spans="1:15" hidden="1" x14ac:dyDescent="0.3">
      <c r="A109" t="s">
        <v>243</v>
      </c>
      <c r="B109" t="s">
        <v>244</v>
      </c>
      <c r="C109" t="s">
        <v>5</v>
      </c>
      <c r="D109">
        <f>IF((D$1*1)&lt;=MAX('DB Costi-Ore YtD'!$A:$A),SUMIFS('DB Costi-Ore YtD'!$G:$G,'DB Costi-Ore YtD'!$A:$A,D$1,'DB Costi-Ore YtD'!$B:$B,$A109,'DB Costi-Ore YtD'!$E:$E,$C109),0)</f>
        <v>1672.2199999999998</v>
      </c>
      <c r="E109">
        <f>IF((E$1*1)&lt;=MAX('DB Costi-Ore YtD'!$A:$A),SUMIFS('DB Costi-Ore YtD'!$G:$G,'DB Costi-Ore YtD'!$A:$A,E$1,'DB Costi-Ore YtD'!$B:$B,$A109,'DB Costi-Ore YtD'!$E:$E,$C109)-SUM($D109:D109),0)</f>
        <v>1667.5600000000004</v>
      </c>
      <c r="F109">
        <f>IF((F$1*1)&lt;=MAX('DB Costi-Ore YtD'!$A:$A),SUMIFS('DB Costi-Ore YtD'!$G:$G,'DB Costi-Ore YtD'!$A:$A,F$1,'DB Costi-Ore YtD'!$B:$B,$A109,'DB Costi-Ore YtD'!$E:$E,$C109)-SUM($D109:E109),0)</f>
        <v>1562.3800000000006</v>
      </c>
      <c r="G109">
        <f>IF((G$1*1)&lt;=MAX('DB Costi-Ore YtD'!$A:$A),SUMIFS('DB Costi-Ore YtD'!$G:$G,'DB Costi-Ore YtD'!$A:$A,G$1,'DB Costi-Ore YtD'!$B:$B,$A109,'DB Costi-Ore YtD'!$E:$E,$C109)-SUM($D109:F109),0)</f>
        <v>1568.1799999999994</v>
      </c>
      <c r="H109">
        <f>IF((H$1*1)&lt;=MAX('DB Costi-Ore YtD'!$A:$A),SUMIFS('DB Costi-Ore YtD'!$G:$G,'DB Costi-Ore YtD'!$A:$A,H$1,'DB Costi-Ore YtD'!$B:$B,$A109,'DB Costi-Ore YtD'!$E:$E,$C109)-SUM($D109:G109),0)</f>
        <v>1648.5100000000002</v>
      </c>
      <c r="I109">
        <f>IF((I$1*1)&lt;=MAX('DB Costi-Ore YtD'!$A:$A),SUMIFS('DB Costi-Ore YtD'!$G:$G,'DB Costi-Ore YtD'!$A:$A,I$1,'DB Costi-Ore YtD'!$B:$B,$A109,'DB Costi-Ore YtD'!$E:$E,$C109)-SUM($D109:H109),0)</f>
        <v>1587.0800000000017</v>
      </c>
      <c r="J109">
        <f>IF((J$1*1)&lt;=MAX('DB Costi-Ore YtD'!$A:$A),SUMIFS('DB Costi-Ore YtD'!$G:$G,'DB Costi-Ore YtD'!$A:$A,J$1,'DB Costi-Ore YtD'!$B:$B,$A109,'DB Costi-Ore YtD'!$E:$E,$C109)-SUM($D109:I109),0)</f>
        <v>0</v>
      </c>
      <c r="K109">
        <f>IF((K$1*1)&lt;=MAX('DB Costi-Ore YtD'!$A:$A),SUMIFS('DB Costi-Ore YtD'!$G:$G,'DB Costi-Ore YtD'!$A:$A,K$1,'DB Costi-Ore YtD'!$B:$B,$A109,'DB Costi-Ore YtD'!$E:$E,$C109)-SUM($D109:J109),0)</f>
        <v>0</v>
      </c>
      <c r="L109">
        <f>IF((L$1*1)&lt;=MAX('DB Costi-Ore YtD'!$A:$A),SUMIFS('DB Costi-Ore YtD'!$G:$G,'DB Costi-Ore YtD'!$A:$A,L$1,'DB Costi-Ore YtD'!$B:$B,$A109,'DB Costi-Ore YtD'!$E:$E,$C109)-SUM($D109:K109),0)</f>
        <v>0</v>
      </c>
      <c r="M109">
        <f>IF((M$1*1)&lt;=MAX('DB Costi-Ore YtD'!$A:$A),SUMIFS('DB Costi-Ore YtD'!$G:$G,'DB Costi-Ore YtD'!$A:$A,M$1,'DB Costi-Ore YtD'!$B:$B,$A109,'DB Costi-Ore YtD'!$E:$E,$C109)-SUM($D109:L109),0)</f>
        <v>0</v>
      </c>
      <c r="N109">
        <f>IF((N$1*1)&lt;=MAX('DB Costi-Ore YtD'!$A:$A),SUMIFS('DB Costi-Ore YtD'!$G:$G,'DB Costi-Ore YtD'!$A:$A,N$1,'DB Costi-Ore YtD'!$B:$B,$A109,'DB Costi-Ore YtD'!$E:$E,$C109)-SUM($D109:M109),0)</f>
        <v>0</v>
      </c>
      <c r="O109">
        <f>IF((O$1*1)&lt;=MAX('DB Costi-Ore YtD'!$A:$A),SUMIFS('DB Costi-Ore YtD'!$G:$G,'DB Costi-Ore YtD'!$A:$A,O$1,'DB Costi-Ore YtD'!$B:$B,$A109,'DB Costi-Ore YtD'!$E:$E,$C109)-SUM($D109:N109),0)</f>
        <v>0</v>
      </c>
    </row>
    <row r="110" spans="1:15" hidden="1" x14ac:dyDescent="0.3">
      <c r="A110" t="s">
        <v>245</v>
      </c>
      <c r="B110" t="s">
        <v>246</v>
      </c>
      <c r="C110" t="s">
        <v>3</v>
      </c>
      <c r="D110">
        <f>IF((D$1*1)&lt;=MAX('DB Costi-Ore YtD'!$A:$A),SUMIFS('DB Costi-Ore YtD'!$G:$G,'DB Costi-Ore YtD'!$A:$A,D$1,'DB Costi-Ore YtD'!$B:$B,$A110,'DB Costi-Ore YtD'!$E:$E,$C110),0)</f>
        <v>911.49</v>
      </c>
      <c r="E110">
        <f>IF((E$1*1)&lt;=MAX('DB Costi-Ore YtD'!$A:$A),SUMIFS('DB Costi-Ore YtD'!$G:$G,'DB Costi-Ore YtD'!$A:$A,E$1,'DB Costi-Ore YtD'!$B:$B,$A110,'DB Costi-Ore YtD'!$E:$E,$C110)-SUM($D110:D110),0)</f>
        <v>752.25</v>
      </c>
      <c r="F110">
        <f>IF((F$1*1)&lt;=MAX('DB Costi-Ore YtD'!$A:$A),SUMIFS('DB Costi-Ore YtD'!$G:$G,'DB Costi-Ore YtD'!$A:$A,F$1,'DB Costi-Ore YtD'!$B:$B,$A110,'DB Costi-Ore YtD'!$E:$E,$C110)-SUM($D110:E110),0)</f>
        <v>847.6400000000001</v>
      </c>
      <c r="G110">
        <f>IF((G$1*1)&lt;=MAX('DB Costi-Ore YtD'!$A:$A),SUMIFS('DB Costi-Ore YtD'!$G:$G,'DB Costi-Ore YtD'!$A:$A,G$1,'DB Costi-Ore YtD'!$B:$B,$A110,'DB Costi-Ore YtD'!$E:$E,$C110)-SUM($D110:F110),0)</f>
        <v>888.34999999999991</v>
      </c>
      <c r="H110">
        <f>IF((H$1*1)&lt;=MAX('DB Costi-Ore YtD'!$A:$A),SUMIFS('DB Costi-Ore YtD'!$G:$G,'DB Costi-Ore YtD'!$A:$A,H$1,'DB Costi-Ore YtD'!$B:$B,$A110,'DB Costi-Ore YtD'!$E:$E,$C110)-SUM($D110:G110),0)</f>
        <v>748.58000000000038</v>
      </c>
      <c r="I110">
        <f>IF((I$1*1)&lt;=MAX('DB Costi-Ore YtD'!$A:$A),SUMIFS('DB Costi-Ore YtD'!$G:$G,'DB Costi-Ore YtD'!$A:$A,I$1,'DB Costi-Ore YtD'!$B:$B,$A110,'DB Costi-Ore YtD'!$E:$E,$C110)-SUM($D110:H110),0)</f>
        <v>866.36999999999989</v>
      </c>
      <c r="J110">
        <f>IF((J$1*1)&lt;=MAX('DB Costi-Ore YtD'!$A:$A),SUMIFS('DB Costi-Ore YtD'!$G:$G,'DB Costi-Ore YtD'!$A:$A,J$1,'DB Costi-Ore YtD'!$B:$B,$A110,'DB Costi-Ore YtD'!$E:$E,$C110)-SUM($D110:I110),0)</f>
        <v>0</v>
      </c>
      <c r="K110">
        <f>IF((K$1*1)&lt;=MAX('DB Costi-Ore YtD'!$A:$A),SUMIFS('DB Costi-Ore YtD'!$G:$G,'DB Costi-Ore YtD'!$A:$A,K$1,'DB Costi-Ore YtD'!$B:$B,$A110,'DB Costi-Ore YtD'!$E:$E,$C110)-SUM($D110:J110),0)</f>
        <v>0</v>
      </c>
      <c r="L110">
        <f>IF((L$1*1)&lt;=MAX('DB Costi-Ore YtD'!$A:$A),SUMIFS('DB Costi-Ore YtD'!$G:$G,'DB Costi-Ore YtD'!$A:$A,L$1,'DB Costi-Ore YtD'!$B:$B,$A110,'DB Costi-Ore YtD'!$E:$E,$C110)-SUM($D110:K110),0)</f>
        <v>0</v>
      </c>
      <c r="M110">
        <f>IF((M$1*1)&lt;=MAX('DB Costi-Ore YtD'!$A:$A),SUMIFS('DB Costi-Ore YtD'!$G:$G,'DB Costi-Ore YtD'!$A:$A,M$1,'DB Costi-Ore YtD'!$B:$B,$A110,'DB Costi-Ore YtD'!$E:$E,$C110)-SUM($D110:L110),0)</f>
        <v>0</v>
      </c>
      <c r="N110">
        <f>IF((N$1*1)&lt;=MAX('DB Costi-Ore YtD'!$A:$A),SUMIFS('DB Costi-Ore YtD'!$G:$G,'DB Costi-Ore YtD'!$A:$A,N$1,'DB Costi-Ore YtD'!$B:$B,$A110,'DB Costi-Ore YtD'!$E:$E,$C110)-SUM($D110:M110),0)</f>
        <v>0</v>
      </c>
      <c r="O110">
        <f>IF((O$1*1)&lt;=MAX('DB Costi-Ore YtD'!$A:$A),SUMIFS('DB Costi-Ore YtD'!$G:$G,'DB Costi-Ore YtD'!$A:$A,O$1,'DB Costi-Ore YtD'!$B:$B,$A110,'DB Costi-Ore YtD'!$E:$E,$C110)-SUM($D110:N110),0)</f>
        <v>0</v>
      </c>
    </row>
    <row r="111" spans="1:15" hidden="1" x14ac:dyDescent="0.3">
      <c r="A111" t="s">
        <v>247</v>
      </c>
      <c r="B111" t="s">
        <v>248</v>
      </c>
      <c r="C111" t="s">
        <v>2</v>
      </c>
      <c r="D111">
        <f>IF((D$1*1)&lt;=MAX('DB Costi-Ore YtD'!$A:$A),SUMIFS('DB Costi-Ore YtD'!$G:$G,'DB Costi-Ore YtD'!$A:$A,D$1,'DB Costi-Ore YtD'!$B:$B,$A111,'DB Costi-Ore YtD'!$E:$E,$C111),0)</f>
        <v>1870.46</v>
      </c>
      <c r="E111">
        <f>IF((E$1*1)&lt;=MAX('DB Costi-Ore YtD'!$A:$A),SUMIFS('DB Costi-Ore YtD'!$G:$G,'DB Costi-Ore YtD'!$A:$A,E$1,'DB Costi-Ore YtD'!$B:$B,$A111,'DB Costi-Ore YtD'!$E:$E,$C111)-SUM($D111:D111),0)</f>
        <v>1626.7399999999998</v>
      </c>
      <c r="F111">
        <f>IF((F$1*1)&lt;=MAX('DB Costi-Ore YtD'!$A:$A),SUMIFS('DB Costi-Ore YtD'!$G:$G,'DB Costi-Ore YtD'!$A:$A,F$1,'DB Costi-Ore YtD'!$B:$B,$A111,'DB Costi-Ore YtD'!$E:$E,$C111)-SUM($D111:E111),0)</f>
        <v>1718.8500000000004</v>
      </c>
      <c r="G111">
        <f>IF((G$1*1)&lt;=MAX('DB Costi-Ore YtD'!$A:$A),SUMIFS('DB Costi-Ore YtD'!$G:$G,'DB Costi-Ore YtD'!$A:$A,G$1,'DB Costi-Ore YtD'!$B:$B,$A111,'DB Costi-Ore YtD'!$E:$E,$C111)-SUM($D111:F111),0)</f>
        <v>1787.63</v>
      </c>
      <c r="H111">
        <f>IF((H$1*1)&lt;=MAX('DB Costi-Ore YtD'!$A:$A),SUMIFS('DB Costi-Ore YtD'!$G:$G,'DB Costi-Ore YtD'!$A:$A,H$1,'DB Costi-Ore YtD'!$B:$B,$A111,'DB Costi-Ore YtD'!$E:$E,$C111)-SUM($D111:G111),0)</f>
        <v>1654.6799999999985</v>
      </c>
      <c r="I111">
        <f>IF((I$1*1)&lt;=MAX('DB Costi-Ore YtD'!$A:$A),SUMIFS('DB Costi-Ore YtD'!$G:$G,'DB Costi-Ore YtD'!$A:$A,I$1,'DB Costi-Ore YtD'!$B:$B,$A111,'DB Costi-Ore YtD'!$E:$E,$C111)-SUM($D111:H111),0)</f>
        <v>1646.7000000000007</v>
      </c>
      <c r="J111">
        <f>IF((J$1*1)&lt;=MAX('DB Costi-Ore YtD'!$A:$A),SUMIFS('DB Costi-Ore YtD'!$G:$G,'DB Costi-Ore YtD'!$A:$A,J$1,'DB Costi-Ore YtD'!$B:$B,$A111,'DB Costi-Ore YtD'!$E:$E,$C111)-SUM($D111:I111),0)</f>
        <v>0</v>
      </c>
      <c r="K111">
        <f>IF((K$1*1)&lt;=MAX('DB Costi-Ore YtD'!$A:$A),SUMIFS('DB Costi-Ore YtD'!$G:$G,'DB Costi-Ore YtD'!$A:$A,K$1,'DB Costi-Ore YtD'!$B:$B,$A111,'DB Costi-Ore YtD'!$E:$E,$C111)-SUM($D111:J111),0)</f>
        <v>0</v>
      </c>
      <c r="L111">
        <f>IF((L$1*1)&lt;=MAX('DB Costi-Ore YtD'!$A:$A),SUMIFS('DB Costi-Ore YtD'!$G:$G,'DB Costi-Ore YtD'!$A:$A,L$1,'DB Costi-Ore YtD'!$B:$B,$A111,'DB Costi-Ore YtD'!$E:$E,$C111)-SUM($D111:K111),0)</f>
        <v>0</v>
      </c>
      <c r="M111">
        <f>IF((M$1*1)&lt;=MAX('DB Costi-Ore YtD'!$A:$A),SUMIFS('DB Costi-Ore YtD'!$G:$G,'DB Costi-Ore YtD'!$A:$A,M$1,'DB Costi-Ore YtD'!$B:$B,$A111,'DB Costi-Ore YtD'!$E:$E,$C111)-SUM($D111:L111),0)</f>
        <v>0</v>
      </c>
      <c r="N111">
        <f>IF((N$1*1)&lt;=MAX('DB Costi-Ore YtD'!$A:$A),SUMIFS('DB Costi-Ore YtD'!$G:$G,'DB Costi-Ore YtD'!$A:$A,N$1,'DB Costi-Ore YtD'!$B:$B,$A111,'DB Costi-Ore YtD'!$E:$E,$C111)-SUM($D111:M111),0)</f>
        <v>0</v>
      </c>
      <c r="O111">
        <f>IF((O$1*1)&lt;=MAX('DB Costi-Ore YtD'!$A:$A),SUMIFS('DB Costi-Ore YtD'!$G:$G,'DB Costi-Ore YtD'!$A:$A,O$1,'DB Costi-Ore YtD'!$B:$B,$A111,'DB Costi-Ore YtD'!$E:$E,$C111)-SUM($D111:N111),0)</f>
        <v>0</v>
      </c>
    </row>
    <row r="112" spans="1:15" hidden="1" x14ac:dyDescent="0.3">
      <c r="A112" t="s">
        <v>249</v>
      </c>
      <c r="B112" t="s">
        <v>250</v>
      </c>
      <c r="C112" t="s">
        <v>2</v>
      </c>
      <c r="D112">
        <f>IF((D$1*1)&lt;=MAX('DB Costi-Ore YtD'!$A:$A),SUMIFS('DB Costi-Ore YtD'!$G:$G,'DB Costi-Ore YtD'!$A:$A,D$1,'DB Costi-Ore YtD'!$B:$B,$A112,'DB Costi-Ore YtD'!$E:$E,$C112),0)</f>
        <v>2199.1799999999998</v>
      </c>
      <c r="E112">
        <f>IF((E$1*1)&lt;=MAX('DB Costi-Ore YtD'!$A:$A),SUMIFS('DB Costi-Ore YtD'!$G:$G,'DB Costi-Ore YtD'!$A:$A,E$1,'DB Costi-Ore YtD'!$B:$B,$A112,'DB Costi-Ore YtD'!$E:$E,$C112)-SUM($D112:D112),0)</f>
        <v>2000.6600000000003</v>
      </c>
      <c r="F112">
        <f>IF((F$1*1)&lt;=MAX('DB Costi-Ore YtD'!$A:$A),SUMIFS('DB Costi-Ore YtD'!$G:$G,'DB Costi-Ore YtD'!$A:$A,F$1,'DB Costi-Ore YtD'!$B:$B,$A112,'DB Costi-Ore YtD'!$E:$E,$C112)-SUM($D112:E112),0)</f>
        <v>2471.54</v>
      </c>
      <c r="G112">
        <f>IF((G$1*1)&lt;=MAX('DB Costi-Ore YtD'!$A:$A),SUMIFS('DB Costi-Ore YtD'!$G:$G,'DB Costi-Ore YtD'!$A:$A,G$1,'DB Costi-Ore YtD'!$B:$B,$A112,'DB Costi-Ore YtD'!$E:$E,$C112)-SUM($D112:F112),0)</f>
        <v>2701.9800000000005</v>
      </c>
      <c r="H112">
        <f>IF((H$1*1)&lt;=MAX('DB Costi-Ore YtD'!$A:$A),SUMIFS('DB Costi-Ore YtD'!$G:$G,'DB Costi-Ore YtD'!$A:$A,H$1,'DB Costi-Ore YtD'!$B:$B,$A112,'DB Costi-Ore YtD'!$E:$E,$C112)-SUM($D112:G112),0)</f>
        <v>2282.9500000000007</v>
      </c>
      <c r="I112">
        <f>IF((I$1*1)&lt;=MAX('DB Costi-Ore YtD'!$A:$A),SUMIFS('DB Costi-Ore YtD'!$G:$G,'DB Costi-Ore YtD'!$A:$A,I$1,'DB Costi-Ore YtD'!$B:$B,$A112,'DB Costi-Ore YtD'!$E:$E,$C112)-SUM($D112:H112),0)</f>
        <v>2320.5599999999995</v>
      </c>
      <c r="J112">
        <f>IF((J$1*1)&lt;=MAX('DB Costi-Ore YtD'!$A:$A),SUMIFS('DB Costi-Ore YtD'!$G:$G,'DB Costi-Ore YtD'!$A:$A,J$1,'DB Costi-Ore YtD'!$B:$B,$A112,'DB Costi-Ore YtD'!$E:$E,$C112)-SUM($D112:I112),0)</f>
        <v>0</v>
      </c>
      <c r="K112">
        <f>IF((K$1*1)&lt;=MAX('DB Costi-Ore YtD'!$A:$A),SUMIFS('DB Costi-Ore YtD'!$G:$G,'DB Costi-Ore YtD'!$A:$A,K$1,'DB Costi-Ore YtD'!$B:$B,$A112,'DB Costi-Ore YtD'!$E:$E,$C112)-SUM($D112:J112),0)</f>
        <v>0</v>
      </c>
      <c r="L112">
        <f>IF((L$1*1)&lt;=MAX('DB Costi-Ore YtD'!$A:$A),SUMIFS('DB Costi-Ore YtD'!$G:$G,'DB Costi-Ore YtD'!$A:$A,L$1,'DB Costi-Ore YtD'!$B:$B,$A112,'DB Costi-Ore YtD'!$E:$E,$C112)-SUM($D112:K112),0)</f>
        <v>0</v>
      </c>
      <c r="M112">
        <f>IF((M$1*1)&lt;=MAX('DB Costi-Ore YtD'!$A:$A),SUMIFS('DB Costi-Ore YtD'!$G:$G,'DB Costi-Ore YtD'!$A:$A,M$1,'DB Costi-Ore YtD'!$B:$B,$A112,'DB Costi-Ore YtD'!$E:$E,$C112)-SUM($D112:L112),0)</f>
        <v>0</v>
      </c>
      <c r="N112">
        <f>IF((N$1*1)&lt;=MAX('DB Costi-Ore YtD'!$A:$A),SUMIFS('DB Costi-Ore YtD'!$G:$G,'DB Costi-Ore YtD'!$A:$A,N$1,'DB Costi-Ore YtD'!$B:$B,$A112,'DB Costi-Ore YtD'!$E:$E,$C112)-SUM($D112:M112),0)</f>
        <v>0</v>
      </c>
      <c r="O112">
        <f>IF((O$1*1)&lt;=MAX('DB Costi-Ore YtD'!$A:$A),SUMIFS('DB Costi-Ore YtD'!$G:$G,'DB Costi-Ore YtD'!$A:$A,O$1,'DB Costi-Ore YtD'!$B:$B,$A112,'DB Costi-Ore YtD'!$E:$E,$C112)-SUM($D112:N112),0)</f>
        <v>0</v>
      </c>
    </row>
    <row r="113" spans="1:15" hidden="1" x14ac:dyDescent="0.3">
      <c r="A113" t="s">
        <v>251</v>
      </c>
      <c r="B113" t="s">
        <v>252</v>
      </c>
      <c r="C113" t="s">
        <v>2</v>
      </c>
      <c r="D113">
        <f>IF((D$1*1)&lt;=MAX('DB Costi-Ore YtD'!$A:$A),SUMIFS('DB Costi-Ore YtD'!$G:$G,'DB Costi-Ore YtD'!$A:$A,D$1,'DB Costi-Ore YtD'!$B:$B,$A113,'DB Costi-Ore YtD'!$E:$E,$C113),0)</f>
        <v>760.03</v>
      </c>
      <c r="E113">
        <f>IF((E$1*1)&lt;=MAX('DB Costi-Ore YtD'!$A:$A),SUMIFS('DB Costi-Ore YtD'!$G:$G,'DB Costi-Ore YtD'!$A:$A,E$1,'DB Costi-Ore YtD'!$B:$B,$A113,'DB Costi-Ore YtD'!$E:$E,$C113)-SUM($D113:D113),0)</f>
        <v>381.93000000000006</v>
      </c>
      <c r="F113">
        <f>IF((F$1*1)&lt;=MAX('DB Costi-Ore YtD'!$A:$A),SUMIFS('DB Costi-Ore YtD'!$G:$G,'DB Costi-Ore YtD'!$A:$A,F$1,'DB Costi-Ore YtD'!$B:$B,$A113,'DB Costi-Ore YtD'!$E:$E,$C113)-SUM($D113:E113),0)</f>
        <v>689.40999999999985</v>
      </c>
      <c r="G113">
        <f>IF((G$1*1)&lt;=MAX('DB Costi-Ore YtD'!$A:$A),SUMIFS('DB Costi-Ore YtD'!$G:$G,'DB Costi-Ore YtD'!$A:$A,G$1,'DB Costi-Ore YtD'!$B:$B,$A113,'DB Costi-Ore YtD'!$E:$E,$C113)-SUM($D113:F113),0)</f>
        <v>772.61000000000013</v>
      </c>
      <c r="H113">
        <f>IF((H$1*1)&lt;=MAX('DB Costi-Ore YtD'!$A:$A),SUMIFS('DB Costi-Ore YtD'!$G:$G,'DB Costi-Ore YtD'!$A:$A,H$1,'DB Costi-Ore YtD'!$B:$B,$A113,'DB Costi-Ore YtD'!$E:$E,$C113)-SUM($D113:G113),0)</f>
        <v>722.70999999999958</v>
      </c>
      <c r="I113">
        <f>IF((I$1*1)&lt;=MAX('DB Costi-Ore YtD'!$A:$A),SUMIFS('DB Costi-Ore YtD'!$G:$G,'DB Costi-Ore YtD'!$A:$A,I$1,'DB Costi-Ore YtD'!$B:$B,$A113,'DB Costi-Ore YtD'!$E:$E,$C113)-SUM($D113:H113),0)</f>
        <v>842.74000000000069</v>
      </c>
      <c r="J113">
        <f>IF((J$1*1)&lt;=MAX('DB Costi-Ore YtD'!$A:$A),SUMIFS('DB Costi-Ore YtD'!$G:$G,'DB Costi-Ore YtD'!$A:$A,J$1,'DB Costi-Ore YtD'!$B:$B,$A113,'DB Costi-Ore YtD'!$E:$E,$C113)-SUM($D113:I113),0)</f>
        <v>0</v>
      </c>
      <c r="K113">
        <f>IF((K$1*1)&lt;=MAX('DB Costi-Ore YtD'!$A:$A),SUMIFS('DB Costi-Ore YtD'!$G:$G,'DB Costi-Ore YtD'!$A:$A,K$1,'DB Costi-Ore YtD'!$B:$B,$A113,'DB Costi-Ore YtD'!$E:$E,$C113)-SUM($D113:J113),0)</f>
        <v>0</v>
      </c>
      <c r="L113">
        <f>IF((L$1*1)&lt;=MAX('DB Costi-Ore YtD'!$A:$A),SUMIFS('DB Costi-Ore YtD'!$G:$G,'DB Costi-Ore YtD'!$A:$A,L$1,'DB Costi-Ore YtD'!$B:$B,$A113,'DB Costi-Ore YtD'!$E:$E,$C113)-SUM($D113:K113),0)</f>
        <v>0</v>
      </c>
      <c r="M113">
        <f>IF((M$1*1)&lt;=MAX('DB Costi-Ore YtD'!$A:$A),SUMIFS('DB Costi-Ore YtD'!$G:$G,'DB Costi-Ore YtD'!$A:$A,M$1,'DB Costi-Ore YtD'!$B:$B,$A113,'DB Costi-Ore YtD'!$E:$E,$C113)-SUM($D113:L113),0)</f>
        <v>0</v>
      </c>
      <c r="N113">
        <f>IF((N$1*1)&lt;=MAX('DB Costi-Ore YtD'!$A:$A),SUMIFS('DB Costi-Ore YtD'!$G:$G,'DB Costi-Ore YtD'!$A:$A,N$1,'DB Costi-Ore YtD'!$B:$B,$A113,'DB Costi-Ore YtD'!$E:$E,$C113)-SUM($D113:M113),0)</f>
        <v>0</v>
      </c>
      <c r="O113">
        <f>IF((O$1*1)&lt;=MAX('DB Costi-Ore YtD'!$A:$A),SUMIFS('DB Costi-Ore YtD'!$G:$G,'DB Costi-Ore YtD'!$A:$A,O$1,'DB Costi-Ore YtD'!$B:$B,$A113,'DB Costi-Ore YtD'!$E:$E,$C113)-SUM($D113:N113),0)</f>
        <v>0</v>
      </c>
    </row>
    <row r="114" spans="1:15" hidden="1" x14ac:dyDescent="0.3">
      <c r="A114" t="s">
        <v>253</v>
      </c>
      <c r="B114" t="s">
        <v>254</v>
      </c>
      <c r="C114" t="s">
        <v>5</v>
      </c>
      <c r="D114">
        <f>IF((D$1*1)&lt;=MAX('DB Costi-Ore YtD'!$A:$A),SUMIFS('DB Costi-Ore YtD'!$G:$G,'DB Costi-Ore YtD'!$A:$A,D$1,'DB Costi-Ore YtD'!$B:$B,$A114,'DB Costi-Ore YtD'!$E:$E,$C114),0)</f>
        <v>1626.83</v>
      </c>
      <c r="E114">
        <f>IF((E$1*1)&lt;=MAX('DB Costi-Ore YtD'!$A:$A),SUMIFS('DB Costi-Ore YtD'!$G:$G,'DB Costi-Ore YtD'!$A:$A,E$1,'DB Costi-Ore YtD'!$B:$B,$A114,'DB Costi-Ore YtD'!$E:$E,$C114)-SUM($D114:D114),0)</f>
        <v>1618.12</v>
      </c>
      <c r="F114">
        <f>IF((F$1*1)&lt;=MAX('DB Costi-Ore YtD'!$A:$A),SUMIFS('DB Costi-Ore YtD'!$G:$G,'DB Costi-Ore YtD'!$A:$A,F$1,'DB Costi-Ore YtD'!$B:$B,$A114,'DB Costi-Ore YtD'!$E:$E,$C114)-SUM($D114:E114),0)</f>
        <v>1408.0900000000001</v>
      </c>
      <c r="G114">
        <f>IF((G$1*1)&lt;=MAX('DB Costi-Ore YtD'!$A:$A),SUMIFS('DB Costi-Ore YtD'!$G:$G,'DB Costi-Ore YtD'!$A:$A,G$1,'DB Costi-Ore YtD'!$B:$B,$A114,'DB Costi-Ore YtD'!$E:$E,$C114)-SUM($D114:F114),0)</f>
        <v>1489.3000000000002</v>
      </c>
      <c r="H114">
        <f>IF((H$1*1)&lt;=MAX('DB Costi-Ore YtD'!$A:$A),SUMIFS('DB Costi-Ore YtD'!$G:$G,'DB Costi-Ore YtD'!$A:$A,H$1,'DB Costi-Ore YtD'!$B:$B,$A114,'DB Costi-Ore YtD'!$E:$E,$C114)-SUM($D114:G114),0)</f>
        <v>1276.1500000000005</v>
      </c>
      <c r="I114">
        <f>IF((I$1*1)&lt;=MAX('DB Costi-Ore YtD'!$A:$A),SUMIFS('DB Costi-Ore YtD'!$G:$G,'DB Costi-Ore YtD'!$A:$A,I$1,'DB Costi-Ore YtD'!$B:$B,$A114,'DB Costi-Ore YtD'!$E:$E,$C114)-SUM($D114:H114),0)</f>
        <v>1273.2699999999995</v>
      </c>
      <c r="J114">
        <f>IF((J$1*1)&lt;=MAX('DB Costi-Ore YtD'!$A:$A),SUMIFS('DB Costi-Ore YtD'!$G:$G,'DB Costi-Ore YtD'!$A:$A,J$1,'DB Costi-Ore YtD'!$B:$B,$A114,'DB Costi-Ore YtD'!$E:$E,$C114)-SUM($D114:I114),0)</f>
        <v>0</v>
      </c>
      <c r="K114">
        <f>IF((K$1*1)&lt;=MAX('DB Costi-Ore YtD'!$A:$A),SUMIFS('DB Costi-Ore YtD'!$G:$G,'DB Costi-Ore YtD'!$A:$A,K$1,'DB Costi-Ore YtD'!$B:$B,$A114,'DB Costi-Ore YtD'!$E:$E,$C114)-SUM($D114:J114),0)</f>
        <v>0</v>
      </c>
      <c r="L114">
        <f>IF((L$1*1)&lt;=MAX('DB Costi-Ore YtD'!$A:$A),SUMIFS('DB Costi-Ore YtD'!$G:$G,'DB Costi-Ore YtD'!$A:$A,L$1,'DB Costi-Ore YtD'!$B:$B,$A114,'DB Costi-Ore YtD'!$E:$E,$C114)-SUM($D114:K114),0)</f>
        <v>0</v>
      </c>
      <c r="M114">
        <f>IF((M$1*1)&lt;=MAX('DB Costi-Ore YtD'!$A:$A),SUMIFS('DB Costi-Ore YtD'!$G:$G,'DB Costi-Ore YtD'!$A:$A,M$1,'DB Costi-Ore YtD'!$B:$B,$A114,'DB Costi-Ore YtD'!$E:$E,$C114)-SUM($D114:L114),0)</f>
        <v>0</v>
      </c>
      <c r="N114">
        <f>IF((N$1*1)&lt;=MAX('DB Costi-Ore YtD'!$A:$A),SUMIFS('DB Costi-Ore YtD'!$G:$G,'DB Costi-Ore YtD'!$A:$A,N$1,'DB Costi-Ore YtD'!$B:$B,$A114,'DB Costi-Ore YtD'!$E:$E,$C114)-SUM($D114:M114),0)</f>
        <v>0</v>
      </c>
      <c r="O114">
        <f>IF((O$1*1)&lt;=MAX('DB Costi-Ore YtD'!$A:$A),SUMIFS('DB Costi-Ore YtD'!$G:$G,'DB Costi-Ore YtD'!$A:$A,O$1,'DB Costi-Ore YtD'!$B:$B,$A114,'DB Costi-Ore YtD'!$E:$E,$C114)-SUM($D114:N114),0)</f>
        <v>0</v>
      </c>
    </row>
    <row r="115" spans="1:15" hidden="1" x14ac:dyDescent="0.3">
      <c r="A115" t="s">
        <v>255</v>
      </c>
      <c r="B115" t="s">
        <v>256</v>
      </c>
      <c r="C115" t="s">
        <v>5</v>
      </c>
      <c r="D115">
        <f>IF((D$1*1)&lt;=MAX('DB Costi-Ore YtD'!$A:$A),SUMIFS('DB Costi-Ore YtD'!$G:$G,'DB Costi-Ore YtD'!$A:$A,D$1,'DB Costi-Ore YtD'!$B:$B,$A115,'DB Costi-Ore YtD'!$E:$E,$C115),0)</f>
        <v>1044.0200000000002</v>
      </c>
      <c r="E115">
        <f>IF((E$1*1)&lt;=MAX('DB Costi-Ore YtD'!$A:$A),SUMIFS('DB Costi-Ore YtD'!$G:$G,'DB Costi-Ore YtD'!$A:$A,E$1,'DB Costi-Ore YtD'!$B:$B,$A115,'DB Costi-Ore YtD'!$E:$E,$C115)-SUM($D115:D115),0)</f>
        <v>484.44000000000005</v>
      </c>
      <c r="F115">
        <f>IF((F$1*1)&lt;=MAX('DB Costi-Ore YtD'!$A:$A),SUMIFS('DB Costi-Ore YtD'!$G:$G,'DB Costi-Ore YtD'!$A:$A,F$1,'DB Costi-Ore YtD'!$B:$B,$A115,'DB Costi-Ore YtD'!$E:$E,$C115)-SUM($D115:E115),0)</f>
        <v>0</v>
      </c>
      <c r="G115">
        <f>IF((G$1*1)&lt;=MAX('DB Costi-Ore YtD'!$A:$A),SUMIFS('DB Costi-Ore YtD'!$G:$G,'DB Costi-Ore YtD'!$A:$A,G$1,'DB Costi-Ore YtD'!$B:$B,$A115,'DB Costi-Ore YtD'!$E:$E,$C115)-SUM($D115:F115),0)</f>
        <v>0</v>
      </c>
      <c r="H115">
        <f>IF((H$1*1)&lt;=MAX('DB Costi-Ore YtD'!$A:$A),SUMIFS('DB Costi-Ore YtD'!$G:$G,'DB Costi-Ore YtD'!$A:$A,H$1,'DB Costi-Ore YtD'!$B:$B,$A115,'DB Costi-Ore YtD'!$E:$E,$C115)-SUM($D115:G115),0)</f>
        <v>0</v>
      </c>
      <c r="I115">
        <f>IF((I$1*1)&lt;=MAX('DB Costi-Ore YtD'!$A:$A),SUMIFS('DB Costi-Ore YtD'!$G:$G,'DB Costi-Ore YtD'!$A:$A,I$1,'DB Costi-Ore YtD'!$B:$B,$A115,'DB Costi-Ore YtD'!$E:$E,$C115)-SUM($D115:H115),0)</f>
        <v>0</v>
      </c>
      <c r="J115">
        <f>IF((J$1*1)&lt;=MAX('DB Costi-Ore YtD'!$A:$A),SUMIFS('DB Costi-Ore YtD'!$G:$G,'DB Costi-Ore YtD'!$A:$A,J$1,'DB Costi-Ore YtD'!$B:$B,$A115,'DB Costi-Ore YtD'!$E:$E,$C115)-SUM($D115:I115),0)</f>
        <v>0</v>
      </c>
      <c r="K115">
        <f>IF((K$1*1)&lt;=MAX('DB Costi-Ore YtD'!$A:$A),SUMIFS('DB Costi-Ore YtD'!$G:$G,'DB Costi-Ore YtD'!$A:$A,K$1,'DB Costi-Ore YtD'!$B:$B,$A115,'DB Costi-Ore YtD'!$E:$E,$C115)-SUM($D115:J115),0)</f>
        <v>0</v>
      </c>
      <c r="L115">
        <f>IF((L$1*1)&lt;=MAX('DB Costi-Ore YtD'!$A:$A),SUMIFS('DB Costi-Ore YtD'!$G:$G,'DB Costi-Ore YtD'!$A:$A,L$1,'DB Costi-Ore YtD'!$B:$B,$A115,'DB Costi-Ore YtD'!$E:$E,$C115)-SUM($D115:K115),0)</f>
        <v>0</v>
      </c>
      <c r="M115">
        <f>IF((M$1*1)&lt;=MAX('DB Costi-Ore YtD'!$A:$A),SUMIFS('DB Costi-Ore YtD'!$G:$G,'DB Costi-Ore YtD'!$A:$A,M$1,'DB Costi-Ore YtD'!$B:$B,$A115,'DB Costi-Ore YtD'!$E:$E,$C115)-SUM($D115:L115),0)</f>
        <v>0</v>
      </c>
      <c r="N115">
        <f>IF((N$1*1)&lt;=MAX('DB Costi-Ore YtD'!$A:$A),SUMIFS('DB Costi-Ore YtD'!$G:$G,'DB Costi-Ore YtD'!$A:$A,N$1,'DB Costi-Ore YtD'!$B:$B,$A115,'DB Costi-Ore YtD'!$E:$E,$C115)-SUM($D115:M115),0)</f>
        <v>0</v>
      </c>
      <c r="O115">
        <f>IF((O$1*1)&lt;=MAX('DB Costi-Ore YtD'!$A:$A),SUMIFS('DB Costi-Ore YtD'!$G:$G,'DB Costi-Ore YtD'!$A:$A,O$1,'DB Costi-Ore YtD'!$B:$B,$A115,'DB Costi-Ore YtD'!$E:$E,$C115)-SUM($D115:N115),0)</f>
        <v>0</v>
      </c>
    </row>
    <row r="116" spans="1:15" hidden="1" x14ac:dyDescent="0.3">
      <c r="A116" t="s">
        <v>257</v>
      </c>
      <c r="B116" t="s">
        <v>258</v>
      </c>
      <c r="C116" t="s">
        <v>5</v>
      </c>
      <c r="D116">
        <f>IF((D$1*1)&lt;=MAX('DB Costi-Ore YtD'!$A:$A),SUMIFS('DB Costi-Ore YtD'!$G:$G,'DB Costi-Ore YtD'!$A:$A,D$1,'DB Costi-Ore YtD'!$B:$B,$A116,'DB Costi-Ore YtD'!$E:$E,$C116),0)</f>
        <v>0</v>
      </c>
      <c r="E116">
        <f>IF((E$1*1)&lt;=MAX('DB Costi-Ore YtD'!$A:$A),SUMIFS('DB Costi-Ore YtD'!$G:$G,'DB Costi-Ore YtD'!$A:$A,E$1,'DB Costi-Ore YtD'!$B:$B,$A116,'DB Costi-Ore YtD'!$E:$E,$C116)-SUM($D116:D116),0)</f>
        <v>1.7400000000000091</v>
      </c>
      <c r="F116">
        <f>IF((F$1*1)&lt;=MAX('DB Costi-Ore YtD'!$A:$A),SUMIFS('DB Costi-Ore YtD'!$G:$G,'DB Costi-Ore YtD'!$A:$A,F$1,'DB Costi-Ore YtD'!$B:$B,$A116,'DB Costi-Ore YtD'!$E:$E,$C116)-SUM($D116:E116),0)</f>
        <v>0.5</v>
      </c>
      <c r="G116">
        <f>IF((G$1*1)&lt;=MAX('DB Costi-Ore YtD'!$A:$A),SUMIFS('DB Costi-Ore YtD'!$G:$G,'DB Costi-Ore YtD'!$A:$A,G$1,'DB Costi-Ore YtD'!$B:$B,$A116,'DB Costi-Ore YtD'!$E:$E,$C116)-SUM($D116:F116),0)</f>
        <v>0</v>
      </c>
      <c r="H116">
        <f>IF((H$1*1)&lt;=MAX('DB Costi-Ore YtD'!$A:$A),SUMIFS('DB Costi-Ore YtD'!$G:$G,'DB Costi-Ore YtD'!$A:$A,H$1,'DB Costi-Ore YtD'!$B:$B,$A116,'DB Costi-Ore YtD'!$E:$E,$C116)-SUM($D116:G116),0)</f>
        <v>0</v>
      </c>
      <c r="I116">
        <f>IF((I$1*1)&lt;=MAX('DB Costi-Ore YtD'!$A:$A),SUMIFS('DB Costi-Ore YtD'!$G:$G,'DB Costi-Ore YtD'!$A:$A,I$1,'DB Costi-Ore YtD'!$B:$B,$A116,'DB Costi-Ore YtD'!$E:$E,$C116)-SUM($D116:H116),0)</f>
        <v>0</v>
      </c>
      <c r="J116">
        <f>IF((J$1*1)&lt;=MAX('DB Costi-Ore YtD'!$A:$A),SUMIFS('DB Costi-Ore YtD'!$G:$G,'DB Costi-Ore YtD'!$A:$A,J$1,'DB Costi-Ore YtD'!$B:$B,$A116,'DB Costi-Ore YtD'!$E:$E,$C116)-SUM($D116:I116),0)</f>
        <v>0</v>
      </c>
      <c r="K116">
        <f>IF((K$1*1)&lt;=MAX('DB Costi-Ore YtD'!$A:$A),SUMIFS('DB Costi-Ore YtD'!$G:$G,'DB Costi-Ore YtD'!$A:$A,K$1,'DB Costi-Ore YtD'!$B:$B,$A116,'DB Costi-Ore YtD'!$E:$E,$C116)-SUM($D116:J116),0)</f>
        <v>0</v>
      </c>
      <c r="L116">
        <f>IF((L$1*1)&lt;=MAX('DB Costi-Ore YtD'!$A:$A),SUMIFS('DB Costi-Ore YtD'!$G:$G,'DB Costi-Ore YtD'!$A:$A,L$1,'DB Costi-Ore YtD'!$B:$B,$A116,'DB Costi-Ore YtD'!$E:$E,$C116)-SUM($D116:K116),0)</f>
        <v>0</v>
      </c>
      <c r="M116">
        <f>IF((M$1*1)&lt;=MAX('DB Costi-Ore YtD'!$A:$A),SUMIFS('DB Costi-Ore YtD'!$G:$G,'DB Costi-Ore YtD'!$A:$A,M$1,'DB Costi-Ore YtD'!$B:$B,$A116,'DB Costi-Ore YtD'!$E:$E,$C116)-SUM($D116:L116),0)</f>
        <v>0</v>
      </c>
      <c r="N116">
        <f>IF((N$1*1)&lt;=MAX('DB Costi-Ore YtD'!$A:$A),SUMIFS('DB Costi-Ore YtD'!$G:$G,'DB Costi-Ore YtD'!$A:$A,N$1,'DB Costi-Ore YtD'!$B:$B,$A116,'DB Costi-Ore YtD'!$E:$E,$C116)-SUM($D116:M116),0)</f>
        <v>0</v>
      </c>
      <c r="O116">
        <f>IF((O$1*1)&lt;=MAX('DB Costi-Ore YtD'!$A:$A),SUMIFS('DB Costi-Ore YtD'!$G:$G,'DB Costi-Ore YtD'!$A:$A,O$1,'DB Costi-Ore YtD'!$B:$B,$A116,'DB Costi-Ore YtD'!$E:$E,$C116)-SUM($D116:N116),0)</f>
        <v>0</v>
      </c>
    </row>
    <row r="117" spans="1:15" hidden="1" x14ac:dyDescent="0.3">
      <c r="A117" t="s">
        <v>259</v>
      </c>
      <c r="B117" t="s">
        <v>260</v>
      </c>
      <c r="C117" t="s">
        <v>2</v>
      </c>
      <c r="D117">
        <f>IF((D$1*1)&lt;=MAX('DB Costi-Ore YtD'!$A:$A),SUMIFS('DB Costi-Ore YtD'!$G:$G,'DB Costi-Ore YtD'!$A:$A,D$1,'DB Costi-Ore YtD'!$B:$B,$A117,'DB Costi-Ore YtD'!$E:$E,$C117),0)</f>
        <v>1661.2299999999998</v>
      </c>
      <c r="E117">
        <f>IF((E$1*1)&lt;=MAX('DB Costi-Ore YtD'!$A:$A),SUMIFS('DB Costi-Ore YtD'!$G:$G,'DB Costi-Ore YtD'!$A:$A,E$1,'DB Costi-Ore YtD'!$B:$B,$A117,'DB Costi-Ore YtD'!$E:$E,$C117)-SUM($D117:D117),0)</f>
        <v>1679.47</v>
      </c>
      <c r="F117">
        <f>IF((F$1*1)&lt;=MAX('DB Costi-Ore YtD'!$A:$A),SUMIFS('DB Costi-Ore YtD'!$G:$G,'DB Costi-Ore YtD'!$A:$A,F$1,'DB Costi-Ore YtD'!$B:$B,$A117,'DB Costi-Ore YtD'!$E:$E,$C117)-SUM($D117:E117),0)</f>
        <v>1642.04</v>
      </c>
      <c r="G117">
        <f>IF((G$1*1)&lt;=MAX('DB Costi-Ore YtD'!$A:$A),SUMIFS('DB Costi-Ore YtD'!$G:$G,'DB Costi-Ore YtD'!$A:$A,G$1,'DB Costi-Ore YtD'!$B:$B,$A117,'DB Costi-Ore YtD'!$E:$E,$C117)-SUM($D117:F117),0)</f>
        <v>2527.1800000000012</v>
      </c>
      <c r="H117">
        <f>IF((H$1*1)&lt;=MAX('DB Costi-Ore YtD'!$A:$A),SUMIFS('DB Costi-Ore YtD'!$G:$G,'DB Costi-Ore YtD'!$A:$A,H$1,'DB Costi-Ore YtD'!$B:$B,$A117,'DB Costi-Ore YtD'!$E:$E,$C117)-SUM($D117:G117),0)</f>
        <v>1924.37</v>
      </c>
      <c r="I117">
        <f>IF((I$1*1)&lt;=MAX('DB Costi-Ore YtD'!$A:$A),SUMIFS('DB Costi-Ore YtD'!$G:$G,'DB Costi-Ore YtD'!$A:$A,I$1,'DB Costi-Ore YtD'!$B:$B,$A117,'DB Costi-Ore YtD'!$E:$E,$C117)-SUM($D117:H117),0)</f>
        <v>1867.4200000000019</v>
      </c>
      <c r="J117">
        <f>IF((J$1*1)&lt;=MAX('DB Costi-Ore YtD'!$A:$A),SUMIFS('DB Costi-Ore YtD'!$G:$G,'DB Costi-Ore YtD'!$A:$A,J$1,'DB Costi-Ore YtD'!$B:$B,$A117,'DB Costi-Ore YtD'!$E:$E,$C117)-SUM($D117:I117),0)</f>
        <v>0</v>
      </c>
      <c r="K117">
        <f>IF((K$1*1)&lt;=MAX('DB Costi-Ore YtD'!$A:$A),SUMIFS('DB Costi-Ore YtD'!$G:$G,'DB Costi-Ore YtD'!$A:$A,K$1,'DB Costi-Ore YtD'!$B:$B,$A117,'DB Costi-Ore YtD'!$E:$E,$C117)-SUM($D117:J117),0)</f>
        <v>0</v>
      </c>
      <c r="L117">
        <f>IF((L$1*1)&lt;=MAX('DB Costi-Ore YtD'!$A:$A),SUMIFS('DB Costi-Ore YtD'!$G:$G,'DB Costi-Ore YtD'!$A:$A,L$1,'DB Costi-Ore YtD'!$B:$B,$A117,'DB Costi-Ore YtD'!$E:$E,$C117)-SUM($D117:K117),0)</f>
        <v>0</v>
      </c>
      <c r="M117">
        <f>IF((M$1*1)&lt;=MAX('DB Costi-Ore YtD'!$A:$A),SUMIFS('DB Costi-Ore YtD'!$G:$G,'DB Costi-Ore YtD'!$A:$A,M$1,'DB Costi-Ore YtD'!$B:$B,$A117,'DB Costi-Ore YtD'!$E:$E,$C117)-SUM($D117:L117),0)</f>
        <v>0</v>
      </c>
      <c r="N117">
        <f>IF((N$1*1)&lt;=MAX('DB Costi-Ore YtD'!$A:$A),SUMIFS('DB Costi-Ore YtD'!$G:$G,'DB Costi-Ore YtD'!$A:$A,N$1,'DB Costi-Ore YtD'!$B:$B,$A117,'DB Costi-Ore YtD'!$E:$E,$C117)-SUM($D117:M117),0)</f>
        <v>0</v>
      </c>
      <c r="O117">
        <f>IF((O$1*1)&lt;=MAX('DB Costi-Ore YtD'!$A:$A),SUMIFS('DB Costi-Ore YtD'!$G:$G,'DB Costi-Ore YtD'!$A:$A,O$1,'DB Costi-Ore YtD'!$B:$B,$A117,'DB Costi-Ore YtD'!$E:$E,$C117)-SUM($D117:N117),0)</f>
        <v>0</v>
      </c>
    </row>
    <row r="118" spans="1:15" x14ac:dyDescent="0.3">
      <c r="A118" t="s">
        <v>261</v>
      </c>
      <c r="B118" t="s">
        <v>262</v>
      </c>
      <c r="C118" t="s">
        <v>13</v>
      </c>
      <c r="D118">
        <f>IF((D$1*1)&lt;=MAX('DB Costi-Ore YtD'!$A:$A),SUMIFS('DB Costi-Ore YtD'!$G:$G,'DB Costi-Ore YtD'!$A:$A,D$1,'DB Costi-Ore YtD'!$B:$B,$A118,'DB Costi-Ore YtD'!$E:$E,$C118),0)</f>
        <v>1513.4799999999998</v>
      </c>
      <c r="E118">
        <f>IF((E$1*1)&lt;=MAX('DB Costi-Ore YtD'!$A:$A),SUMIFS('DB Costi-Ore YtD'!$G:$G,'DB Costi-Ore YtD'!$A:$A,E$1,'DB Costi-Ore YtD'!$B:$B,$A118,'DB Costi-Ore YtD'!$E:$E,$C118)-SUM($D118:D118),0)</f>
        <v>995.77000000000021</v>
      </c>
      <c r="F118">
        <f>IF((F$1*1)&lt;=MAX('DB Costi-Ore YtD'!$A:$A),SUMIFS('DB Costi-Ore YtD'!$G:$G,'DB Costi-Ore YtD'!$A:$A,F$1,'DB Costi-Ore YtD'!$B:$B,$A118,'DB Costi-Ore YtD'!$E:$E,$C118)-SUM($D118:E118),0)</f>
        <v>0</v>
      </c>
      <c r="G118">
        <f>IF((G$1*1)&lt;=MAX('DB Costi-Ore YtD'!$A:$A),SUMIFS('DB Costi-Ore YtD'!$G:$G,'DB Costi-Ore YtD'!$A:$A,G$1,'DB Costi-Ore YtD'!$B:$B,$A118,'DB Costi-Ore YtD'!$E:$E,$C118)-SUM($D118:F118),0)</f>
        <v>0</v>
      </c>
      <c r="H118">
        <f>IF((H$1*1)&lt;=MAX('DB Costi-Ore YtD'!$A:$A),SUMIFS('DB Costi-Ore YtD'!$G:$G,'DB Costi-Ore YtD'!$A:$A,H$1,'DB Costi-Ore YtD'!$B:$B,$A118,'DB Costi-Ore YtD'!$E:$E,$C118)-SUM($D118:G118),0)</f>
        <v>0</v>
      </c>
      <c r="I118">
        <f>IF((I$1*1)&lt;=MAX('DB Costi-Ore YtD'!$A:$A),SUMIFS('DB Costi-Ore YtD'!$G:$G,'DB Costi-Ore YtD'!$A:$A,I$1,'DB Costi-Ore YtD'!$B:$B,$A118,'DB Costi-Ore YtD'!$E:$E,$C118)-SUM($D118:H118),0)</f>
        <v>0</v>
      </c>
      <c r="J118">
        <f>IF((J$1*1)&lt;=MAX('DB Costi-Ore YtD'!$A:$A),SUMIFS('DB Costi-Ore YtD'!$G:$G,'DB Costi-Ore YtD'!$A:$A,J$1,'DB Costi-Ore YtD'!$B:$B,$A118,'DB Costi-Ore YtD'!$E:$E,$C118)-SUM($D118:I118),0)</f>
        <v>0</v>
      </c>
      <c r="K118">
        <f>IF((K$1*1)&lt;=MAX('DB Costi-Ore YtD'!$A:$A),SUMIFS('DB Costi-Ore YtD'!$G:$G,'DB Costi-Ore YtD'!$A:$A,K$1,'DB Costi-Ore YtD'!$B:$B,$A118,'DB Costi-Ore YtD'!$E:$E,$C118)-SUM($D118:J118),0)</f>
        <v>0</v>
      </c>
      <c r="L118">
        <f>IF((L$1*1)&lt;=MAX('DB Costi-Ore YtD'!$A:$A),SUMIFS('DB Costi-Ore YtD'!$G:$G,'DB Costi-Ore YtD'!$A:$A,L$1,'DB Costi-Ore YtD'!$B:$B,$A118,'DB Costi-Ore YtD'!$E:$E,$C118)-SUM($D118:K118),0)</f>
        <v>0</v>
      </c>
      <c r="M118">
        <f>IF((M$1*1)&lt;=MAX('DB Costi-Ore YtD'!$A:$A),SUMIFS('DB Costi-Ore YtD'!$G:$G,'DB Costi-Ore YtD'!$A:$A,M$1,'DB Costi-Ore YtD'!$B:$B,$A118,'DB Costi-Ore YtD'!$E:$E,$C118)-SUM($D118:L118),0)</f>
        <v>0</v>
      </c>
      <c r="N118">
        <f>IF((N$1*1)&lt;=MAX('DB Costi-Ore YtD'!$A:$A),SUMIFS('DB Costi-Ore YtD'!$G:$G,'DB Costi-Ore YtD'!$A:$A,N$1,'DB Costi-Ore YtD'!$B:$B,$A118,'DB Costi-Ore YtD'!$E:$E,$C118)-SUM($D118:M118),0)</f>
        <v>0</v>
      </c>
      <c r="O118">
        <f>IF((O$1*1)&lt;=MAX('DB Costi-Ore YtD'!$A:$A),SUMIFS('DB Costi-Ore YtD'!$G:$G,'DB Costi-Ore YtD'!$A:$A,O$1,'DB Costi-Ore YtD'!$B:$B,$A118,'DB Costi-Ore YtD'!$E:$E,$C118)-SUM($D118:N118),0)</f>
        <v>0</v>
      </c>
    </row>
    <row r="119" spans="1:15" hidden="1" x14ac:dyDescent="0.3">
      <c r="A119" t="s">
        <v>263</v>
      </c>
      <c r="B119" t="s">
        <v>264</v>
      </c>
      <c r="C119" t="s">
        <v>2</v>
      </c>
      <c r="D119">
        <f>IF((D$1*1)&lt;=MAX('DB Costi-Ore YtD'!$A:$A),SUMIFS('DB Costi-Ore YtD'!$G:$G,'DB Costi-Ore YtD'!$A:$A,D$1,'DB Costi-Ore YtD'!$B:$B,$A119,'DB Costi-Ore YtD'!$E:$E,$C119),0)</f>
        <v>1410.89</v>
      </c>
      <c r="E119">
        <f>IF((E$1*1)&lt;=MAX('DB Costi-Ore YtD'!$A:$A),SUMIFS('DB Costi-Ore YtD'!$G:$G,'DB Costi-Ore YtD'!$A:$A,E$1,'DB Costi-Ore YtD'!$B:$B,$A119,'DB Costi-Ore YtD'!$E:$E,$C119)-SUM($D119:D119),0)</f>
        <v>1217.0899999999999</v>
      </c>
      <c r="F119">
        <f>IF((F$1*1)&lt;=MAX('DB Costi-Ore YtD'!$A:$A),SUMIFS('DB Costi-Ore YtD'!$G:$G,'DB Costi-Ore YtD'!$A:$A,F$1,'DB Costi-Ore YtD'!$B:$B,$A119,'DB Costi-Ore YtD'!$E:$E,$C119)-SUM($D119:E119),0)</f>
        <v>1339.6800000000003</v>
      </c>
      <c r="G119">
        <f>IF((G$1*1)&lt;=MAX('DB Costi-Ore YtD'!$A:$A),SUMIFS('DB Costi-Ore YtD'!$G:$G,'DB Costi-Ore YtD'!$A:$A,G$1,'DB Costi-Ore YtD'!$B:$B,$A119,'DB Costi-Ore YtD'!$E:$E,$C119)-SUM($D119:F119),0)</f>
        <v>1336.5499999999997</v>
      </c>
      <c r="H119">
        <f>IF((H$1*1)&lt;=MAX('DB Costi-Ore YtD'!$A:$A),SUMIFS('DB Costi-Ore YtD'!$G:$G,'DB Costi-Ore YtD'!$A:$A,H$1,'DB Costi-Ore YtD'!$B:$B,$A119,'DB Costi-Ore YtD'!$E:$E,$C119)-SUM($D119:G119),0)</f>
        <v>1310.6099999999997</v>
      </c>
      <c r="I119">
        <f>IF((I$1*1)&lt;=MAX('DB Costi-Ore YtD'!$A:$A),SUMIFS('DB Costi-Ore YtD'!$G:$G,'DB Costi-Ore YtD'!$A:$A,I$1,'DB Costi-Ore YtD'!$B:$B,$A119,'DB Costi-Ore YtD'!$E:$E,$C119)-SUM($D119:H119),0)</f>
        <v>1369.79</v>
      </c>
      <c r="J119">
        <f>IF((J$1*1)&lt;=MAX('DB Costi-Ore YtD'!$A:$A),SUMIFS('DB Costi-Ore YtD'!$G:$G,'DB Costi-Ore YtD'!$A:$A,J$1,'DB Costi-Ore YtD'!$B:$B,$A119,'DB Costi-Ore YtD'!$E:$E,$C119)-SUM($D119:I119),0)</f>
        <v>0</v>
      </c>
      <c r="K119">
        <f>IF((K$1*1)&lt;=MAX('DB Costi-Ore YtD'!$A:$A),SUMIFS('DB Costi-Ore YtD'!$G:$G,'DB Costi-Ore YtD'!$A:$A,K$1,'DB Costi-Ore YtD'!$B:$B,$A119,'DB Costi-Ore YtD'!$E:$E,$C119)-SUM($D119:J119),0)</f>
        <v>0</v>
      </c>
      <c r="L119">
        <f>IF((L$1*1)&lt;=MAX('DB Costi-Ore YtD'!$A:$A),SUMIFS('DB Costi-Ore YtD'!$G:$G,'DB Costi-Ore YtD'!$A:$A,L$1,'DB Costi-Ore YtD'!$B:$B,$A119,'DB Costi-Ore YtD'!$E:$E,$C119)-SUM($D119:K119),0)</f>
        <v>0</v>
      </c>
      <c r="M119">
        <f>IF((M$1*1)&lt;=MAX('DB Costi-Ore YtD'!$A:$A),SUMIFS('DB Costi-Ore YtD'!$G:$G,'DB Costi-Ore YtD'!$A:$A,M$1,'DB Costi-Ore YtD'!$B:$B,$A119,'DB Costi-Ore YtD'!$E:$E,$C119)-SUM($D119:L119),0)</f>
        <v>0</v>
      </c>
      <c r="N119">
        <f>IF((N$1*1)&lt;=MAX('DB Costi-Ore YtD'!$A:$A),SUMIFS('DB Costi-Ore YtD'!$G:$G,'DB Costi-Ore YtD'!$A:$A,N$1,'DB Costi-Ore YtD'!$B:$B,$A119,'DB Costi-Ore YtD'!$E:$E,$C119)-SUM($D119:M119),0)</f>
        <v>0</v>
      </c>
      <c r="O119">
        <f>IF((O$1*1)&lt;=MAX('DB Costi-Ore YtD'!$A:$A),SUMIFS('DB Costi-Ore YtD'!$G:$G,'DB Costi-Ore YtD'!$A:$A,O$1,'DB Costi-Ore YtD'!$B:$B,$A119,'DB Costi-Ore YtD'!$E:$E,$C119)-SUM($D119:N119),0)</f>
        <v>0</v>
      </c>
    </row>
    <row r="120" spans="1:15" hidden="1" x14ac:dyDescent="0.3">
      <c r="A120" t="s">
        <v>265</v>
      </c>
      <c r="B120" t="s">
        <v>266</v>
      </c>
      <c r="C120" t="s">
        <v>7</v>
      </c>
      <c r="D120">
        <f>IF((D$1*1)&lt;=MAX('DB Costi-Ore YtD'!$A:$A),SUMIFS('DB Costi-Ore YtD'!$G:$G,'DB Costi-Ore YtD'!$A:$A,D$1,'DB Costi-Ore YtD'!$B:$B,$A120,'DB Costi-Ore YtD'!$E:$E,$C120),0)</f>
        <v>5476.56</v>
      </c>
      <c r="E120">
        <f>IF((E$1*1)&lt;=MAX('DB Costi-Ore YtD'!$A:$A),SUMIFS('DB Costi-Ore YtD'!$G:$G,'DB Costi-Ore YtD'!$A:$A,E$1,'DB Costi-Ore YtD'!$B:$B,$A120,'DB Costi-Ore YtD'!$E:$E,$C120)-SUM($D120:D120),0)</f>
        <v>5491.5999999999995</v>
      </c>
      <c r="F120">
        <f>IF((F$1*1)&lt;=MAX('DB Costi-Ore YtD'!$A:$A),SUMIFS('DB Costi-Ore YtD'!$G:$G,'DB Costi-Ore YtD'!$A:$A,F$1,'DB Costi-Ore YtD'!$B:$B,$A120,'DB Costi-Ore YtD'!$E:$E,$C120)-SUM($D120:E120),0)</f>
        <v>5144.0999999999985</v>
      </c>
      <c r="G120">
        <f>IF((G$1*1)&lt;=MAX('DB Costi-Ore YtD'!$A:$A),SUMIFS('DB Costi-Ore YtD'!$G:$G,'DB Costi-Ore YtD'!$A:$A,G$1,'DB Costi-Ore YtD'!$B:$B,$A120,'DB Costi-Ore YtD'!$E:$E,$C120)-SUM($D120:F120),0)</f>
        <v>7877.4600000000028</v>
      </c>
      <c r="H120">
        <f>IF((H$1*1)&lt;=MAX('DB Costi-Ore YtD'!$A:$A),SUMIFS('DB Costi-Ore YtD'!$G:$G,'DB Costi-Ore YtD'!$A:$A,H$1,'DB Costi-Ore YtD'!$B:$B,$A120,'DB Costi-Ore YtD'!$E:$E,$C120)-SUM($D120:G120),0)</f>
        <v>5599.9699999999939</v>
      </c>
      <c r="I120">
        <f>IF((I$1*1)&lt;=MAX('DB Costi-Ore YtD'!$A:$A),SUMIFS('DB Costi-Ore YtD'!$G:$G,'DB Costi-Ore YtD'!$A:$A,I$1,'DB Costi-Ore YtD'!$B:$B,$A120,'DB Costi-Ore YtD'!$E:$E,$C120)-SUM($D120:H120),0)</f>
        <v>5125.2200000000084</v>
      </c>
      <c r="J120">
        <f>IF((J$1*1)&lt;=MAX('DB Costi-Ore YtD'!$A:$A),SUMIFS('DB Costi-Ore YtD'!$G:$G,'DB Costi-Ore YtD'!$A:$A,J$1,'DB Costi-Ore YtD'!$B:$B,$A120,'DB Costi-Ore YtD'!$E:$E,$C120)-SUM($D120:I120),0)</f>
        <v>0</v>
      </c>
      <c r="K120">
        <f>IF((K$1*1)&lt;=MAX('DB Costi-Ore YtD'!$A:$A),SUMIFS('DB Costi-Ore YtD'!$G:$G,'DB Costi-Ore YtD'!$A:$A,K$1,'DB Costi-Ore YtD'!$B:$B,$A120,'DB Costi-Ore YtD'!$E:$E,$C120)-SUM($D120:J120),0)</f>
        <v>0</v>
      </c>
      <c r="L120">
        <f>IF((L$1*1)&lt;=MAX('DB Costi-Ore YtD'!$A:$A),SUMIFS('DB Costi-Ore YtD'!$G:$G,'DB Costi-Ore YtD'!$A:$A,L$1,'DB Costi-Ore YtD'!$B:$B,$A120,'DB Costi-Ore YtD'!$E:$E,$C120)-SUM($D120:K120),0)</f>
        <v>0</v>
      </c>
      <c r="M120">
        <f>IF((M$1*1)&lt;=MAX('DB Costi-Ore YtD'!$A:$A),SUMIFS('DB Costi-Ore YtD'!$G:$G,'DB Costi-Ore YtD'!$A:$A,M$1,'DB Costi-Ore YtD'!$B:$B,$A120,'DB Costi-Ore YtD'!$E:$E,$C120)-SUM($D120:L120),0)</f>
        <v>0</v>
      </c>
      <c r="N120">
        <f>IF((N$1*1)&lt;=MAX('DB Costi-Ore YtD'!$A:$A),SUMIFS('DB Costi-Ore YtD'!$G:$G,'DB Costi-Ore YtD'!$A:$A,N$1,'DB Costi-Ore YtD'!$B:$B,$A120,'DB Costi-Ore YtD'!$E:$E,$C120)-SUM($D120:M120),0)</f>
        <v>0</v>
      </c>
      <c r="O120">
        <f>IF((O$1*1)&lt;=MAX('DB Costi-Ore YtD'!$A:$A),SUMIFS('DB Costi-Ore YtD'!$G:$G,'DB Costi-Ore YtD'!$A:$A,O$1,'DB Costi-Ore YtD'!$B:$B,$A120,'DB Costi-Ore YtD'!$E:$E,$C120)-SUM($D120:N120),0)</f>
        <v>0</v>
      </c>
    </row>
    <row r="121" spans="1:15" hidden="1" x14ac:dyDescent="0.3">
      <c r="A121" t="s">
        <v>267</v>
      </c>
      <c r="B121" t="s">
        <v>268</v>
      </c>
      <c r="C121" t="s">
        <v>10</v>
      </c>
      <c r="D121">
        <f>IF((D$1*1)&lt;=MAX('DB Costi-Ore YtD'!$A:$A),SUMIFS('DB Costi-Ore YtD'!$G:$G,'DB Costi-Ore YtD'!$A:$A,D$1,'DB Costi-Ore YtD'!$B:$B,$A121,'DB Costi-Ore YtD'!$E:$E,$C121),0)</f>
        <v>2099.4</v>
      </c>
      <c r="E121">
        <f>IF((E$1*1)&lt;=MAX('DB Costi-Ore YtD'!$A:$A),SUMIFS('DB Costi-Ore YtD'!$G:$G,'DB Costi-Ore YtD'!$A:$A,E$1,'DB Costi-Ore YtD'!$B:$B,$A121,'DB Costi-Ore YtD'!$E:$E,$C121)-SUM($D121:D121),0)</f>
        <v>2236.2100000000005</v>
      </c>
      <c r="F121">
        <f>IF((F$1*1)&lt;=MAX('DB Costi-Ore YtD'!$A:$A),SUMIFS('DB Costi-Ore YtD'!$G:$G,'DB Costi-Ore YtD'!$A:$A,F$1,'DB Costi-Ore YtD'!$B:$B,$A121,'DB Costi-Ore YtD'!$E:$E,$C121)-SUM($D121:E121),0)</f>
        <v>2623.7999999999993</v>
      </c>
      <c r="G121">
        <f>IF((G$1*1)&lt;=MAX('DB Costi-Ore YtD'!$A:$A),SUMIFS('DB Costi-Ore YtD'!$G:$G,'DB Costi-Ore YtD'!$A:$A,G$1,'DB Costi-Ore YtD'!$B:$B,$A121,'DB Costi-Ore YtD'!$E:$E,$C121)-SUM($D121:F121),0)</f>
        <v>2681.1099999999988</v>
      </c>
      <c r="H121">
        <f>IF((H$1*1)&lt;=MAX('DB Costi-Ore YtD'!$A:$A),SUMIFS('DB Costi-Ore YtD'!$G:$G,'DB Costi-Ore YtD'!$A:$A,H$1,'DB Costi-Ore YtD'!$B:$B,$A121,'DB Costi-Ore YtD'!$E:$E,$C121)-SUM($D121:G121),0)</f>
        <v>2570.2800000000007</v>
      </c>
      <c r="I121">
        <f>IF((I$1*1)&lt;=MAX('DB Costi-Ore YtD'!$A:$A),SUMIFS('DB Costi-Ore YtD'!$G:$G,'DB Costi-Ore YtD'!$A:$A,I$1,'DB Costi-Ore YtD'!$B:$B,$A121,'DB Costi-Ore YtD'!$E:$E,$C121)-SUM($D121:H121),0)</f>
        <v>2527.9800000000014</v>
      </c>
      <c r="J121">
        <f>IF((J$1*1)&lt;=MAX('DB Costi-Ore YtD'!$A:$A),SUMIFS('DB Costi-Ore YtD'!$G:$G,'DB Costi-Ore YtD'!$A:$A,J$1,'DB Costi-Ore YtD'!$B:$B,$A121,'DB Costi-Ore YtD'!$E:$E,$C121)-SUM($D121:I121),0)</f>
        <v>0</v>
      </c>
      <c r="K121">
        <f>IF((K$1*1)&lt;=MAX('DB Costi-Ore YtD'!$A:$A),SUMIFS('DB Costi-Ore YtD'!$G:$G,'DB Costi-Ore YtD'!$A:$A,K$1,'DB Costi-Ore YtD'!$B:$B,$A121,'DB Costi-Ore YtD'!$E:$E,$C121)-SUM($D121:J121),0)</f>
        <v>0</v>
      </c>
      <c r="L121">
        <f>IF((L$1*1)&lt;=MAX('DB Costi-Ore YtD'!$A:$A),SUMIFS('DB Costi-Ore YtD'!$G:$G,'DB Costi-Ore YtD'!$A:$A,L$1,'DB Costi-Ore YtD'!$B:$B,$A121,'DB Costi-Ore YtD'!$E:$E,$C121)-SUM($D121:K121),0)</f>
        <v>0</v>
      </c>
      <c r="M121">
        <f>IF((M$1*1)&lt;=MAX('DB Costi-Ore YtD'!$A:$A),SUMIFS('DB Costi-Ore YtD'!$G:$G,'DB Costi-Ore YtD'!$A:$A,M$1,'DB Costi-Ore YtD'!$B:$B,$A121,'DB Costi-Ore YtD'!$E:$E,$C121)-SUM($D121:L121),0)</f>
        <v>0</v>
      </c>
      <c r="N121">
        <f>IF((N$1*1)&lt;=MAX('DB Costi-Ore YtD'!$A:$A),SUMIFS('DB Costi-Ore YtD'!$G:$G,'DB Costi-Ore YtD'!$A:$A,N$1,'DB Costi-Ore YtD'!$B:$B,$A121,'DB Costi-Ore YtD'!$E:$E,$C121)-SUM($D121:M121),0)</f>
        <v>0</v>
      </c>
      <c r="O121">
        <f>IF((O$1*1)&lt;=MAX('DB Costi-Ore YtD'!$A:$A),SUMIFS('DB Costi-Ore YtD'!$G:$G,'DB Costi-Ore YtD'!$A:$A,O$1,'DB Costi-Ore YtD'!$B:$B,$A121,'DB Costi-Ore YtD'!$E:$E,$C121)-SUM($D121:N121),0)</f>
        <v>0</v>
      </c>
    </row>
    <row r="122" spans="1:15" hidden="1" x14ac:dyDescent="0.3">
      <c r="A122" t="s">
        <v>269</v>
      </c>
      <c r="B122" t="s">
        <v>270</v>
      </c>
      <c r="C122" t="s">
        <v>2</v>
      </c>
      <c r="D122">
        <f>IF((D$1*1)&lt;=MAX('DB Costi-Ore YtD'!$A:$A),SUMIFS('DB Costi-Ore YtD'!$G:$G,'DB Costi-Ore YtD'!$A:$A,D$1,'DB Costi-Ore YtD'!$B:$B,$A122,'DB Costi-Ore YtD'!$E:$E,$C122),0)</f>
        <v>1972.5500000000002</v>
      </c>
      <c r="E122">
        <f>IF((E$1*1)&lt;=MAX('DB Costi-Ore YtD'!$A:$A),SUMIFS('DB Costi-Ore YtD'!$G:$G,'DB Costi-Ore YtD'!$A:$A,E$1,'DB Costi-Ore YtD'!$B:$B,$A122,'DB Costi-Ore YtD'!$E:$E,$C122)-SUM($D122:D122),0)</f>
        <v>1894.7399999999998</v>
      </c>
      <c r="F122">
        <f>IF((F$1*1)&lt;=MAX('DB Costi-Ore YtD'!$A:$A),SUMIFS('DB Costi-Ore YtD'!$G:$G,'DB Costi-Ore YtD'!$A:$A,F$1,'DB Costi-Ore YtD'!$B:$B,$A122,'DB Costi-Ore YtD'!$E:$E,$C122)-SUM($D122:E122),0)</f>
        <v>2169.58</v>
      </c>
      <c r="G122">
        <f>IF((G$1*1)&lt;=MAX('DB Costi-Ore YtD'!$A:$A),SUMIFS('DB Costi-Ore YtD'!$G:$G,'DB Costi-Ore YtD'!$A:$A,G$1,'DB Costi-Ore YtD'!$B:$B,$A122,'DB Costi-Ore YtD'!$E:$E,$C122)-SUM($D122:F122),0)</f>
        <v>2296.0800000000008</v>
      </c>
      <c r="H122">
        <f>IF((H$1*1)&lt;=MAX('DB Costi-Ore YtD'!$A:$A),SUMIFS('DB Costi-Ore YtD'!$G:$G,'DB Costi-Ore YtD'!$A:$A,H$1,'DB Costi-Ore YtD'!$B:$B,$A122,'DB Costi-Ore YtD'!$E:$E,$C122)-SUM($D122:G122),0)</f>
        <v>2250.4100000000017</v>
      </c>
      <c r="I122">
        <f>IF((I$1*1)&lt;=MAX('DB Costi-Ore YtD'!$A:$A),SUMIFS('DB Costi-Ore YtD'!$G:$G,'DB Costi-Ore YtD'!$A:$A,I$1,'DB Costi-Ore YtD'!$B:$B,$A122,'DB Costi-Ore YtD'!$E:$E,$C122)-SUM($D122:H122),0)</f>
        <v>2179.2199999999993</v>
      </c>
      <c r="J122">
        <f>IF((J$1*1)&lt;=MAX('DB Costi-Ore YtD'!$A:$A),SUMIFS('DB Costi-Ore YtD'!$G:$G,'DB Costi-Ore YtD'!$A:$A,J$1,'DB Costi-Ore YtD'!$B:$B,$A122,'DB Costi-Ore YtD'!$E:$E,$C122)-SUM($D122:I122),0)</f>
        <v>0</v>
      </c>
      <c r="K122">
        <f>IF((K$1*1)&lt;=MAX('DB Costi-Ore YtD'!$A:$A),SUMIFS('DB Costi-Ore YtD'!$G:$G,'DB Costi-Ore YtD'!$A:$A,K$1,'DB Costi-Ore YtD'!$B:$B,$A122,'DB Costi-Ore YtD'!$E:$E,$C122)-SUM($D122:J122),0)</f>
        <v>0</v>
      </c>
      <c r="L122">
        <f>IF((L$1*1)&lt;=MAX('DB Costi-Ore YtD'!$A:$A),SUMIFS('DB Costi-Ore YtD'!$G:$G,'DB Costi-Ore YtD'!$A:$A,L$1,'DB Costi-Ore YtD'!$B:$B,$A122,'DB Costi-Ore YtD'!$E:$E,$C122)-SUM($D122:K122),0)</f>
        <v>0</v>
      </c>
      <c r="M122">
        <f>IF((M$1*1)&lt;=MAX('DB Costi-Ore YtD'!$A:$A),SUMIFS('DB Costi-Ore YtD'!$G:$G,'DB Costi-Ore YtD'!$A:$A,M$1,'DB Costi-Ore YtD'!$B:$B,$A122,'DB Costi-Ore YtD'!$E:$E,$C122)-SUM($D122:L122),0)</f>
        <v>0</v>
      </c>
      <c r="N122">
        <f>IF((N$1*1)&lt;=MAX('DB Costi-Ore YtD'!$A:$A),SUMIFS('DB Costi-Ore YtD'!$G:$G,'DB Costi-Ore YtD'!$A:$A,N$1,'DB Costi-Ore YtD'!$B:$B,$A122,'DB Costi-Ore YtD'!$E:$E,$C122)-SUM($D122:M122),0)</f>
        <v>0</v>
      </c>
      <c r="O122">
        <f>IF((O$1*1)&lt;=MAX('DB Costi-Ore YtD'!$A:$A),SUMIFS('DB Costi-Ore YtD'!$G:$G,'DB Costi-Ore YtD'!$A:$A,O$1,'DB Costi-Ore YtD'!$B:$B,$A122,'DB Costi-Ore YtD'!$E:$E,$C122)-SUM($D122:N122),0)</f>
        <v>0</v>
      </c>
    </row>
    <row r="123" spans="1:15" hidden="1" x14ac:dyDescent="0.3">
      <c r="A123" t="s">
        <v>271</v>
      </c>
      <c r="B123" t="s">
        <v>272</v>
      </c>
      <c r="C123" t="s">
        <v>2</v>
      </c>
      <c r="D123">
        <f>IF((D$1*1)&lt;=MAX('DB Costi-Ore YtD'!$A:$A),SUMIFS('DB Costi-Ore YtD'!$G:$G,'DB Costi-Ore YtD'!$A:$A,D$1,'DB Costi-Ore YtD'!$B:$B,$A123,'DB Costi-Ore YtD'!$E:$E,$C123),0)</f>
        <v>1586.5400000000002</v>
      </c>
      <c r="E123">
        <f>IF((E$1*1)&lt;=MAX('DB Costi-Ore YtD'!$A:$A),SUMIFS('DB Costi-Ore YtD'!$G:$G,'DB Costi-Ore YtD'!$A:$A,E$1,'DB Costi-Ore YtD'!$B:$B,$A123,'DB Costi-Ore YtD'!$E:$E,$C123)-SUM($D123:D123),0)</f>
        <v>1473.32</v>
      </c>
      <c r="F123">
        <f>IF((F$1*1)&lt;=MAX('DB Costi-Ore YtD'!$A:$A),SUMIFS('DB Costi-Ore YtD'!$G:$G,'DB Costi-Ore YtD'!$A:$A,F$1,'DB Costi-Ore YtD'!$B:$B,$A123,'DB Costi-Ore YtD'!$E:$E,$C123)-SUM($D123:E123),0)</f>
        <v>1441.98</v>
      </c>
      <c r="G123">
        <f>IF((G$1*1)&lt;=MAX('DB Costi-Ore YtD'!$A:$A),SUMIFS('DB Costi-Ore YtD'!$G:$G,'DB Costi-Ore YtD'!$A:$A,G$1,'DB Costi-Ore YtD'!$B:$B,$A123,'DB Costi-Ore YtD'!$E:$E,$C123)-SUM($D123:F123),0)</f>
        <v>1511.9599999999991</v>
      </c>
      <c r="H123">
        <f>IF((H$1*1)&lt;=MAX('DB Costi-Ore YtD'!$A:$A),SUMIFS('DB Costi-Ore YtD'!$G:$G,'DB Costi-Ore YtD'!$A:$A,H$1,'DB Costi-Ore YtD'!$B:$B,$A123,'DB Costi-Ore YtD'!$E:$E,$C123)-SUM($D123:G123),0)</f>
        <v>1333.6000000000004</v>
      </c>
      <c r="I123">
        <f>IF((I$1*1)&lt;=MAX('DB Costi-Ore YtD'!$A:$A),SUMIFS('DB Costi-Ore YtD'!$G:$G,'DB Costi-Ore YtD'!$A:$A,I$1,'DB Costi-Ore YtD'!$B:$B,$A123,'DB Costi-Ore YtD'!$E:$E,$C123)-SUM($D123:H123),0)</f>
        <v>1567.4700000000012</v>
      </c>
      <c r="J123">
        <f>IF((J$1*1)&lt;=MAX('DB Costi-Ore YtD'!$A:$A),SUMIFS('DB Costi-Ore YtD'!$G:$G,'DB Costi-Ore YtD'!$A:$A,J$1,'DB Costi-Ore YtD'!$B:$B,$A123,'DB Costi-Ore YtD'!$E:$E,$C123)-SUM($D123:I123),0)</f>
        <v>0</v>
      </c>
      <c r="K123">
        <f>IF((K$1*1)&lt;=MAX('DB Costi-Ore YtD'!$A:$A),SUMIFS('DB Costi-Ore YtD'!$G:$G,'DB Costi-Ore YtD'!$A:$A,K$1,'DB Costi-Ore YtD'!$B:$B,$A123,'DB Costi-Ore YtD'!$E:$E,$C123)-SUM($D123:J123),0)</f>
        <v>0</v>
      </c>
      <c r="L123">
        <f>IF((L$1*1)&lt;=MAX('DB Costi-Ore YtD'!$A:$A),SUMIFS('DB Costi-Ore YtD'!$G:$G,'DB Costi-Ore YtD'!$A:$A,L$1,'DB Costi-Ore YtD'!$B:$B,$A123,'DB Costi-Ore YtD'!$E:$E,$C123)-SUM($D123:K123),0)</f>
        <v>0</v>
      </c>
      <c r="M123">
        <f>IF((M$1*1)&lt;=MAX('DB Costi-Ore YtD'!$A:$A),SUMIFS('DB Costi-Ore YtD'!$G:$G,'DB Costi-Ore YtD'!$A:$A,M$1,'DB Costi-Ore YtD'!$B:$B,$A123,'DB Costi-Ore YtD'!$E:$E,$C123)-SUM($D123:L123),0)</f>
        <v>0</v>
      </c>
      <c r="N123">
        <f>IF((N$1*1)&lt;=MAX('DB Costi-Ore YtD'!$A:$A),SUMIFS('DB Costi-Ore YtD'!$G:$G,'DB Costi-Ore YtD'!$A:$A,N$1,'DB Costi-Ore YtD'!$B:$B,$A123,'DB Costi-Ore YtD'!$E:$E,$C123)-SUM($D123:M123),0)</f>
        <v>0</v>
      </c>
      <c r="O123">
        <f>IF((O$1*1)&lt;=MAX('DB Costi-Ore YtD'!$A:$A),SUMIFS('DB Costi-Ore YtD'!$G:$G,'DB Costi-Ore YtD'!$A:$A,O$1,'DB Costi-Ore YtD'!$B:$B,$A123,'DB Costi-Ore YtD'!$E:$E,$C123)-SUM($D123:N123),0)</f>
        <v>0</v>
      </c>
    </row>
    <row r="124" spans="1:15" hidden="1" x14ac:dyDescent="0.3">
      <c r="A124" t="s">
        <v>273</v>
      </c>
      <c r="B124" t="s">
        <v>274</v>
      </c>
      <c r="C124" t="s">
        <v>3</v>
      </c>
      <c r="D124">
        <f>IF((D$1*1)&lt;=MAX('DB Costi-Ore YtD'!$A:$A),SUMIFS('DB Costi-Ore YtD'!$G:$G,'DB Costi-Ore YtD'!$A:$A,D$1,'DB Costi-Ore YtD'!$B:$B,$A124,'DB Costi-Ore YtD'!$E:$E,$C124),0)</f>
        <v>1729.66</v>
      </c>
      <c r="E124">
        <f>IF((E$1*1)&lt;=MAX('DB Costi-Ore YtD'!$A:$A),SUMIFS('DB Costi-Ore YtD'!$G:$G,'DB Costi-Ore YtD'!$A:$A,E$1,'DB Costi-Ore YtD'!$B:$B,$A124,'DB Costi-Ore YtD'!$E:$E,$C124)-SUM($D124:D124),0)</f>
        <v>1261.0899999999999</v>
      </c>
      <c r="F124">
        <f>IF((F$1*1)&lt;=MAX('DB Costi-Ore YtD'!$A:$A),SUMIFS('DB Costi-Ore YtD'!$G:$G,'DB Costi-Ore YtD'!$A:$A,F$1,'DB Costi-Ore YtD'!$B:$B,$A124,'DB Costi-Ore YtD'!$E:$E,$C124)-SUM($D124:E124),0)</f>
        <v>1600.4899999999998</v>
      </c>
      <c r="G124">
        <f>IF((G$1*1)&lt;=MAX('DB Costi-Ore YtD'!$A:$A),SUMIFS('DB Costi-Ore YtD'!$G:$G,'DB Costi-Ore YtD'!$A:$A,G$1,'DB Costi-Ore YtD'!$B:$B,$A124,'DB Costi-Ore YtD'!$E:$E,$C124)-SUM($D124:F124),0)</f>
        <v>1616.46</v>
      </c>
      <c r="H124">
        <f>IF((H$1*1)&lt;=MAX('DB Costi-Ore YtD'!$A:$A),SUMIFS('DB Costi-Ore YtD'!$G:$G,'DB Costi-Ore YtD'!$A:$A,H$1,'DB Costi-Ore YtD'!$B:$B,$A124,'DB Costi-Ore YtD'!$E:$E,$C124)-SUM($D124:G124),0)</f>
        <v>1488.5900000000001</v>
      </c>
      <c r="I124">
        <f>IF((I$1*1)&lt;=MAX('DB Costi-Ore YtD'!$A:$A),SUMIFS('DB Costi-Ore YtD'!$G:$G,'DB Costi-Ore YtD'!$A:$A,I$1,'DB Costi-Ore YtD'!$B:$B,$A124,'DB Costi-Ore YtD'!$E:$E,$C124)-SUM($D124:H124),0)</f>
        <v>1532.2400000000007</v>
      </c>
      <c r="J124">
        <f>IF((J$1*1)&lt;=MAX('DB Costi-Ore YtD'!$A:$A),SUMIFS('DB Costi-Ore YtD'!$G:$G,'DB Costi-Ore YtD'!$A:$A,J$1,'DB Costi-Ore YtD'!$B:$B,$A124,'DB Costi-Ore YtD'!$E:$E,$C124)-SUM($D124:I124),0)</f>
        <v>0</v>
      </c>
      <c r="K124">
        <f>IF((K$1*1)&lt;=MAX('DB Costi-Ore YtD'!$A:$A),SUMIFS('DB Costi-Ore YtD'!$G:$G,'DB Costi-Ore YtD'!$A:$A,K$1,'DB Costi-Ore YtD'!$B:$B,$A124,'DB Costi-Ore YtD'!$E:$E,$C124)-SUM($D124:J124),0)</f>
        <v>0</v>
      </c>
      <c r="L124">
        <f>IF((L$1*1)&lt;=MAX('DB Costi-Ore YtD'!$A:$A),SUMIFS('DB Costi-Ore YtD'!$G:$G,'DB Costi-Ore YtD'!$A:$A,L$1,'DB Costi-Ore YtD'!$B:$B,$A124,'DB Costi-Ore YtD'!$E:$E,$C124)-SUM($D124:K124),0)</f>
        <v>0</v>
      </c>
      <c r="M124">
        <f>IF((M$1*1)&lt;=MAX('DB Costi-Ore YtD'!$A:$A),SUMIFS('DB Costi-Ore YtD'!$G:$G,'DB Costi-Ore YtD'!$A:$A,M$1,'DB Costi-Ore YtD'!$B:$B,$A124,'DB Costi-Ore YtD'!$E:$E,$C124)-SUM($D124:L124),0)</f>
        <v>0</v>
      </c>
      <c r="N124">
        <f>IF((N$1*1)&lt;=MAX('DB Costi-Ore YtD'!$A:$A),SUMIFS('DB Costi-Ore YtD'!$G:$G,'DB Costi-Ore YtD'!$A:$A,N$1,'DB Costi-Ore YtD'!$B:$B,$A124,'DB Costi-Ore YtD'!$E:$E,$C124)-SUM($D124:M124),0)</f>
        <v>0</v>
      </c>
      <c r="O124">
        <f>IF((O$1*1)&lt;=MAX('DB Costi-Ore YtD'!$A:$A),SUMIFS('DB Costi-Ore YtD'!$G:$G,'DB Costi-Ore YtD'!$A:$A,O$1,'DB Costi-Ore YtD'!$B:$B,$A124,'DB Costi-Ore YtD'!$E:$E,$C124)-SUM($D124:N124),0)</f>
        <v>0</v>
      </c>
    </row>
    <row r="125" spans="1:15" x14ac:dyDescent="0.3">
      <c r="A125" t="s">
        <v>275</v>
      </c>
      <c r="B125" t="s">
        <v>276</v>
      </c>
      <c r="C125" t="s">
        <v>13</v>
      </c>
      <c r="D125">
        <f>IF((D$1*1)&lt;=MAX('DB Costi-Ore YtD'!$A:$A),SUMIFS('DB Costi-Ore YtD'!$G:$G,'DB Costi-Ore YtD'!$A:$A,D$1,'DB Costi-Ore YtD'!$B:$B,$A125,'DB Costi-Ore YtD'!$E:$E,$C125),0)</f>
        <v>1861.0500000000002</v>
      </c>
      <c r="E125">
        <f>IF((E$1*1)&lt;=MAX('DB Costi-Ore YtD'!$A:$A),SUMIFS('DB Costi-Ore YtD'!$G:$G,'DB Costi-Ore YtD'!$A:$A,E$1,'DB Costi-Ore YtD'!$B:$B,$A125,'DB Costi-Ore YtD'!$E:$E,$C125)-SUM($D125:D125),0)</f>
        <v>1278.06</v>
      </c>
      <c r="F125">
        <f>IF((F$1*1)&lt;=MAX('DB Costi-Ore YtD'!$A:$A),SUMIFS('DB Costi-Ore YtD'!$G:$G,'DB Costi-Ore YtD'!$A:$A,F$1,'DB Costi-Ore YtD'!$B:$B,$A125,'DB Costi-Ore YtD'!$E:$E,$C125)-SUM($D125:E125),0)</f>
        <v>2396.6</v>
      </c>
      <c r="G125">
        <f>IF((G$1*1)&lt;=MAX('DB Costi-Ore YtD'!$A:$A),SUMIFS('DB Costi-Ore YtD'!$G:$G,'DB Costi-Ore YtD'!$A:$A,G$1,'DB Costi-Ore YtD'!$B:$B,$A125,'DB Costi-Ore YtD'!$E:$E,$C125)-SUM($D125:F125),0)</f>
        <v>0</v>
      </c>
      <c r="H125">
        <f>IF((H$1*1)&lt;=MAX('DB Costi-Ore YtD'!$A:$A),SUMIFS('DB Costi-Ore YtD'!$G:$G,'DB Costi-Ore YtD'!$A:$A,H$1,'DB Costi-Ore YtD'!$B:$B,$A125,'DB Costi-Ore YtD'!$E:$E,$C125)-SUM($D125:G125),0)</f>
        <v>0</v>
      </c>
      <c r="I125">
        <f>IF((I$1*1)&lt;=MAX('DB Costi-Ore YtD'!$A:$A),SUMIFS('DB Costi-Ore YtD'!$G:$G,'DB Costi-Ore YtD'!$A:$A,I$1,'DB Costi-Ore YtD'!$B:$B,$A125,'DB Costi-Ore YtD'!$E:$E,$C125)-SUM($D125:H125),0)</f>
        <v>0</v>
      </c>
      <c r="J125">
        <f>IF((J$1*1)&lt;=MAX('DB Costi-Ore YtD'!$A:$A),SUMIFS('DB Costi-Ore YtD'!$G:$G,'DB Costi-Ore YtD'!$A:$A,J$1,'DB Costi-Ore YtD'!$B:$B,$A125,'DB Costi-Ore YtD'!$E:$E,$C125)-SUM($D125:I125),0)</f>
        <v>0</v>
      </c>
      <c r="K125">
        <f>IF((K$1*1)&lt;=MAX('DB Costi-Ore YtD'!$A:$A),SUMIFS('DB Costi-Ore YtD'!$G:$G,'DB Costi-Ore YtD'!$A:$A,K$1,'DB Costi-Ore YtD'!$B:$B,$A125,'DB Costi-Ore YtD'!$E:$E,$C125)-SUM($D125:J125),0)</f>
        <v>0</v>
      </c>
      <c r="L125">
        <f>IF((L$1*1)&lt;=MAX('DB Costi-Ore YtD'!$A:$A),SUMIFS('DB Costi-Ore YtD'!$G:$G,'DB Costi-Ore YtD'!$A:$A,L$1,'DB Costi-Ore YtD'!$B:$B,$A125,'DB Costi-Ore YtD'!$E:$E,$C125)-SUM($D125:K125),0)</f>
        <v>0</v>
      </c>
      <c r="M125">
        <f>IF((M$1*1)&lt;=MAX('DB Costi-Ore YtD'!$A:$A),SUMIFS('DB Costi-Ore YtD'!$G:$G,'DB Costi-Ore YtD'!$A:$A,M$1,'DB Costi-Ore YtD'!$B:$B,$A125,'DB Costi-Ore YtD'!$E:$E,$C125)-SUM($D125:L125),0)</f>
        <v>0</v>
      </c>
      <c r="N125">
        <f>IF((N$1*1)&lt;=MAX('DB Costi-Ore YtD'!$A:$A),SUMIFS('DB Costi-Ore YtD'!$G:$G,'DB Costi-Ore YtD'!$A:$A,N$1,'DB Costi-Ore YtD'!$B:$B,$A125,'DB Costi-Ore YtD'!$E:$E,$C125)-SUM($D125:M125),0)</f>
        <v>0</v>
      </c>
      <c r="O125">
        <f>IF((O$1*1)&lt;=MAX('DB Costi-Ore YtD'!$A:$A),SUMIFS('DB Costi-Ore YtD'!$G:$G,'DB Costi-Ore YtD'!$A:$A,O$1,'DB Costi-Ore YtD'!$B:$B,$A125,'DB Costi-Ore YtD'!$E:$E,$C125)-SUM($D125:N125),0)</f>
        <v>0</v>
      </c>
    </row>
    <row r="126" spans="1:15" hidden="1" x14ac:dyDescent="0.3">
      <c r="A126" t="s">
        <v>277</v>
      </c>
      <c r="B126" t="s">
        <v>278</v>
      </c>
      <c r="C126" t="s">
        <v>3</v>
      </c>
      <c r="D126">
        <f>IF((D$1*1)&lt;=MAX('DB Costi-Ore YtD'!$A:$A),SUMIFS('DB Costi-Ore YtD'!$G:$G,'DB Costi-Ore YtD'!$A:$A,D$1,'DB Costi-Ore YtD'!$B:$B,$A126,'DB Costi-Ore YtD'!$E:$E,$C126),0)</f>
        <v>1775.1</v>
      </c>
      <c r="E126">
        <f>IF((E$1*1)&lt;=MAX('DB Costi-Ore YtD'!$A:$A),SUMIFS('DB Costi-Ore YtD'!$G:$G,'DB Costi-Ore YtD'!$A:$A,E$1,'DB Costi-Ore YtD'!$B:$B,$A126,'DB Costi-Ore YtD'!$E:$E,$C126)-SUM($D126:D126),0)</f>
        <v>1584.6</v>
      </c>
      <c r="F126">
        <f>IF((F$1*1)&lt;=MAX('DB Costi-Ore YtD'!$A:$A),SUMIFS('DB Costi-Ore YtD'!$G:$G,'DB Costi-Ore YtD'!$A:$A,F$1,'DB Costi-Ore YtD'!$B:$B,$A126,'DB Costi-Ore YtD'!$E:$E,$C126)-SUM($D126:E126),0)</f>
        <v>1596.3000000000002</v>
      </c>
      <c r="G126">
        <f>IF((G$1*1)&lt;=MAX('DB Costi-Ore YtD'!$A:$A),SUMIFS('DB Costi-Ore YtD'!$G:$G,'DB Costi-Ore YtD'!$A:$A,G$1,'DB Costi-Ore YtD'!$B:$B,$A126,'DB Costi-Ore YtD'!$E:$E,$C126)-SUM($D126:F126),0)</f>
        <v>1762.33</v>
      </c>
      <c r="H126">
        <f>IF((H$1*1)&lt;=MAX('DB Costi-Ore YtD'!$A:$A),SUMIFS('DB Costi-Ore YtD'!$G:$G,'DB Costi-Ore YtD'!$A:$A,H$1,'DB Costi-Ore YtD'!$B:$B,$A126,'DB Costi-Ore YtD'!$E:$E,$C126)-SUM($D126:G126),0)</f>
        <v>1688.340000000002</v>
      </c>
      <c r="I126">
        <f>IF((I$1*1)&lt;=MAX('DB Costi-Ore YtD'!$A:$A),SUMIFS('DB Costi-Ore YtD'!$G:$G,'DB Costi-Ore YtD'!$A:$A,I$1,'DB Costi-Ore YtD'!$B:$B,$A126,'DB Costi-Ore YtD'!$E:$E,$C126)-SUM($D126:H126),0)</f>
        <v>1521.6399999999976</v>
      </c>
      <c r="J126">
        <f>IF((J$1*1)&lt;=MAX('DB Costi-Ore YtD'!$A:$A),SUMIFS('DB Costi-Ore YtD'!$G:$G,'DB Costi-Ore YtD'!$A:$A,J$1,'DB Costi-Ore YtD'!$B:$B,$A126,'DB Costi-Ore YtD'!$E:$E,$C126)-SUM($D126:I126),0)</f>
        <v>0</v>
      </c>
      <c r="K126">
        <f>IF((K$1*1)&lt;=MAX('DB Costi-Ore YtD'!$A:$A),SUMIFS('DB Costi-Ore YtD'!$G:$G,'DB Costi-Ore YtD'!$A:$A,K$1,'DB Costi-Ore YtD'!$B:$B,$A126,'DB Costi-Ore YtD'!$E:$E,$C126)-SUM($D126:J126),0)</f>
        <v>0</v>
      </c>
      <c r="L126">
        <f>IF((L$1*1)&lt;=MAX('DB Costi-Ore YtD'!$A:$A),SUMIFS('DB Costi-Ore YtD'!$G:$G,'DB Costi-Ore YtD'!$A:$A,L$1,'DB Costi-Ore YtD'!$B:$B,$A126,'DB Costi-Ore YtD'!$E:$E,$C126)-SUM($D126:K126),0)</f>
        <v>0</v>
      </c>
      <c r="M126">
        <f>IF((M$1*1)&lt;=MAX('DB Costi-Ore YtD'!$A:$A),SUMIFS('DB Costi-Ore YtD'!$G:$G,'DB Costi-Ore YtD'!$A:$A,M$1,'DB Costi-Ore YtD'!$B:$B,$A126,'DB Costi-Ore YtD'!$E:$E,$C126)-SUM($D126:L126),0)</f>
        <v>0</v>
      </c>
      <c r="N126">
        <f>IF((N$1*1)&lt;=MAX('DB Costi-Ore YtD'!$A:$A),SUMIFS('DB Costi-Ore YtD'!$G:$G,'DB Costi-Ore YtD'!$A:$A,N$1,'DB Costi-Ore YtD'!$B:$B,$A126,'DB Costi-Ore YtD'!$E:$E,$C126)-SUM($D126:M126),0)</f>
        <v>0</v>
      </c>
      <c r="O126">
        <f>IF((O$1*1)&lt;=MAX('DB Costi-Ore YtD'!$A:$A),SUMIFS('DB Costi-Ore YtD'!$G:$G,'DB Costi-Ore YtD'!$A:$A,O$1,'DB Costi-Ore YtD'!$B:$B,$A126,'DB Costi-Ore YtD'!$E:$E,$C126)-SUM($D126:N126),0)</f>
        <v>0</v>
      </c>
    </row>
    <row r="127" spans="1:15" x14ac:dyDescent="0.3">
      <c r="A127" t="s">
        <v>279</v>
      </c>
      <c r="B127" t="s">
        <v>280</v>
      </c>
      <c r="C127" t="s">
        <v>13</v>
      </c>
      <c r="D127">
        <f>IF((D$1*1)&lt;=MAX('DB Costi-Ore YtD'!$A:$A),SUMIFS('DB Costi-Ore YtD'!$G:$G,'DB Costi-Ore YtD'!$A:$A,D$1,'DB Costi-Ore YtD'!$B:$B,$A127,'DB Costi-Ore YtD'!$E:$E,$C127),0)</f>
        <v>2257.94</v>
      </c>
      <c r="E127">
        <f>IF((E$1*1)&lt;=MAX('DB Costi-Ore YtD'!$A:$A),SUMIFS('DB Costi-Ore YtD'!$G:$G,'DB Costi-Ore YtD'!$A:$A,E$1,'DB Costi-Ore YtD'!$B:$B,$A127,'DB Costi-Ore YtD'!$E:$E,$C127)-SUM($D127:D127),0)</f>
        <v>1941.6399999999999</v>
      </c>
      <c r="F127">
        <f>IF((F$1*1)&lt;=MAX('DB Costi-Ore YtD'!$A:$A),SUMIFS('DB Costi-Ore YtD'!$G:$G,'DB Costi-Ore YtD'!$A:$A,F$1,'DB Costi-Ore YtD'!$B:$B,$A127,'DB Costi-Ore YtD'!$E:$E,$C127)-SUM($D127:E127),0)</f>
        <v>1931.0699999999997</v>
      </c>
      <c r="G127">
        <f>IF((G$1*1)&lt;=MAX('DB Costi-Ore YtD'!$A:$A),SUMIFS('DB Costi-Ore YtD'!$G:$G,'DB Costi-Ore YtD'!$A:$A,G$1,'DB Costi-Ore YtD'!$B:$B,$A127,'DB Costi-Ore YtD'!$E:$E,$C127)-SUM($D127:F127),0)</f>
        <v>1892.33</v>
      </c>
      <c r="H127">
        <f>IF((H$1*1)&lt;=MAX('DB Costi-Ore YtD'!$A:$A),SUMIFS('DB Costi-Ore YtD'!$G:$G,'DB Costi-Ore YtD'!$A:$A,H$1,'DB Costi-Ore YtD'!$B:$B,$A127,'DB Costi-Ore YtD'!$E:$E,$C127)-SUM($D127:G127),0)</f>
        <v>-8022.98</v>
      </c>
      <c r="I127">
        <f>IF((I$1*1)&lt;=MAX('DB Costi-Ore YtD'!$A:$A),SUMIFS('DB Costi-Ore YtD'!$G:$G,'DB Costi-Ore YtD'!$A:$A,I$1,'DB Costi-Ore YtD'!$B:$B,$A127,'DB Costi-Ore YtD'!$E:$E,$C127)-SUM($D127:H127),0)</f>
        <v>0</v>
      </c>
      <c r="J127">
        <f>IF((J$1*1)&lt;=MAX('DB Costi-Ore YtD'!$A:$A),SUMIFS('DB Costi-Ore YtD'!$G:$G,'DB Costi-Ore YtD'!$A:$A,J$1,'DB Costi-Ore YtD'!$B:$B,$A127,'DB Costi-Ore YtD'!$E:$E,$C127)-SUM($D127:I127),0)</f>
        <v>0</v>
      </c>
      <c r="K127">
        <f>IF((K$1*1)&lt;=MAX('DB Costi-Ore YtD'!$A:$A),SUMIFS('DB Costi-Ore YtD'!$G:$G,'DB Costi-Ore YtD'!$A:$A,K$1,'DB Costi-Ore YtD'!$B:$B,$A127,'DB Costi-Ore YtD'!$E:$E,$C127)-SUM($D127:J127),0)</f>
        <v>0</v>
      </c>
      <c r="L127">
        <f>IF((L$1*1)&lt;=MAX('DB Costi-Ore YtD'!$A:$A),SUMIFS('DB Costi-Ore YtD'!$G:$G,'DB Costi-Ore YtD'!$A:$A,L$1,'DB Costi-Ore YtD'!$B:$B,$A127,'DB Costi-Ore YtD'!$E:$E,$C127)-SUM($D127:K127),0)</f>
        <v>0</v>
      </c>
      <c r="M127">
        <f>IF((M$1*1)&lt;=MAX('DB Costi-Ore YtD'!$A:$A),SUMIFS('DB Costi-Ore YtD'!$G:$G,'DB Costi-Ore YtD'!$A:$A,M$1,'DB Costi-Ore YtD'!$B:$B,$A127,'DB Costi-Ore YtD'!$E:$E,$C127)-SUM($D127:L127),0)</f>
        <v>0</v>
      </c>
      <c r="N127">
        <f>IF((N$1*1)&lt;=MAX('DB Costi-Ore YtD'!$A:$A),SUMIFS('DB Costi-Ore YtD'!$G:$G,'DB Costi-Ore YtD'!$A:$A,N$1,'DB Costi-Ore YtD'!$B:$B,$A127,'DB Costi-Ore YtD'!$E:$E,$C127)-SUM($D127:M127),0)</f>
        <v>0</v>
      </c>
      <c r="O127">
        <f>IF((O$1*1)&lt;=MAX('DB Costi-Ore YtD'!$A:$A),SUMIFS('DB Costi-Ore YtD'!$G:$G,'DB Costi-Ore YtD'!$A:$A,O$1,'DB Costi-Ore YtD'!$B:$B,$A127,'DB Costi-Ore YtD'!$E:$E,$C127)-SUM($D127:N127),0)</f>
        <v>0</v>
      </c>
    </row>
    <row r="128" spans="1:15" hidden="1" x14ac:dyDescent="0.3">
      <c r="A128" t="s">
        <v>281</v>
      </c>
      <c r="B128" t="s">
        <v>282</v>
      </c>
      <c r="C128" t="s">
        <v>7</v>
      </c>
      <c r="D128">
        <f>IF((D$1*1)&lt;=MAX('DB Costi-Ore YtD'!$A:$A),SUMIFS('DB Costi-Ore YtD'!$G:$G,'DB Costi-Ore YtD'!$A:$A,D$1,'DB Costi-Ore YtD'!$B:$B,$A128,'DB Costi-Ore YtD'!$E:$E,$C128),0)</f>
        <v>3281.18</v>
      </c>
      <c r="E128">
        <f>IF((E$1*1)&lt;=MAX('DB Costi-Ore YtD'!$A:$A),SUMIFS('DB Costi-Ore YtD'!$G:$G,'DB Costi-Ore YtD'!$A:$A,E$1,'DB Costi-Ore YtD'!$B:$B,$A128,'DB Costi-Ore YtD'!$E:$E,$C128)-SUM($D128:D128),0)</f>
        <v>3512.1199999999994</v>
      </c>
      <c r="F128">
        <f>IF((F$1*1)&lt;=MAX('DB Costi-Ore YtD'!$A:$A),SUMIFS('DB Costi-Ore YtD'!$G:$G,'DB Costi-Ore YtD'!$A:$A,F$1,'DB Costi-Ore YtD'!$B:$B,$A128,'DB Costi-Ore YtD'!$E:$E,$C128)-SUM($D128:E128),0)</f>
        <v>3549</v>
      </c>
      <c r="G128">
        <f>IF((G$1*1)&lt;=MAX('DB Costi-Ore YtD'!$A:$A),SUMIFS('DB Costi-Ore YtD'!$G:$G,'DB Costi-Ore YtD'!$A:$A,G$1,'DB Costi-Ore YtD'!$B:$B,$A128,'DB Costi-Ore YtD'!$E:$E,$C128)-SUM($D128:F128),0)</f>
        <v>3497.340000000002</v>
      </c>
      <c r="H128">
        <f>IF((H$1*1)&lt;=MAX('DB Costi-Ore YtD'!$A:$A),SUMIFS('DB Costi-Ore YtD'!$G:$G,'DB Costi-Ore YtD'!$A:$A,H$1,'DB Costi-Ore YtD'!$B:$B,$A128,'DB Costi-Ore YtD'!$E:$E,$C128)-SUM($D128:G128),0)</f>
        <v>3366.0599999999995</v>
      </c>
      <c r="I128">
        <f>IF((I$1*1)&lt;=MAX('DB Costi-Ore YtD'!$A:$A),SUMIFS('DB Costi-Ore YtD'!$G:$G,'DB Costi-Ore YtD'!$A:$A,I$1,'DB Costi-Ore YtD'!$B:$B,$A128,'DB Costi-Ore YtD'!$E:$E,$C128)-SUM($D128:H128),0)</f>
        <v>493.15000000000146</v>
      </c>
      <c r="J128">
        <f>IF((J$1*1)&lt;=MAX('DB Costi-Ore YtD'!$A:$A),SUMIFS('DB Costi-Ore YtD'!$G:$G,'DB Costi-Ore YtD'!$A:$A,J$1,'DB Costi-Ore YtD'!$B:$B,$A128,'DB Costi-Ore YtD'!$E:$E,$C128)-SUM($D128:I128),0)</f>
        <v>0</v>
      </c>
      <c r="K128">
        <f>IF((K$1*1)&lt;=MAX('DB Costi-Ore YtD'!$A:$A),SUMIFS('DB Costi-Ore YtD'!$G:$G,'DB Costi-Ore YtD'!$A:$A,K$1,'DB Costi-Ore YtD'!$B:$B,$A128,'DB Costi-Ore YtD'!$E:$E,$C128)-SUM($D128:J128),0)</f>
        <v>0</v>
      </c>
      <c r="L128">
        <f>IF((L$1*1)&lt;=MAX('DB Costi-Ore YtD'!$A:$A),SUMIFS('DB Costi-Ore YtD'!$G:$G,'DB Costi-Ore YtD'!$A:$A,L$1,'DB Costi-Ore YtD'!$B:$B,$A128,'DB Costi-Ore YtD'!$E:$E,$C128)-SUM($D128:K128),0)</f>
        <v>0</v>
      </c>
      <c r="M128">
        <f>IF((M$1*1)&lt;=MAX('DB Costi-Ore YtD'!$A:$A),SUMIFS('DB Costi-Ore YtD'!$G:$G,'DB Costi-Ore YtD'!$A:$A,M$1,'DB Costi-Ore YtD'!$B:$B,$A128,'DB Costi-Ore YtD'!$E:$E,$C128)-SUM($D128:L128),0)</f>
        <v>0</v>
      </c>
      <c r="N128">
        <f>IF((N$1*1)&lt;=MAX('DB Costi-Ore YtD'!$A:$A),SUMIFS('DB Costi-Ore YtD'!$G:$G,'DB Costi-Ore YtD'!$A:$A,N$1,'DB Costi-Ore YtD'!$B:$B,$A128,'DB Costi-Ore YtD'!$E:$E,$C128)-SUM($D128:M128),0)</f>
        <v>0</v>
      </c>
      <c r="O128">
        <f>IF((O$1*1)&lt;=MAX('DB Costi-Ore YtD'!$A:$A),SUMIFS('DB Costi-Ore YtD'!$G:$G,'DB Costi-Ore YtD'!$A:$A,O$1,'DB Costi-Ore YtD'!$B:$B,$A128,'DB Costi-Ore YtD'!$E:$E,$C128)-SUM($D128:N128),0)</f>
        <v>0</v>
      </c>
    </row>
    <row r="129" spans="1:15" hidden="1" x14ac:dyDescent="0.3">
      <c r="A129" t="s">
        <v>283</v>
      </c>
      <c r="B129" t="s">
        <v>284</v>
      </c>
      <c r="C129" t="s">
        <v>3</v>
      </c>
      <c r="D129">
        <f>IF((D$1*1)&lt;=MAX('DB Costi-Ore YtD'!$A:$A),SUMIFS('DB Costi-Ore YtD'!$G:$G,'DB Costi-Ore YtD'!$A:$A,D$1,'DB Costi-Ore YtD'!$B:$B,$A129,'DB Costi-Ore YtD'!$E:$E,$C129),0)</f>
        <v>1232.4100000000001</v>
      </c>
      <c r="E129">
        <f>IF((E$1*1)&lt;=MAX('DB Costi-Ore YtD'!$A:$A),SUMIFS('DB Costi-Ore YtD'!$G:$G,'DB Costi-Ore YtD'!$A:$A,E$1,'DB Costi-Ore YtD'!$B:$B,$A129,'DB Costi-Ore YtD'!$E:$E,$C129)-SUM($D129:D129),0)</f>
        <v>1061.1899999999998</v>
      </c>
      <c r="F129">
        <f>IF((F$1*1)&lt;=MAX('DB Costi-Ore YtD'!$A:$A),SUMIFS('DB Costi-Ore YtD'!$G:$G,'DB Costi-Ore YtD'!$A:$A,F$1,'DB Costi-Ore YtD'!$B:$B,$A129,'DB Costi-Ore YtD'!$E:$E,$C129)-SUM($D129:E129),0)</f>
        <v>1176.1800000000003</v>
      </c>
      <c r="G129">
        <f>IF((G$1*1)&lt;=MAX('DB Costi-Ore YtD'!$A:$A),SUMIFS('DB Costi-Ore YtD'!$G:$G,'DB Costi-Ore YtD'!$A:$A,G$1,'DB Costi-Ore YtD'!$B:$B,$A129,'DB Costi-Ore YtD'!$E:$E,$C129)-SUM($D129:F129),0)</f>
        <v>1117.7499999999995</v>
      </c>
      <c r="H129">
        <f>IF((H$1*1)&lt;=MAX('DB Costi-Ore YtD'!$A:$A),SUMIFS('DB Costi-Ore YtD'!$G:$G,'DB Costi-Ore YtD'!$A:$A,H$1,'DB Costi-Ore YtD'!$B:$B,$A129,'DB Costi-Ore YtD'!$E:$E,$C129)-SUM($D129:G129),0)</f>
        <v>1141.2400000000007</v>
      </c>
      <c r="I129">
        <f>IF((I$1*1)&lt;=MAX('DB Costi-Ore YtD'!$A:$A),SUMIFS('DB Costi-Ore YtD'!$G:$G,'DB Costi-Ore YtD'!$A:$A,I$1,'DB Costi-Ore YtD'!$B:$B,$A129,'DB Costi-Ore YtD'!$E:$E,$C129)-SUM($D129:H129),0)</f>
        <v>825.11000000000149</v>
      </c>
      <c r="J129">
        <f>IF((J$1*1)&lt;=MAX('DB Costi-Ore YtD'!$A:$A),SUMIFS('DB Costi-Ore YtD'!$G:$G,'DB Costi-Ore YtD'!$A:$A,J$1,'DB Costi-Ore YtD'!$B:$B,$A129,'DB Costi-Ore YtD'!$E:$E,$C129)-SUM($D129:I129),0)</f>
        <v>0</v>
      </c>
      <c r="K129">
        <f>IF((K$1*1)&lt;=MAX('DB Costi-Ore YtD'!$A:$A),SUMIFS('DB Costi-Ore YtD'!$G:$G,'DB Costi-Ore YtD'!$A:$A,K$1,'DB Costi-Ore YtD'!$B:$B,$A129,'DB Costi-Ore YtD'!$E:$E,$C129)-SUM($D129:J129),0)</f>
        <v>0</v>
      </c>
      <c r="L129">
        <f>IF((L$1*1)&lt;=MAX('DB Costi-Ore YtD'!$A:$A),SUMIFS('DB Costi-Ore YtD'!$G:$G,'DB Costi-Ore YtD'!$A:$A,L$1,'DB Costi-Ore YtD'!$B:$B,$A129,'DB Costi-Ore YtD'!$E:$E,$C129)-SUM($D129:K129),0)</f>
        <v>0</v>
      </c>
      <c r="M129">
        <f>IF((M$1*1)&lt;=MAX('DB Costi-Ore YtD'!$A:$A),SUMIFS('DB Costi-Ore YtD'!$G:$G,'DB Costi-Ore YtD'!$A:$A,M$1,'DB Costi-Ore YtD'!$B:$B,$A129,'DB Costi-Ore YtD'!$E:$E,$C129)-SUM($D129:L129),0)</f>
        <v>0</v>
      </c>
      <c r="N129">
        <f>IF((N$1*1)&lt;=MAX('DB Costi-Ore YtD'!$A:$A),SUMIFS('DB Costi-Ore YtD'!$G:$G,'DB Costi-Ore YtD'!$A:$A,N$1,'DB Costi-Ore YtD'!$B:$B,$A129,'DB Costi-Ore YtD'!$E:$E,$C129)-SUM($D129:M129),0)</f>
        <v>0</v>
      </c>
      <c r="O129">
        <f>IF((O$1*1)&lt;=MAX('DB Costi-Ore YtD'!$A:$A),SUMIFS('DB Costi-Ore YtD'!$G:$G,'DB Costi-Ore YtD'!$A:$A,O$1,'DB Costi-Ore YtD'!$B:$B,$A129,'DB Costi-Ore YtD'!$E:$E,$C129)-SUM($D129:N129),0)</f>
        <v>0</v>
      </c>
    </row>
    <row r="130" spans="1:15" hidden="1" x14ac:dyDescent="0.3">
      <c r="A130" t="s">
        <v>285</v>
      </c>
      <c r="B130" t="s">
        <v>286</v>
      </c>
      <c r="C130" t="s">
        <v>5</v>
      </c>
      <c r="D130">
        <f>IF((D$1*1)&lt;=MAX('DB Costi-Ore YtD'!$A:$A),SUMIFS('DB Costi-Ore YtD'!$G:$G,'DB Costi-Ore YtD'!$A:$A,D$1,'DB Costi-Ore YtD'!$B:$B,$A130,'DB Costi-Ore YtD'!$E:$E,$C130),0)</f>
        <v>1669.41</v>
      </c>
      <c r="E130">
        <f>IF((E$1*1)&lt;=MAX('DB Costi-Ore YtD'!$A:$A),SUMIFS('DB Costi-Ore YtD'!$G:$G,'DB Costi-Ore YtD'!$A:$A,E$1,'DB Costi-Ore YtD'!$B:$B,$A130,'DB Costi-Ore YtD'!$E:$E,$C130)-SUM($D130:D130),0)</f>
        <v>1653.07</v>
      </c>
      <c r="F130">
        <f>IF((F$1*1)&lt;=MAX('DB Costi-Ore YtD'!$A:$A),SUMIFS('DB Costi-Ore YtD'!$G:$G,'DB Costi-Ore YtD'!$A:$A,F$1,'DB Costi-Ore YtD'!$B:$B,$A130,'DB Costi-Ore YtD'!$E:$E,$C130)-SUM($D130:E130),0)</f>
        <v>1640.19</v>
      </c>
      <c r="G130">
        <f>IF((G$1*1)&lt;=MAX('DB Costi-Ore YtD'!$A:$A),SUMIFS('DB Costi-Ore YtD'!$G:$G,'DB Costi-Ore YtD'!$A:$A,G$1,'DB Costi-Ore YtD'!$B:$B,$A130,'DB Costi-Ore YtD'!$E:$E,$C130)-SUM($D130:F130),0)</f>
        <v>1667.96</v>
      </c>
      <c r="H130">
        <f>IF((H$1*1)&lt;=MAX('DB Costi-Ore YtD'!$A:$A),SUMIFS('DB Costi-Ore YtD'!$G:$G,'DB Costi-Ore YtD'!$A:$A,H$1,'DB Costi-Ore YtD'!$B:$B,$A130,'DB Costi-Ore YtD'!$E:$E,$C130)-SUM($D130:G130),0)</f>
        <v>1606.3000000000002</v>
      </c>
      <c r="I130">
        <f>IF((I$1*1)&lt;=MAX('DB Costi-Ore YtD'!$A:$A),SUMIFS('DB Costi-Ore YtD'!$G:$G,'DB Costi-Ore YtD'!$A:$A,I$1,'DB Costi-Ore YtD'!$B:$B,$A130,'DB Costi-Ore YtD'!$E:$E,$C130)-SUM($D130:H130),0)</f>
        <v>1577.58</v>
      </c>
      <c r="J130">
        <f>IF((J$1*1)&lt;=MAX('DB Costi-Ore YtD'!$A:$A),SUMIFS('DB Costi-Ore YtD'!$G:$G,'DB Costi-Ore YtD'!$A:$A,J$1,'DB Costi-Ore YtD'!$B:$B,$A130,'DB Costi-Ore YtD'!$E:$E,$C130)-SUM($D130:I130),0)</f>
        <v>0</v>
      </c>
      <c r="K130">
        <f>IF((K$1*1)&lt;=MAX('DB Costi-Ore YtD'!$A:$A),SUMIFS('DB Costi-Ore YtD'!$G:$G,'DB Costi-Ore YtD'!$A:$A,K$1,'DB Costi-Ore YtD'!$B:$B,$A130,'DB Costi-Ore YtD'!$E:$E,$C130)-SUM($D130:J130),0)</f>
        <v>0</v>
      </c>
      <c r="L130">
        <f>IF((L$1*1)&lt;=MAX('DB Costi-Ore YtD'!$A:$A),SUMIFS('DB Costi-Ore YtD'!$G:$G,'DB Costi-Ore YtD'!$A:$A,L$1,'DB Costi-Ore YtD'!$B:$B,$A130,'DB Costi-Ore YtD'!$E:$E,$C130)-SUM($D130:K130),0)</f>
        <v>0</v>
      </c>
      <c r="M130">
        <f>IF((M$1*1)&lt;=MAX('DB Costi-Ore YtD'!$A:$A),SUMIFS('DB Costi-Ore YtD'!$G:$G,'DB Costi-Ore YtD'!$A:$A,M$1,'DB Costi-Ore YtD'!$B:$B,$A130,'DB Costi-Ore YtD'!$E:$E,$C130)-SUM($D130:L130),0)</f>
        <v>0</v>
      </c>
      <c r="N130">
        <f>IF((N$1*1)&lt;=MAX('DB Costi-Ore YtD'!$A:$A),SUMIFS('DB Costi-Ore YtD'!$G:$G,'DB Costi-Ore YtD'!$A:$A,N$1,'DB Costi-Ore YtD'!$B:$B,$A130,'DB Costi-Ore YtD'!$E:$E,$C130)-SUM($D130:M130),0)</f>
        <v>0</v>
      </c>
      <c r="O130">
        <f>IF((O$1*1)&lt;=MAX('DB Costi-Ore YtD'!$A:$A),SUMIFS('DB Costi-Ore YtD'!$G:$G,'DB Costi-Ore YtD'!$A:$A,O$1,'DB Costi-Ore YtD'!$B:$B,$A130,'DB Costi-Ore YtD'!$E:$E,$C130)-SUM($D130:N130),0)</f>
        <v>0</v>
      </c>
    </row>
    <row r="131" spans="1:15" hidden="1" x14ac:dyDescent="0.3">
      <c r="A131" t="s">
        <v>287</v>
      </c>
      <c r="B131" t="s">
        <v>288</v>
      </c>
      <c r="C131" t="s">
        <v>5</v>
      </c>
      <c r="D131">
        <f>IF((D$1*1)&lt;=MAX('DB Costi-Ore YtD'!$A:$A),SUMIFS('DB Costi-Ore YtD'!$G:$G,'DB Costi-Ore YtD'!$A:$A,D$1,'DB Costi-Ore YtD'!$B:$B,$A131,'DB Costi-Ore YtD'!$E:$E,$C131),0)</f>
        <v>1558.6</v>
      </c>
      <c r="E131">
        <f>IF((E$1*1)&lt;=MAX('DB Costi-Ore YtD'!$A:$A),SUMIFS('DB Costi-Ore YtD'!$G:$G,'DB Costi-Ore YtD'!$A:$A,E$1,'DB Costi-Ore YtD'!$B:$B,$A131,'DB Costi-Ore YtD'!$E:$E,$C131)-SUM($D131:D131),0)</f>
        <v>1497.04</v>
      </c>
      <c r="F131">
        <f>IF((F$1*1)&lt;=MAX('DB Costi-Ore YtD'!$A:$A),SUMIFS('DB Costi-Ore YtD'!$G:$G,'DB Costi-Ore YtD'!$A:$A,F$1,'DB Costi-Ore YtD'!$B:$B,$A131,'DB Costi-Ore YtD'!$E:$E,$C131)-SUM($D131:E131),0)</f>
        <v>1431.48</v>
      </c>
      <c r="G131">
        <f>IF((G$1*1)&lt;=MAX('DB Costi-Ore YtD'!$A:$A),SUMIFS('DB Costi-Ore YtD'!$G:$G,'DB Costi-Ore YtD'!$A:$A,G$1,'DB Costi-Ore YtD'!$B:$B,$A131,'DB Costi-Ore YtD'!$E:$E,$C131)-SUM($D131:F131),0)</f>
        <v>1494.2399999999998</v>
      </c>
      <c r="H131">
        <f>IF((H$1*1)&lt;=MAX('DB Costi-Ore YtD'!$A:$A),SUMIFS('DB Costi-Ore YtD'!$G:$G,'DB Costi-Ore YtD'!$A:$A,H$1,'DB Costi-Ore YtD'!$B:$B,$A131,'DB Costi-Ore YtD'!$E:$E,$C131)-SUM($D131:G131),0)</f>
        <v>1563.62</v>
      </c>
      <c r="I131">
        <f>IF((I$1*1)&lt;=MAX('DB Costi-Ore YtD'!$A:$A),SUMIFS('DB Costi-Ore YtD'!$G:$G,'DB Costi-Ore YtD'!$A:$A,I$1,'DB Costi-Ore YtD'!$B:$B,$A131,'DB Costi-Ore YtD'!$E:$E,$C131)-SUM($D131:H131),0)</f>
        <v>1430.6599999999999</v>
      </c>
      <c r="J131">
        <f>IF((J$1*1)&lt;=MAX('DB Costi-Ore YtD'!$A:$A),SUMIFS('DB Costi-Ore YtD'!$G:$G,'DB Costi-Ore YtD'!$A:$A,J$1,'DB Costi-Ore YtD'!$B:$B,$A131,'DB Costi-Ore YtD'!$E:$E,$C131)-SUM($D131:I131),0)</f>
        <v>0</v>
      </c>
      <c r="K131">
        <f>IF((K$1*1)&lt;=MAX('DB Costi-Ore YtD'!$A:$A),SUMIFS('DB Costi-Ore YtD'!$G:$G,'DB Costi-Ore YtD'!$A:$A,K$1,'DB Costi-Ore YtD'!$B:$B,$A131,'DB Costi-Ore YtD'!$E:$E,$C131)-SUM($D131:J131),0)</f>
        <v>0</v>
      </c>
      <c r="L131">
        <f>IF((L$1*1)&lt;=MAX('DB Costi-Ore YtD'!$A:$A),SUMIFS('DB Costi-Ore YtD'!$G:$G,'DB Costi-Ore YtD'!$A:$A,L$1,'DB Costi-Ore YtD'!$B:$B,$A131,'DB Costi-Ore YtD'!$E:$E,$C131)-SUM($D131:K131),0)</f>
        <v>0</v>
      </c>
      <c r="M131">
        <f>IF((M$1*1)&lt;=MAX('DB Costi-Ore YtD'!$A:$A),SUMIFS('DB Costi-Ore YtD'!$G:$G,'DB Costi-Ore YtD'!$A:$A,M$1,'DB Costi-Ore YtD'!$B:$B,$A131,'DB Costi-Ore YtD'!$E:$E,$C131)-SUM($D131:L131),0)</f>
        <v>0</v>
      </c>
      <c r="N131">
        <f>IF((N$1*1)&lt;=MAX('DB Costi-Ore YtD'!$A:$A),SUMIFS('DB Costi-Ore YtD'!$G:$G,'DB Costi-Ore YtD'!$A:$A,N$1,'DB Costi-Ore YtD'!$B:$B,$A131,'DB Costi-Ore YtD'!$E:$E,$C131)-SUM($D131:M131),0)</f>
        <v>0</v>
      </c>
      <c r="O131">
        <f>IF((O$1*1)&lt;=MAX('DB Costi-Ore YtD'!$A:$A),SUMIFS('DB Costi-Ore YtD'!$G:$G,'DB Costi-Ore YtD'!$A:$A,O$1,'DB Costi-Ore YtD'!$B:$B,$A131,'DB Costi-Ore YtD'!$E:$E,$C131)-SUM($D131:N131),0)</f>
        <v>0</v>
      </c>
    </row>
    <row r="132" spans="1:15" hidden="1" x14ac:dyDescent="0.3">
      <c r="A132" t="s">
        <v>289</v>
      </c>
      <c r="B132" t="s">
        <v>290</v>
      </c>
      <c r="C132" t="s">
        <v>5</v>
      </c>
      <c r="D132">
        <f>IF((D$1*1)&lt;=MAX('DB Costi-Ore YtD'!$A:$A),SUMIFS('DB Costi-Ore YtD'!$G:$G,'DB Costi-Ore YtD'!$A:$A,D$1,'DB Costi-Ore YtD'!$B:$B,$A132,'DB Costi-Ore YtD'!$E:$E,$C132),0)</f>
        <v>1667.37</v>
      </c>
      <c r="E132">
        <f>IF((E$1*1)&lt;=MAX('DB Costi-Ore YtD'!$A:$A),SUMIFS('DB Costi-Ore YtD'!$G:$G,'DB Costi-Ore YtD'!$A:$A,E$1,'DB Costi-Ore YtD'!$B:$B,$A132,'DB Costi-Ore YtD'!$E:$E,$C132)-SUM($D132:D132),0)</f>
        <v>1616.6</v>
      </c>
      <c r="F132">
        <f>IF((F$1*1)&lt;=MAX('DB Costi-Ore YtD'!$A:$A),SUMIFS('DB Costi-Ore YtD'!$G:$G,'DB Costi-Ore YtD'!$A:$A,F$1,'DB Costi-Ore YtD'!$B:$B,$A132,'DB Costi-Ore YtD'!$E:$E,$C132)-SUM($D132:E132),0)</f>
        <v>1573.2000000000003</v>
      </c>
      <c r="G132">
        <f>IF((G$1*1)&lt;=MAX('DB Costi-Ore YtD'!$A:$A),SUMIFS('DB Costi-Ore YtD'!$G:$G,'DB Costi-Ore YtD'!$A:$A,G$1,'DB Costi-Ore YtD'!$B:$B,$A132,'DB Costi-Ore YtD'!$E:$E,$C132)-SUM($D132:F132),0)</f>
        <v>1544.37</v>
      </c>
      <c r="H132">
        <f>IF((H$1*1)&lt;=MAX('DB Costi-Ore YtD'!$A:$A),SUMIFS('DB Costi-Ore YtD'!$G:$G,'DB Costi-Ore YtD'!$A:$A,H$1,'DB Costi-Ore YtD'!$B:$B,$A132,'DB Costi-Ore YtD'!$E:$E,$C132)-SUM($D132:G132),0)</f>
        <v>1553.6200000000008</v>
      </c>
      <c r="I132">
        <f>IF((I$1*1)&lt;=MAX('DB Costi-Ore YtD'!$A:$A),SUMIFS('DB Costi-Ore YtD'!$G:$G,'DB Costi-Ore YtD'!$A:$A,I$1,'DB Costi-Ore YtD'!$B:$B,$A132,'DB Costi-Ore YtD'!$E:$E,$C132)-SUM($D132:H132),0)</f>
        <v>1573.38</v>
      </c>
      <c r="J132">
        <f>IF((J$1*1)&lt;=MAX('DB Costi-Ore YtD'!$A:$A),SUMIFS('DB Costi-Ore YtD'!$G:$G,'DB Costi-Ore YtD'!$A:$A,J$1,'DB Costi-Ore YtD'!$B:$B,$A132,'DB Costi-Ore YtD'!$E:$E,$C132)-SUM($D132:I132),0)</f>
        <v>0</v>
      </c>
      <c r="K132">
        <f>IF((K$1*1)&lt;=MAX('DB Costi-Ore YtD'!$A:$A),SUMIFS('DB Costi-Ore YtD'!$G:$G,'DB Costi-Ore YtD'!$A:$A,K$1,'DB Costi-Ore YtD'!$B:$B,$A132,'DB Costi-Ore YtD'!$E:$E,$C132)-SUM($D132:J132),0)</f>
        <v>0</v>
      </c>
      <c r="L132">
        <f>IF((L$1*1)&lt;=MAX('DB Costi-Ore YtD'!$A:$A),SUMIFS('DB Costi-Ore YtD'!$G:$G,'DB Costi-Ore YtD'!$A:$A,L$1,'DB Costi-Ore YtD'!$B:$B,$A132,'DB Costi-Ore YtD'!$E:$E,$C132)-SUM($D132:K132),0)</f>
        <v>0</v>
      </c>
      <c r="M132">
        <f>IF((M$1*1)&lt;=MAX('DB Costi-Ore YtD'!$A:$A),SUMIFS('DB Costi-Ore YtD'!$G:$G,'DB Costi-Ore YtD'!$A:$A,M$1,'DB Costi-Ore YtD'!$B:$B,$A132,'DB Costi-Ore YtD'!$E:$E,$C132)-SUM($D132:L132),0)</f>
        <v>0</v>
      </c>
      <c r="N132">
        <f>IF((N$1*1)&lt;=MAX('DB Costi-Ore YtD'!$A:$A),SUMIFS('DB Costi-Ore YtD'!$G:$G,'DB Costi-Ore YtD'!$A:$A,N$1,'DB Costi-Ore YtD'!$B:$B,$A132,'DB Costi-Ore YtD'!$E:$E,$C132)-SUM($D132:M132),0)</f>
        <v>0</v>
      </c>
      <c r="O132">
        <f>IF((O$1*1)&lt;=MAX('DB Costi-Ore YtD'!$A:$A),SUMIFS('DB Costi-Ore YtD'!$G:$G,'DB Costi-Ore YtD'!$A:$A,O$1,'DB Costi-Ore YtD'!$B:$B,$A132,'DB Costi-Ore YtD'!$E:$E,$C132)-SUM($D132:N132),0)</f>
        <v>0</v>
      </c>
    </row>
    <row r="133" spans="1:15" hidden="1" x14ac:dyDescent="0.3">
      <c r="A133" t="s">
        <v>291</v>
      </c>
      <c r="B133" t="s">
        <v>292</v>
      </c>
      <c r="C133" t="s">
        <v>14</v>
      </c>
      <c r="D133">
        <f>IF((D$1*1)&lt;=MAX('DB Costi-Ore YtD'!$A:$A),SUMIFS('DB Costi-Ore YtD'!$G:$G,'DB Costi-Ore YtD'!$A:$A,D$1,'DB Costi-Ore YtD'!$B:$B,$A133,'DB Costi-Ore YtD'!$E:$E,$C133),0)</f>
        <v>3018.96</v>
      </c>
      <c r="E133">
        <f>IF((E$1*1)&lt;=MAX('DB Costi-Ore YtD'!$A:$A),SUMIFS('DB Costi-Ore YtD'!$G:$G,'DB Costi-Ore YtD'!$A:$A,E$1,'DB Costi-Ore YtD'!$B:$B,$A133,'DB Costi-Ore YtD'!$E:$E,$C133)-SUM($D133:D133),0)</f>
        <v>2681.87</v>
      </c>
      <c r="F133">
        <f>IF((F$1*1)&lt;=MAX('DB Costi-Ore YtD'!$A:$A),SUMIFS('DB Costi-Ore YtD'!$G:$G,'DB Costi-Ore YtD'!$A:$A,F$1,'DB Costi-Ore YtD'!$B:$B,$A133,'DB Costi-Ore YtD'!$E:$E,$C133)-SUM($D133:E133),0)</f>
        <v>2677.8199999999997</v>
      </c>
      <c r="G133">
        <f>IF((G$1*1)&lt;=MAX('DB Costi-Ore YtD'!$A:$A),SUMIFS('DB Costi-Ore YtD'!$G:$G,'DB Costi-Ore YtD'!$A:$A,G$1,'DB Costi-Ore YtD'!$B:$B,$A133,'DB Costi-Ore YtD'!$E:$E,$C133)-SUM($D133:F133),0)</f>
        <v>2678.6999999999989</v>
      </c>
      <c r="H133">
        <f>IF((H$1*1)&lt;=MAX('DB Costi-Ore YtD'!$A:$A),SUMIFS('DB Costi-Ore YtD'!$G:$G,'DB Costi-Ore YtD'!$A:$A,H$1,'DB Costi-Ore YtD'!$B:$B,$A133,'DB Costi-Ore YtD'!$E:$E,$C133)-SUM($D133:G133),0)</f>
        <v>2677.2900000000009</v>
      </c>
      <c r="I133">
        <f>IF((I$1*1)&lt;=MAX('DB Costi-Ore YtD'!$A:$A),SUMIFS('DB Costi-Ore YtD'!$G:$G,'DB Costi-Ore YtD'!$A:$A,I$1,'DB Costi-Ore YtD'!$B:$B,$A133,'DB Costi-Ore YtD'!$E:$E,$C133)-SUM($D133:H133),0)</f>
        <v>2513.0199999999986</v>
      </c>
      <c r="J133">
        <f>IF((J$1*1)&lt;=MAX('DB Costi-Ore YtD'!$A:$A),SUMIFS('DB Costi-Ore YtD'!$G:$G,'DB Costi-Ore YtD'!$A:$A,J$1,'DB Costi-Ore YtD'!$B:$B,$A133,'DB Costi-Ore YtD'!$E:$E,$C133)-SUM($D133:I133),0)</f>
        <v>0</v>
      </c>
      <c r="K133">
        <f>IF((K$1*1)&lt;=MAX('DB Costi-Ore YtD'!$A:$A),SUMIFS('DB Costi-Ore YtD'!$G:$G,'DB Costi-Ore YtD'!$A:$A,K$1,'DB Costi-Ore YtD'!$B:$B,$A133,'DB Costi-Ore YtD'!$E:$E,$C133)-SUM($D133:J133),0)</f>
        <v>0</v>
      </c>
      <c r="L133">
        <f>IF((L$1*1)&lt;=MAX('DB Costi-Ore YtD'!$A:$A),SUMIFS('DB Costi-Ore YtD'!$G:$G,'DB Costi-Ore YtD'!$A:$A,L$1,'DB Costi-Ore YtD'!$B:$B,$A133,'DB Costi-Ore YtD'!$E:$E,$C133)-SUM($D133:K133),0)</f>
        <v>0</v>
      </c>
      <c r="M133">
        <f>IF((M$1*1)&lt;=MAX('DB Costi-Ore YtD'!$A:$A),SUMIFS('DB Costi-Ore YtD'!$G:$G,'DB Costi-Ore YtD'!$A:$A,M$1,'DB Costi-Ore YtD'!$B:$B,$A133,'DB Costi-Ore YtD'!$E:$E,$C133)-SUM($D133:L133),0)</f>
        <v>0</v>
      </c>
      <c r="N133">
        <f>IF((N$1*1)&lt;=MAX('DB Costi-Ore YtD'!$A:$A),SUMIFS('DB Costi-Ore YtD'!$G:$G,'DB Costi-Ore YtD'!$A:$A,N$1,'DB Costi-Ore YtD'!$B:$B,$A133,'DB Costi-Ore YtD'!$E:$E,$C133)-SUM($D133:M133),0)</f>
        <v>0</v>
      </c>
      <c r="O133">
        <f>IF((O$1*1)&lt;=MAX('DB Costi-Ore YtD'!$A:$A),SUMIFS('DB Costi-Ore YtD'!$G:$G,'DB Costi-Ore YtD'!$A:$A,O$1,'DB Costi-Ore YtD'!$B:$B,$A133,'DB Costi-Ore YtD'!$E:$E,$C133)-SUM($D133:N133),0)</f>
        <v>0</v>
      </c>
    </row>
    <row r="134" spans="1:15" hidden="1" x14ac:dyDescent="0.3">
      <c r="A134" t="s">
        <v>293</v>
      </c>
      <c r="B134" t="s">
        <v>294</v>
      </c>
      <c r="C134" t="s">
        <v>2</v>
      </c>
      <c r="D134">
        <f>IF((D$1*1)&lt;=MAX('DB Costi-Ore YtD'!$A:$A),SUMIFS('DB Costi-Ore YtD'!$G:$G,'DB Costi-Ore YtD'!$A:$A,D$1,'DB Costi-Ore YtD'!$B:$B,$A134,'DB Costi-Ore YtD'!$E:$E,$C134),0)</f>
        <v>2390.25</v>
      </c>
      <c r="E134">
        <f>IF((E$1*1)&lt;=MAX('DB Costi-Ore YtD'!$A:$A),SUMIFS('DB Costi-Ore YtD'!$G:$G,'DB Costi-Ore YtD'!$A:$A,E$1,'DB Costi-Ore YtD'!$B:$B,$A134,'DB Costi-Ore YtD'!$E:$E,$C134)-SUM($D134:D134),0)</f>
        <v>2201.66</v>
      </c>
      <c r="F134">
        <f>IF((F$1*1)&lt;=MAX('DB Costi-Ore YtD'!$A:$A),SUMIFS('DB Costi-Ore YtD'!$G:$G,'DB Costi-Ore YtD'!$A:$A,F$1,'DB Costi-Ore YtD'!$B:$B,$A134,'DB Costi-Ore YtD'!$E:$E,$C134)-SUM($D134:E134),0)</f>
        <v>2112.4400000000005</v>
      </c>
      <c r="G134">
        <f>IF((G$1*1)&lt;=MAX('DB Costi-Ore YtD'!$A:$A),SUMIFS('DB Costi-Ore YtD'!$G:$G,'DB Costi-Ore YtD'!$A:$A,G$1,'DB Costi-Ore YtD'!$B:$B,$A134,'DB Costi-Ore YtD'!$E:$E,$C134)-SUM($D134:F134),0)</f>
        <v>2260.489999999998</v>
      </c>
      <c r="H134">
        <f>IF((H$1*1)&lt;=MAX('DB Costi-Ore YtD'!$A:$A),SUMIFS('DB Costi-Ore YtD'!$G:$G,'DB Costi-Ore YtD'!$A:$A,H$1,'DB Costi-Ore YtD'!$B:$B,$A134,'DB Costi-Ore YtD'!$E:$E,$C134)-SUM($D134:G134),0)</f>
        <v>2028.1200000000008</v>
      </c>
      <c r="I134">
        <f>IF((I$1*1)&lt;=MAX('DB Costi-Ore YtD'!$A:$A),SUMIFS('DB Costi-Ore YtD'!$G:$G,'DB Costi-Ore YtD'!$A:$A,I$1,'DB Costi-Ore YtD'!$B:$B,$A134,'DB Costi-Ore YtD'!$E:$E,$C134)-SUM($D134:H134),0)</f>
        <v>1981.6200000000008</v>
      </c>
      <c r="J134">
        <f>IF((J$1*1)&lt;=MAX('DB Costi-Ore YtD'!$A:$A),SUMIFS('DB Costi-Ore YtD'!$G:$G,'DB Costi-Ore YtD'!$A:$A,J$1,'DB Costi-Ore YtD'!$B:$B,$A134,'DB Costi-Ore YtD'!$E:$E,$C134)-SUM($D134:I134),0)</f>
        <v>0</v>
      </c>
      <c r="K134">
        <f>IF((K$1*1)&lt;=MAX('DB Costi-Ore YtD'!$A:$A),SUMIFS('DB Costi-Ore YtD'!$G:$G,'DB Costi-Ore YtD'!$A:$A,K$1,'DB Costi-Ore YtD'!$B:$B,$A134,'DB Costi-Ore YtD'!$E:$E,$C134)-SUM($D134:J134),0)</f>
        <v>0</v>
      </c>
      <c r="L134">
        <f>IF((L$1*1)&lt;=MAX('DB Costi-Ore YtD'!$A:$A),SUMIFS('DB Costi-Ore YtD'!$G:$G,'DB Costi-Ore YtD'!$A:$A,L$1,'DB Costi-Ore YtD'!$B:$B,$A134,'DB Costi-Ore YtD'!$E:$E,$C134)-SUM($D134:K134),0)</f>
        <v>0</v>
      </c>
      <c r="M134">
        <f>IF((M$1*1)&lt;=MAX('DB Costi-Ore YtD'!$A:$A),SUMIFS('DB Costi-Ore YtD'!$G:$G,'DB Costi-Ore YtD'!$A:$A,M$1,'DB Costi-Ore YtD'!$B:$B,$A134,'DB Costi-Ore YtD'!$E:$E,$C134)-SUM($D134:L134),0)</f>
        <v>0</v>
      </c>
      <c r="N134">
        <f>IF((N$1*1)&lt;=MAX('DB Costi-Ore YtD'!$A:$A),SUMIFS('DB Costi-Ore YtD'!$G:$G,'DB Costi-Ore YtD'!$A:$A,N$1,'DB Costi-Ore YtD'!$B:$B,$A134,'DB Costi-Ore YtD'!$E:$E,$C134)-SUM($D134:M134),0)</f>
        <v>0</v>
      </c>
      <c r="O134">
        <f>IF((O$1*1)&lt;=MAX('DB Costi-Ore YtD'!$A:$A),SUMIFS('DB Costi-Ore YtD'!$G:$G,'DB Costi-Ore YtD'!$A:$A,O$1,'DB Costi-Ore YtD'!$B:$B,$A134,'DB Costi-Ore YtD'!$E:$E,$C134)-SUM($D134:N134),0)</f>
        <v>0</v>
      </c>
    </row>
    <row r="135" spans="1:15" hidden="1" x14ac:dyDescent="0.3">
      <c r="A135" t="s">
        <v>295</v>
      </c>
      <c r="B135" t="s">
        <v>296</v>
      </c>
      <c r="C135" t="s">
        <v>5</v>
      </c>
      <c r="D135">
        <f>IF((D$1*1)&lt;=MAX('DB Costi-Ore YtD'!$A:$A),SUMIFS('DB Costi-Ore YtD'!$G:$G,'DB Costi-Ore YtD'!$A:$A,D$1,'DB Costi-Ore YtD'!$B:$B,$A135,'DB Costi-Ore YtD'!$E:$E,$C135),0)</f>
        <v>1474.7600000000002</v>
      </c>
      <c r="E135">
        <f>IF((E$1*1)&lt;=MAX('DB Costi-Ore YtD'!$A:$A),SUMIFS('DB Costi-Ore YtD'!$G:$G,'DB Costi-Ore YtD'!$A:$A,E$1,'DB Costi-Ore YtD'!$B:$B,$A135,'DB Costi-Ore YtD'!$E:$E,$C135)-SUM($D135:D135),0)</f>
        <v>1503.0299999999997</v>
      </c>
      <c r="F135">
        <f>IF((F$1*1)&lt;=MAX('DB Costi-Ore YtD'!$A:$A),SUMIFS('DB Costi-Ore YtD'!$G:$G,'DB Costi-Ore YtD'!$A:$A,F$1,'DB Costi-Ore YtD'!$B:$B,$A135,'DB Costi-Ore YtD'!$E:$E,$C135)-SUM($D135:E135),0)</f>
        <v>1085.5200000000004</v>
      </c>
      <c r="G135">
        <f>IF((G$1*1)&lt;=MAX('DB Costi-Ore YtD'!$A:$A),SUMIFS('DB Costi-Ore YtD'!$G:$G,'DB Costi-Ore YtD'!$A:$A,G$1,'DB Costi-Ore YtD'!$B:$B,$A135,'DB Costi-Ore YtD'!$E:$E,$C135)-SUM($D135:F135),0)</f>
        <v>1453.29</v>
      </c>
      <c r="H135">
        <f>IF((H$1*1)&lt;=MAX('DB Costi-Ore YtD'!$A:$A),SUMIFS('DB Costi-Ore YtD'!$G:$G,'DB Costi-Ore YtD'!$A:$A,H$1,'DB Costi-Ore YtD'!$B:$B,$A135,'DB Costi-Ore YtD'!$E:$E,$C135)-SUM($D135:G135),0)</f>
        <v>1347.7299999999987</v>
      </c>
      <c r="I135">
        <f>IF((I$1*1)&lt;=MAX('DB Costi-Ore YtD'!$A:$A),SUMIFS('DB Costi-Ore YtD'!$G:$G,'DB Costi-Ore YtD'!$A:$A,I$1,'DB Costi-Ore YtD'!$B:$B,$A135,'DB Costi-Ore YtD'!$E:$E,$C135)-SUM($D135:H135),0)</f>
        <v>1334.9300000000012</v>
      </c>
      <c r="J135">
        <f>IF((J$1*1)&lt;=MAX('DB Costi-Ore YtD'!$A:$A),SUMIFS('DB Costi-Ore YtD'!$G:$G,'DB Costi-Ore YtD'!$A:$A,J$1,'DB Costi-Ore YtD'!$B:$B,$A135,'DB Costi-Ore YtD'!$E:$E,$C135)-SUM($D135:I135),0)</f>
        <v>0</v>
      </c>
      <c r="K135">
        <f>IF((K$1*1)&lt;=MAX('DB Costi-Ore YtD'!$A:$A),SUMIFS('DB Costi-Ore YtD'!$G:$G,'DB Costi-Ore YtD'!$A:$A,K$1,'DB Costi-Ore YtD'!$B:$B,$A135,'DB Costi-Ore YtD'!$E:$E,$C135)-SUM($D135:J135),0)</f>
        <v>0</v>
      </c>
      <c r="L135">
        <f>IF((L$1*1)&lt;=MAX('DB Costi-Ore YtD'!$A:$A),SUMIFS('DB Costi-Ore YtD'!$G:$G,'DB Costi-Ore YtD'!$A:$A,L$1,'DB Costi-Ore YtD'!$B:$B,$A135,'DB Costi-Ore YtD'!$E:$E,$C135)-SUM($D135:K135),0)</f>
        <v>0</v>
      </c>
      <c r="M135">
        <f>IF((M$1*1)&lt;=MAX('DB Costi-Ore YtD'!$A:$A),SUMIFS('DB Costi-Ore YtD'!$G:$G,'DB Costi-Ore YtD'!$A:$A,M$1,'DB Costi-Ore YtD'!$B:$B,$A135,'DB Costi-Ore YtD'!$E:$E,$C135)-SUM($D135:L135),0)</f>
        <v>0</v>
      </c>
      <c r="N135">
        <f>IF((N$1*1)&lt;=MAX('DB Costi-Ore YtD'!$A:$A),SUMIFS('DB Costi-Ore YtD'!$G:$G,'DB Costi-Ore YtD'!$A:$A,N$1,'DB Costi-Ore YtD'!$B:$B,$A135,'DB Costi-Ore YtD'!$E:$E,$C135)-SUM($D135:M135),0)</f>
        <v>0</v>
      </c>
      <c r="O135">
        <f>IF((O$1*1)&lt;=MAX('DB Costi-Ore YtD'!$A:$A),SUMIFS('DB Costi-Ore YtD'!$G:$G,'DB Costi-Ore YtD'!$A:$A,O$1,'DB Costi-Ore YtD'!$B:$B,$A135,'DB Costi-Ore YtD'!$E:$E,$C135)-SUM($D135:N135),0)</f>
        <v>0</v>
      </c>
    </row>
    <row r="136" spans="1:15" hidden="1" x14ac:dyDescent="0.3">
      <c r="A136" t="s">
        <v>297</v>
      </c>
      <c r="B136" t="s">
        <v>298</v>
      </c>
      <c r="C136" t="s">
        <v>2</v>
      </c>
      <c r="D136">
        <f>IF((D$1*1)&lt;=MAX('DB Costi-Ore YtD'!$A:$A),SUMIFS('DB Costi-Ore YtD'!$G:$G,'DB Costi-Ore YtD'!$A:$A,D$1,'DB Costi-Ore YtD'!$B:$B,$A136,'DB Costi-Ore YtD'!$E:$E,$C136),0)</f>
        <v>2067.4399999999996</v>
      </c>
      <c r="E136">
        <f>IF((E$1*1)&lt;=MAX('DB Costi-Ore YtD'!$A:$A),SUMIFS('DB Costi-Ore YtD'!$G:$G,'DB Costi-Ore YtD'!$A:$A,E$1,'DB Costi-Ore YtD'!$B:$B,$A136,'DB Costi-Ore YtD'!$E:$E,$C136)-SUM($D136:D136),0)</f>
        <v>1934.6099999999997</v>
      </c>
      <c r="F136">
        <f>IF((F$1*1)&lt;=MAX('DB Costi-Ore YtD'!$A:$A),SUMIFS('DB Costi-Ore YtD'!$G:$G,'DB Costi-Ore YtD'!$A:$A,F$1,'DB Costi-Ore YtD'!$B:$B,$A136,'DB Costi-Ore YtD'!$E:$E,$C136)-SUM($D136:E136),0)</f>
        <v>2149.7500000000009</v>
      </c>
      <c r="G136">
        <f>IF((G$1*1)&lt;=MAX('DB Costi-Ore YtD'!$A:$A),SUMIFS('DB Costi-Ore YtD'!$G:$G,'DB Costi-Ore YtD'!$A:$A,G$1,'DB Costi-Ore YtD'!$B:$B,$A136,'DB Costi-Ore YtD'!$E:$E,$C136)-SUM($D136:F136),0)</f>
        <v>2150.0200000000013</v>
      </c>
      <c r="H136">
        <f>IF((H$1*1)&lt;=MAX('DB Costi-Ore YtD'!$A:$A),SUMIFS('DB Costi-Ore YtD'!$G:$G,'DB Costi-Ore YtD'!$A:$A,H$1,'DB Costi-Ore YtD'!$B:$B,$A136,'DB Costi-Ore YtD'!$E:$E,$C136)-SUM($D136:G136),0)</f>
        <v>2124.8000000000011</v>
      </c>
      <c r="I136">
        <f>IF((I$1*1)&lt;=MAX('DB Costi-Ore YtD'!$A:$A),SUMIFS('DB Costi-Ore YtD'!$G:$G,'DB Costi-Ore YtD'!$A:$A,I$1,'DB Costi-Ore YtD'!$B:$B,$A136,'DB Costi-Ore YtD'!$E:$E,$C136)-SUM($D136:H136),0)</f>
        <v>2202.0999999999967</v>
      </c>
      <c r="J136">
        <f>IF((J$1*1)&lt;=MAX('DB Costi-Ore YtD'!$A:$A),SUMIFS('DB Costi-Ore YtD'!$G:$G,'DB Costi-Ore YtD'!$A:$A,J$1,'DB Costi-Ore YtD'!$B:$B,$A136,'DB Costi-Ore YtD'!$E:$E,$C136)-SUM($D136:I136),0)</f>
        <v>0</v>
      </c>
      <c r="K136">
        <f>IF((K$1*1)&lt;=MAX('DB Costi-Ore YtD'!$A:$A),SUMIFS('DB Costi-Ore YtD'!$G:$G,'DB Costi-Ore YtD'!$A:$A,K$1,'DB Costi-Ore YtD'!$B:$B,$A136,'DB Costi-Ore YtD'!$E:$E,$C136)-SUM($D136:J136),0)</f>
        <v>0</v>
      </c>
      <c r="L136">
        <f>IF((L$1*1)&lt;=MAX('DB Costi-Ore YtD'!$A:$A),SUMIFS('DB Costi-Ore YtD'!$G:$G,'DB Costi-Ore YtD'!$A:$A,L$1,'DB Costi-Ore YtD'!$B:$B,$A136,'DB Costi-Ore YtD'!$E:$E,$C136)-SUM($D136:K136),0)</f>
        <v>0</v>
      </c>
      <c r="M136">
        <f>IF((M$1*1)&lt;=MAX('DB Costi-Ore YtD'!$A:$A),SUMIFS('DB Costi-Ore YtD'!$G:$G,'DB Costi-Ore YtD'!$A:$A,M$1,'DB Costi-Ore YtD'!$B:$B,$A136,'DB Costi-Ore YtD'!$E:$E,$C136)-SUM($D136:L136),0)</f>
        <v>0</v>
      </c>
      <c r="N136">
        <f>IF((N$1*1)&lt;=MAX('DB Costi-Ore YtD'!$A:$A),SUMIFS('DB Costi-Ore YtD'!$G:$G,'DB Costi-Ore YtD'!$A:$A,N$1,'DB Costi-Ore YtD'!$B:$B,$A136,'DB Costi-Ore YtD'!$E:$E,$C136)-SUM($D136:M136),0)</f>
        <v>0</v>
      </c>
      <c r="O136">
        <f>IF((O$1*1)&lt;=MAX('DB Costi-Ore YtD'!$A:$A),SUMIFS('DB Costi-Ore YtD'!$G:$G,'DB Costi-Ore YtD'!$A:$A,O$1,'DB Costi-Ore YtD'!$B:$B,$A136,'DB Costi-Ore YtD'!$E:$E,$C136)-SUM($D136:N136),0)</f>
        <v>0</v>
      </c>
    </row>
    <row r="137" spans="1:15" hidden="1" x14ac:dyDescent="0.3">
      <c r="A137" t="s">
        <v>299</v>
      </c>
      <c r="B137" t="s">
        <v>300</v>
      </c>
      <c r="C137" t="s">
        <v>10</v>
      </c>
      <c r="D137">
        <f>IF((D$1*1)&lt;=MAX('DB Costi-Ore YtD'!$A:$A),SUMIFS('DB Costi-Ore YtD'!$G:$G,'DB Costi-Ore YtD'!$A:$A,D$1,'DB Costi-Ore YtD'!$B:$B,$A137,'DB Costi-Ore YtD'!$E:$E,$C137),0)</f>
        <v>2244.63</v>
      </c>
      <c r="E137">
        <f>IF((E$1*1)&lt;=MAX('DB Costi-Ore YtD'!$A:$A),SUMIFS('DB Costi-Ore YtD'!$G:$G,'DB Costi-Ore YtD'!$A:$A,E$1,'DB Costi-Ore YtD'!$B:$B,$A137,'DB Costi-Ore YtD'!$E:$E,$C137)-SUM($D137:D137),0)</f>
        <v>1786.7900000000004</v>
      </c>
      <c r="F137">
        <f>IF((F$1*1)&lt;=MAX('DB Costi-Ore YtD'!$A:$A),SUMIFS('DB Costi-Ore YtD'!$G:$G,'DB Costi-Ore YtD'!$A:$A,F$1,'DB Costi-Ore YtD'!$B:$B,$A137,'DB Costi-Ore YtD'!$E:$E,$C137)-SUM($D137:E137),0)</f>
        <v>1807.35</v>
      </c>
      <c r="G137">
        <f>IF((G$1*1)&lt;=MAX('DB Costi-Ore YtD'!$A:$A),SUMIFS('DB Costi-Ore YtD'!$G:$G,'DB Costi-Ore YtD'!$A:$A,G$1,'DB Costi-Ore YtD'!$B:$B,$A137,'DB Costi-Ore YtD'!$E:$E,$C137)-SUM($D137:F137),0)</f>
        <v>2085.0999999999995</v>
      </c>
      <c r="H137">
        <f>IF((H$1*1)&lt;=MAX('DB Costi-Ore YtD'!$A:$A),SUMIFS('DB Costi-Ore YtD'!$G:$G,'DB Costi-Ore YtD'!$A:$A,H$1,'DB Costi-Ore YtD'!$B:$B,$A137,'DB Costi-Ore YtD'!$E:$E,$C137)-SUM($D137:G137),0)</f>
        <v>1625.4500000000016</v>
      </c>
      <c r="I137">
        <f>IF((I$1*1)&lt;=MAX('DB Costi-Ore YtD'!$A:$A),SUMIFS('DB Costi-Ore YtD'!$G:$G,'DB Costi-Ore YtD'!$A:$A,I$1,'DB Costi-Ore YtD'!$B:$B,$A137,'DB Costi-Ore YtD'!$E:$E,$C137)-SUM($D137:H137),0)</f>
        <v>2843.6199999999972</v>
      </c>
      <c r="J137">
        <f>IF((J$1*1)&lt;=MAX('DB Costi-Ore YtD'!$A:$A),SUMIFS('DB Costi-Ore YtD'!$G:$G,'DB Costi-Ore YtD'!$A:$A,J$1,'DB Costi-Ore YtD'!$B:$B,$A137,'DB Costi-Ore YtD'!$E:$E,$C137)-SUM($D137:I137),0)</f>
        <v>0</v>
      </c>
      <c r="K137">
        <f>IF((K$1*1)&lt;=MAX('DB Costi-Ore YtD'!$A:$A),SUMIFS('DB Costi-Ore YtD'!$G:$G,'DB Costi-Ore YtD'!$A:$A,K$1,'DB Costi-Ore YtD'!$B:$B,$A137,'DB Costi-Ore YtD'!$E:$E,$C137)-SUM($D137:J137),0)</f>
        <v>0</v>
      </c>
      <c r="L137">
        <f>IF((L$1*1)&lt;=MAX('DB Costi-Ore YtD'!$A:$A),SUMIFS('DB Costi-Ore YtD'!$G:$G,'DB Costi-Ore YtD'!$A:$A,L$1,'DB Costi-Ore YtD'!$B:$B,$A137,'DB Costi-Ore YtD'!$E:$E,$C137)-SUM($D137:K137),0)</f>
        <v>0</v>
      </c>
      <c r="M137">
        <f>IF((M$1*1)&lt;=MAX('DB Costi-Ore YtD'!$A:$A),SUMIFS('DB Costi-Ore YtD'!$G:$G,'DB Costi-Ore YtD'!$A:$A,M$1,'DB Costi-Ore YtD'!$B:$B,$A137,'DB Costi-Ore YtD'!$E:$E,$C137)-SUM($D137:L137),0)</f>
        <v>0</v>
      </c>
      <c r="N137">
        <f>IF((N$1*1)&lt;=MAX('DB Costi-Ore YtD'!$A:$A),SUMIFS('DB Costi-Ore YtD'!$G:$G,'DB Costi-Ore YtD'!$A:$A,N$1,'DB Costi-Ore YtD'!$B:$B,$A137,'DB Costi-Ore YtD'!$E:$E,$C137)-SUM($D137:M137),0)</f>
        <v>0</v>
      </c>
      <c r="O137">
        <f>IF((O$1*1)&lt;=MAX('DB Costi-Ore YtD'!$A:$A),SUMIFS('DB Costi-Ore YtD'!$G:$G,'DB Costi-Ore YtD'!$A:$A,O$1,'DB Costi-Ore YtD'!$B:$B,$A137,'DB Costi-Ore YtD'!$E:$E,$C137)-SUM($D137:N137),0)</f>
        <v>0</v>
      </c>
    </row>
    <row r="138" spans="1:15" hidden="1" x14ac:dyDescent="0.3">
      <c r="A138" t="s">
        <v>301</v>
      </c>
      <c r="B138" t="s">
        <v>302</v>
      </c>
      <c r="C138" t="s">
        <v>5</v>
      </c>
      <c r="D138">
        <f>IF((D$1*1)&lt;=MAX('DB Costi-Ore YtD'!$A:$A),SUMIFS('DB Costi-Ore YtD'!$G:$G,'DB Costi-Ore YtD'!$A:$A,D$1,'DB Costi-Ore YtD'!$B:$B,$A138,'DB Costi-Ore YtD'!$E:$E,$C138),0)</f>
        <v>858.04</v>
      </c>
      <c r="E138">
        <f>IF((E$1*1)&lt;=MAX('DB Costi-Ore YtD'!$A:$A),SUMIFS('DB Costi-Ore YtD'!$G:$G,'DB Costi-Ore YtD'!$A:$A,E$1,'DB Costi-Ore YtD'!$B:$B,$A138,'DB Costi-Ore YtD'!$E:$E,$C138)-SUM($D138:D138),0)</f>
        <v>1548.9900000000002</v>
      </c>
      <c r="F138">
        <f>IF((F$1*1)&lt;=MAX('DB Costi-Ore YtD'!$A:$A),SUMIFS('DB Costi-Ore YtD'!$G:$G,'DB Costi-Ore YtD'!$A:$A,F$1,'DB Costi-Ore YtD'!$B:$B,$A138,'DB Costi-Ore YtD'!$E:$E,$C138)-SUM($D138:E138),0)</f>
        <v>1581.4699999999998</v>
      </c>
      <c r="G138">
        <f>IF((G$1*1)&lt;=MAX('DB Costi-Ore YtD'!$A:$A),SUMIFS('DB Costi-Ore YtD'!$G:$G,'DB Costi-Ore YtD'!$A:$A,G$1,'DB Costi-Ore YtD'!$B:$B,$A138,'DB Costi-Ore YtD'!$E:$E,$C138)-SUM($D138:F138),0)</f>
        <v>1460.4699999999993</v>
      </c>
      <c r="H138">
        <f>IF((H$1*1)&lt;=MAX('DB Costi-Ore YtD'!$A:$A),SUMIFS('DB Costi-Ore YtD'!$G:$G,'DB Costi-Ore YtD'!$A:$A,H$1,'DB Costi-Ore YtD'!$B:$B,$A138,'DB Costi-Ore YtD'!$E:$E,$C138)-SUM($D138:G138),0)</f>
        <v>1568.2600000000002</v>
      </c>
      <c r="I138">
        <f>IF((I$1*1)&lt;=MAX('DB Costi-Ore YtD'!$A:$A),SUMIFS('DB Costi-Ore YtD'!$G:$G,'DB Costi-Ore YtD'!$A:$A,I$1,'DB Costi-Ore YtD'!$B:$B,$A138,'DB Costi-Ore YtD'!$E:$E,$C138)-SUM($D138:H138),0)</f>
        <v>215.8700000000008</v>
      </c>
      <c r="J138">
        <f>IF((J$1*1)&lt;=MAX('DB Costi-Ore YtD'!$A:$A),SUMIFS('DB Costi-Ore YtD'!$G:$G,'DB Costi-Ore YtD'!$A:$A,J$1,'DB Costi-Ore YtD'!$B:$B,$A138,'DB Costi-Ore YtD'!$E:$E,$C138)-SUM($D138:I138),0)</f>
        <v>0</v>
      </c>
      <c r="K138">
        <f>IF((K$1*1)&lt;=MAX('DB Costi-Ore YtD'!$A:$A),SUMIFS('DB Costi-Ore YtD'!$G:$G,'DB Costi-Ore YtD'!$A:$A,K$1,'DB Costi-Ore YtD'!$B:$B,$A138,'DB Costi-Ore YtD'!$E:$E,$C138)-SUM($D138:J138),0)</f>
        <v>0</v>
      </c>
      <c r="L138">
        <f>IF((L$1*1)&lt;=MAX('DB Costi-Ore YtD'!$A:$A),SUMIFS('DB Costi-Ore YtD'!$G:$G,'DB Costi-Ore YtD'!$A:$A,L$1,'DB Costi-Ore YtD'!$B:$B,$A138,'DB Costi-Ore YtD'!$E:$E,$C138)-SUM($D138:K138),0)</f>
        <v>0</v>
      </c>
      <c r="M138">
        <f>IF((M$1*1)&lt;=MAX('DB Costi-Ore YtD'!$A:$A),SUMIFS('DB Costi-Ore YtD'!$G:$G,'DB Costi-Ore YtD'!$A:$A,M$1,'DB Costi-Ore YtD'!$B:$B,$A138,'DB Costi-Ore YtD'!$E:$E,$C138)-SUM($D138:L138),0)</f>
        <v>0</v>
      </c>
      <c r="N138">
        <f>IF((N$1*1)&lt;=MAX('DB Costi-Ore YtD'!$A:$A),SUMIFS('DB Costi-Ore YtD'!$G:$G,'DB Costi-Ore YtD'!$A:$A,N$1,'DB Costi-Ore YtD'!$B:$B,$A138,'DB Costi-Ore YtD'!$E:$E,$C138)-SUM($D138:M138),0)</f>
        <v>0</v>
      </c>
      <c r="O138">
        <f>IF((O$1*1)&lt;=MAX('DB Costi-Ore YtD'!$A:$A),SUMIFS('DB Costi-Ore YtD'!$G:$G,'DB Costi-Ore YtD'!$A:$A,O$1,'DB Costi-Ore YtD'!$B:$B,$A138,'DB Costi-Ore YtD'!$E:$E,$C138)-SUM($D138:N138),0)</f>
        <v>0</v>
      </c>
    </row>
    <row r="139" spans="1:15" x14ac:dyDescent="0.3">
      <c r="A139" t="s">
        <v>303</v>
      </c>
      <c r="B139" t="s">
        <v>304</v>
      </c>
      <c r="C139" t="s">
        <v>13</v>
      </c>
      <c r="D139">
        <f>IF((D$1*1)&lt;=MAX('DB Costi-Ore YtD'!$A:$A),SUMIFS('DB Costi-Ore YtD'!$G:$G,'DB Costi-Ore YtD'!$A:$A,D$1,'DB Costi-Ore YtD'!$B:$B,$A139,'DB Costi-Ore YtD'!$E:$E,$C139),0)</f>
        <v>1934.5199999999998</v>
      </c>
      <c r="E139">
        <f>IF((E$1*1)&lt;=MAX('DB Costi-Ore YtD'!$A:$A),SUMIFS('DB Costi-Ore YtD'!$G:$G,'DB Costi-Ore YtD'!$A:$A,E$1,'DB Costi-Ore YtD'!$B:$B,$A139,'DB Costi-Ore YtD'!$E:$E,$C139)-SUM($D139:D139),0)</f>
        <v>1673.43</v>
      </c>
      <c r="F139">
        <f>IF((F$1*1)&lt;=MAX('DB Costi-Ore YtD'!$A:$A),SUMIFS('DB Costi-Ore YtD'!$G:$G,'DB Costi-Ore YtD'!$A:$A,F$1,'DB Costi-Ore YtD'!$B:$B,$A139,'DB Costi-Ore YtD'!$E:$E,$C139)-SUM($D139:E139),0)</f>
        <v>2050.66</v>
      </c>
      <c r="G139">
        <f>IF((G$1*1)&lt;=MAX('DB Costi-Ore YtD'!$A:$A),SUMIFS('DB Costi-Ore YtD'!$G:$G,'DB Costi-Ore YtD'!$A:$A,G$1,'DB Costi-Ore YtD'!$B:$B,$A139,'DB Costi-Ore YtD'!$E:$E,$C139)-SUM($D139:F139),0)</f>
        <v>285.72000000000025</v>
      </c>
      <c r="H139">
        <f>IF((H$1*1)&lt;=MAX('DB Costi-Ore YtD'!$A:$A),SUMIFS('DB Costi-Ore YtD'!$G:$G,'DB Costi-Ore YtD'!$A:$A,H$1,'DB Costi-Ore YtD'!$B:$B,$A139,'DB Costi-Ore YtD'!$E:$E,$C139)-SUM($D139:G139),0)</f>
        <v>9.0949470177292824E-13</v>
      </c>
      <c r="I139">
        <f>IF((I$1*1)&lt;=MAX('DB Costi-Ore YtD'!$A:$A),SUMIFS('DB Costi-Ore YtD'!$G:$G,'DB Costi-Ore YtD'!$A:$A,I$1,'DB Costi-Ore YtD'!$B:$B,$A139,'DB Costi-Ore YtD'!$E:$E,$C139)-SUM($D139:H139),0)</f>
        <v>0</v>
      </c>
      <c r="J139">
        <f>IF((J$1*1)&lt;=MAX('DB Costi-Ore YtD'!$A:$A),SUMIFS('DB Costi-Ore YtD'!$G:$G,'DB Costi-Ore YtD'!$A:$A,J$1,'DB Costi-Ore YtD'!$B:$B,$A139,'DB Costi-Ore YtD'!$E:$E,$C139)-SUM($D139:I139),0)</f>
        <v>0</v>
      </c>
      <c r="K139">
        <f>IF((K$1*1)&lt;=MAX('DB Costi-Ore YtD'!$A:$A),SUMIFS('DB Costi-Ore YtD'!$G:$G,'DB Costi-Ore YtD'!$A:$A,K$1,'DB Costi-Ore YtD'!$B:$B,$A139,'DB Costi-Ore YtD'!$E:$E,$C139)-SUM($D139:J139),0)</f>
        <v>0</v>
      </c>
      <c r="L139">
        <f>IF((L$1*1)&lt;=MAX('DB Costi-Ore YtD'!$A:$A),SUMIFS('DB Costi-Ore YtD'!$G:$G,'DB Costi-Ore YtD'!$A:$A,L$1,'DB Costi-Ore YtD'!$B:$B,$A139,'DB Costi-Ore YtD'!$E:$E,$C139)-SUM($D139:K139),0)</f>
        <v>0</v>
      </c>
      <c r="M139">
        <f>IF((M$1*1)&lt;=MAX('DB Costi-Ore YtD'!$A:$A),SUMIFS('DB Costi-Ore YtD'!$G:$G,'DB Costi-Ore YtD'!$A:$A,M$1,'DB Costi-Ore YtD'!$B:$B,$A139,'DB Costi-Ore YtD'!$E:$E,$C139)-SUM($D139:L139),0)</f>
        <v>0</v>
      </c>
      <c r="N139">
        <f>IF((N$1*1)&lt;=MAX('DB Costi-Ore YtD'!$A:$A),SUMIFS('DB Costi-Ore YtD'!$G:$G,'DB Costi-Ore YtD'!$A:$A,N$1,'DB Costi-Ore YtD'!$B:$B,$A139,'DB Costi-Ore YtD'!$E:$E,$C139)-SUM($D139:M139),0)</f>
        <v>0</v>
      </c>
      <c r="O139">
        <f>IF((O$1*1)&lt;=MAX('DB Costi-Ore YtD'!$A:$A),SUMIFS('DB Costi-Ore YtD'!$G:$G,'DB Costi-Ore YtD'!$A:$A,O$1,'DB Costi-Ore YtD'!$B:$B,$A139,'DB Costi-Ore YtD'!$E:$E,$C139)-SUM($D139:N139),0)</f>
        <v>0</v>
      </c>
    </row>
    <row r="140" spans="1:15" hidden="1" x14ac:dyDescent="0.3">
      <c r="A140" t="s">
        <v>305</v>
      </c>
      <c r="B140" t="s">
        <v>306</v>
      </c>
      <c r="C140" t="s">
        <v>5</v>
      </c>
      <c r="D140">
        <f>IF((D$1*1)&lt;=MAX('DB Costi-Ore YtD'!$A:$A),SUMIFS('DB Costi-Ore YtD'!$G:$G,'DB Costi-Ore YtD'!$A:$A,D$1,'DB Costi-Ore YtD'!$B:$B,$A140,'DB Costi-Ore YtD'!$E:$E,$C140),0)</f>
        <v>1655.43</v>
      </c>
      <c r="E140">
        <f>IF((E$1*1)&lt;=MAX('DB Costi-Ore YtD'!$A:$A),SUMIFS('DB Costi-Ore YtD'!$G:$G,'DB Costi-Ore YtD'!$A:$A,E$1,'DB Costi-Ore YtD'!$B:$B,$A140,'DB Costi-Ore YtD'!$E:$E,$C140)-SUM($D140:D140),0)</f>
        <v>1660.7800000000004</v>
      </c>
      <c r="F140">
        <f>IF((F$1*1)&lt;=MAX('DB Costi-Ore YtD'!$A:$A),SUMIFS('DB Costi-Ore YtD'!$G:$G,'DB Costi-Ore YtD'!$A:$A,F$1,'DB Costi-Ore YtD'!$B:$B,$A140,'DB Costi-Ore YtD'!$E:$E,$C140)-SUM($D140:E140),0)</f>
        <v>1648.2699999999991</v>
      </c>
      <c r="G140">
        <f>IF((G$1*1)&lt;=MAX('DB Costi-Ore YtD'!$A:$A),SUMIFS('DB Costi-Ore YtD'!$G:$G,'DB Costi-Ore YtD'!$A:$A,G$1,'DB Costi-Ore YtD'!$B:$B,$A140,'DB Costi-Ore YtD'!$E:$E,$C140)-SUM($D140:F140),0)</f>
        <v>1648.3300000000008</v>
      </c>
      <c r="H140">
        <f>IF((H$1*1)&lt;=MAX('DB Costi-Ore YtD'!$A:$A),SUMIFS('DB Costi-Ore YtD'!$G:$G,'DB Costi-Ore YtD'!$A:$A,H$1,'DB Costi-Ore YtD'!$B:$B,$A140,'DB Costi-Ore YtD'!$E:$E,$C140)-SUM($D140:G140),0)</f>
        <v>1666.5400000000018</v>
      </c>
      <c r="I140">
        <f>IF((I$1*1)&lt;=MAX('DB Costi-Ore YtD'!$A:$A),SUMIFS('DB Costi-Ore YtD'!$G:$G,'DB Costi-Ore YtD'!$A:$A,I$1,'DB Costi-Ore YtD'!$B:$B,$A140,'DB Costi-Ore YtD'!$E:$E,$C140)-SUM($D140:H140),0)</f>
        <v>1661.1299999999974</v>
      </c>
      <c r="J140">
        <f>IF((J$1*1)&lt;=MAX('DB Costi-Ore YtD'!$A:$A),SUMIFS('DB Costi-Ore YtD'!$G:$G,'DB Costi-Ore YtD'!$A:$A,J$1,'DB Costi-Ore YtD'!$B:$B,$A140,'DB Costi-Ore YtD'!$E:$E,$C140)-SUM($D140:I140),0)</f>
        <v>0</v>
      </c>
      <c r="K140">
        <f>IF((K$1*1)&lt;=MAX('DB Costi-Ore YtD'!$A:$A),SUMIFS('DB Costi-Ore YtD'!$G:$G,'DB Costi-Ore YtD'!$A:$A,K$1,'DB Costi-Ore YtD'!$B:$B,$A140,'DB Costi-Ore YtD'!$E:$E,$C140)-SUM($D140:J140),0)</f>
        <v>0</v>
      </c>
      <c r="L140">
        <f>IF((L$1*1)&lt;=MAX('DB Costi-Ore YtD'!$A:$A),SUMIFS('DB Costi-Ore YtD'!$G:$G,'DB Costi-Ore YtD'!$A:$A,L$1,'DB Costi-Ore YtD'!$B:$B,$A140,'DB Costi-Ore YtD'!$E:$E,$C140)-SUM($D140:K140),0)</f>
        <v>0</v>
      </c>
      <c r="M140">
        <f>IF((M$1*1)&lt;=MAX('DB Costi-Ore YtD'!$A:$A),SUMIFS('DB Costi-Ore YtD'!$G:$G,'DB Costi-Ore YtD'!$A:$A,M$1,'DB Costi-Ore YtD'!$B:$B,$A140,'DB Costi-Ore YtD'!$E:$E,$C140)-SUM($D140:L140),0)</f>
        <v>0</v>
      </c>
      <c r="N140">
        <f>IF((N$1*1)&lt;=MAX('DB Costi-Ore YtD'!$A:$A),SUMIFS('DB Costi-Ore YtD'!$G:$G,'DB Costi-Ore YtD'!$A:$A,N$1,'DB Costi-Ore YtD'!$B:$B,$A140,'DB Costi-Ore YtD'!$E:$E,$C140)-SUM($D140:M140),0)</f>
        <v>0</v>
      </c>
      <c r="O140">
        <f>IF((O$1*1)&lt;=MAX('DB Costi-Ore YtD'!$A:$A),SUMIFS('DB Costi-Ore YtD'!$G:$G,'DB Costi-Ore YtD'!$A:$A,O$1,'DB Costi-Ore YtD'!$B:$B,$A140,'DB Costi-Ore YtD'!$E:$E,$C140)-SUM($D140:N140),0)</f>
        <v>0</v>
      </c>
    </row>
    <row r="141" spans="1:15" x14ac:dyDescent="0.3">
      <c r="A141" t="s">
        <v>307</v>
      </c>
      <c r="B141" t="s">
        <v>308</v>
      </c>
      <c r="C141" t="s">
        <v>13</v>
      </c>
      <c r="D141">
        <f>IF((D$1*1)&lt;=MAX('DB Costi-Ore YtD'!$A:$A),SUMIFS('DB Costi-Ore YtD'!$G:$G,'DB Costi-Ore YtD'!$A:$A,D$1,'DB Costi-Ore YtD'!$B:$B,$A141,'DB Costi-Ore YtD'!$E:$E,$C141),0)</f>
        <v>1344.38</v>
      </c>
      <c r="E141">
        <f>IF((E$1*1)&lt;=MAX('DB Costi-Ore YtD'!$A:$A),SUMIFS('DB Costi-Ore YtD'!$G:$G,'DB Costi-Ore YtD'!$A:$A,E$1,'DB Costi-Ore YtD'!$B:$B,$A141,'DB Costi-Ore YtD'!$E:$E,$C141)-SUM($D141:D141),0)</f>
        <v>1503.48</v>
      </c>
      <c r="F141">
        <f>IF((F$1*1)&lt;=MAX('DB Costi-Ore YtD'!$A:$A),SUMIFS('DB Costi-Ore YtD'!$G:$G,'DB Costi-Ore YtD'!$A:$A,F$1,'DB Costi-Ore YtD'!$B:$B,$A141,'DB Costi-Ore YtD'!$E:$E,$C141)-SUM($D141:E141),0)</f>
        <v>2030.9199999999996</v>
      </c>
      <c r="G141">
        <f>IF((G$1*1)&lt;=MAX('DB Costi-Ore YtD'!$A:$A),SUMIFS('DB Costi-Ore YtD'!$G:$G,'DB Costi-Ore YtD'!$A:$A,G$1,'DB Costi-Ore YtD'!$B:$B,$A141,'DB Costi-Ore YtD'!$E:$E,$C141)-SUM($D141:F141),0)</f>
        <v>2146.9900000000007</v>
      </c>
      <c r="H141">
        <f>IF((H$1*1)&lt;=MAX('DB Costi-Ore YtD'!$A:$A),SUMIFS('DB Costi-Ore YtD'!$G:$G,'DB Costi-Ore YtD'!$A:$A,H$1,'DB Costi-Ore YtD'!$B:$B,$A141,'DB Costi-Ore YtD'!$E:$E,$C141)-SUM($D141:G141),0)</f>
        <v>2034.1099999999988</v>
      </c>
      <c r="I141">
        <f>IF((I$1*1)&lt;=MAX('DB Costi-Ore YtD'!$A:$A),SUMIFS('DB Costi-Ore YtD'!$G:$G,'DB Costi-Ore YtD'!$A:$A,I$1,'DB Costi-Ore YtD'!$B:$B,$A141,'DB Costi-Ore YtD'!$E:$E,$C141)-SUM($D141:H141),0)</f>
        <v>2120.42</v>
      </c>
      <c r="J141">
        <f>IF((J$1*1)&lt;=MAX('DB Costi-Ore YtD'!$A:$A),SUMIFS('DB Costi-Ore YtD'!$G:$G,'DB Costi-Ore YtD'!$A:$A,J$1,'DB Costi-Ore YtD'!$B:$B,$A141,'DB Costi-Ore YtD'!$E:$E,$C141)-SUM($D141:I141),0)</f>
        <v>0</v>
      </c>
      <c r="K141">
        <f>IF((K$1*1)&lt;=MAX('DB Costi-Ore YtD'!$A:$A),SUMIFS('DB Costi-Ore YtD'!$G:$G,'DB Costi-Ore YtD'!$A:$A,K$1,'DB Costi-Ore YtD'!$B:$B,$A141,'DB Costi-Ore YtD'!$E:$E,$C141)-SUM($D141:J141),0)</f>
        <v>0</v>
      </c>
      <c r="L141">
        <f>IF((L$1*1)&lt;=MAX('DB Costi-Ore YtD'!$A:$A),SUMIFS('DB Costi-Ore YtD'!$G:$G,'DB Costi-Ore YtD'!$A:$A,L$1,'DB Costi-Ore YtD'!$B:$B,$A141,'DB Costi-Ore YtD'!$E:$E,$C141)-SUM($D141:K141),0)</f>
        <v>0</v>
      </c>
      <c r="M141">
        <f>IF((M$1*1)&lt;=MAX('DB Costi-Ore YtD'!$A:$A),SUMIFS('DB Costi-Ore YtD'!$G:$G,'DB Costi-Ore YtD'!$A:$A,M$1,'DB Costi-Ore YtD'!$B:$B,$A141,'DB Costi-Ore YtD'!$E:$E,$C141)-SUM($D141:L141),0)</f>
        <v>0</v>
      </c>
      <c r="N141">
        <f>IF((N$1*1)&lt;=MAX('DB Costi-Ore YtD'!$A:$A),SUMIFS('DB Costi-Ore YtD'!$G:$G,'DB Costi-Ore YtD'!$A:$A,N$1,'DB Costi-Ore YtD'!$B:$B,$A141,'DB Costi-Ore YtD'!$E:$E,$C141)-SUM($D141:M141),0)</f>
        <v>0</v>
      </c>
      <c r="O141">
        <f>IF((O$1*1)&lt;=MAX('DB Costi-Ore YtD'!$A:$A),SUMIFS('DB Costi-Ore YtD'!$G:$G,'DB Costi-Ore YtD'!$A:$A,O$1,'DB Costi-Ore YtD'!$B:$B,$A141,'DB Costi-Ore YtD'!$E:$E,$C141)-SUM($D141:N141),0)</f>
        <v>0</v>
      </c>
    </row>
    <row r="142" spans="1:15" hidden="1" x14ac:dyDescent="0.3">
      <c r="A142" t="s">
        <v>309</v>
      </c>
      <c r="B142" t="s">
        <v>310</v>
      </c>
      <c r="C142" t="s">
        <v>10</v>
      </c>
      <c r="D142">
        <f>IF((D$1*1)&lt;=MAX('DB Costi-Ore YtD'!$A:$A),SUMIFS('DB Costi-Ore YtD'!$G:$G,'DB Costi-Ore YtD'!$A:$A,D$1,'DB Costi-Ore YtD'!$B:$B,$A142,'DB Costi-Ore YtD'!$E:$E,$C142),0)</f>
        <v>3450.69</v>
      </c>
      <c r="E142">
        <f>IF((E$1*1)&lt;=MAX('DB Costi-Ore YtD'!$A:$A),SUMIFS('DB Costi-Ore YtD'!$G:$G,'DB Costi-Ore YtD'!$A:$A,E$1,'DB Costi-Ore YtD'!$B:$B,$A142,'DB Costi-Ore YtD'!$E:$E,$C142)-SUM($D142:D142),0)</f>
        <v>3110.94</v>
      </c>
      <c r="F142">
        <f>IF((F$1*1)&lt;=MAX('DB Costi-Ore YtD'!$A:$A),SUMIFS('DB Costi-Ore YtD'!$G:$G,'DB Costi-Ore YtD'!$A:$A,F$1,'DB Costi-Ore YtD'!$B:$B,$A142,'DB Costi-Ore YtD'!$E:$E,$C142)-SUM($D142:E142),0)</f>
        <v>3230.7399999999989</v>
      </c>
      <c r="G142">
        <f>IF((G$1*1)&lt;=MAX('DB Costi-Ore YtD'!$A:$A),SUMIFS('DB Costi-Ore YtD'!$G:$G,'DB Costi-Ore YtD'!$A:$A,G$1,'DB Costi-Ore YtD'!$B:$B,$A142,'DB Costi-Ore YtD'!$E:$E,$C142)-SUM($D142:F142),0)</f>
        <v>3360.3899999999994</v>
      </c>
      <c r="H142">
        <f>IF((H$1*1)&lt;=MAX('DB Costi-Ore YtD'!$A:$A),SUMIFS('DB Costi-Ore YtD'!$G:$G,'DB Costi-Ore YtD'!$A:$A,H$1,'DB Costi-Ore YtD'!$B:$B,$A142,'DB Costi-Ore YtD'!$E:$E,$C142)-SUM($D142:G142),0)</f>
        <v>3328.7000000000044</v>
      </c>
      <c r="I142">
        <f>IF((I$1*1)&lt;=MAX('DB Costi-Ore YtD'!$A:$A),SUMIFS('DB Costi-Ore YtD'!$G:$G,'DB Costi-Ore YtD'!$A:$A,I$1,'DB Costi-Ore YtD'!$B:$B,$A142,'DB Costi-Ore YtD'!$E:$E,$C142)-SUM($D142:H142),0)</f>
        <v>3245.7400000000052</v>
      </c>
      <c r="J142">
        <f>IF((J$1*1)&lt;=MAX('DB Costi-Ore YtD'!$A:$A),SUMIFS('DB Costi-Ore YtD'!$G:$G,'DB Costi-Ore YtD'!$A:$A,J$1,'DB Costi-Ore YtD'!$B:$B,$A142,'DB Costi-Ore YtD'!$E:$E,$C142)-SUM($D142:I142),0)</f>
        <v>0</v>
      </c>
      <c r="K142">
        <f>IF((K$1*1)&lt;=MAX('DB Costi-Ore YtD'!$A:$A),SUMIFS('DB Costi-Ore YtD'!$G:$G,'DB Costi-Ore YtD'!$A:$A,K$1,'DB Costi-Ore YtD'!$B:$B,$A142,'DB Costi-Ore YtD'!$E:$E,$C142)-SUM($D142:J142),0)</f>
        <v>0</v>
      </c>
      <c r="L142">
        <f>IF((L$1*1)&lt;=MAX('DB Costi-Ore YtD'!$A:$A),SUMIFS('DB Costi-Ore YtD'!$G:$G,'DB Costi-Ore YtD'!$A:$A,L$1,'DB Costi-Ore YtD'!$B:$B,$A142,'DB Costi-Ore YtD'!$E:$E,$C142)-SUM($D142:K142),0)</f>
        <v>0</v>
      </c>
      <c r="M142">
        <f>IF((M$1*1)&lt;=MAX('DB Costi-Ore YtD'!$A:$A),SUMIFS('DB Costi-Ore YtD'!$G:$G,'DB Costi-Ore YtD'!$A:$A,M$1,'DB Costi-Ore YtD'!$B:$B,$A142,'DB Costi-Ore YtD'!$E:$E,$C142)-SUM($D142:L142),0)</f>
        <v>0</v>
      </c>
      <c r="N142">
        <f>IF((N$1*1)&lt;=MAX('DB Costi-Ore YtD'!$A:$A),SUMIFS('DB Costi-Ore YtD'!$G:$G,'DB Costi-Ore YtD'!$A:$A,N$1,'DB Costi-Ore YtD'!$B:$B,$A142,'DB Costi-Ore YtD'!$E:$E,$C142)-SUM($D142:M142),0)</f>
        <v>0</v>
      </c>
      <c r="O142">
        <f>IF((O$1*1)&lt;=MAX('DB Costi-Ore YtD'!$A:$A),SUMIFS('DB Costi-Ore YtD'!$G:$G,'DB Costi-Ore YtD'!$A:$A,O$1,'DB Costi-Ore YtD'!$B:$B,$A142,'DB Costi-Ore YtD'!$E:$E,$C142)-SUM($D142:N142),0)</f>
        <v>0</v>
      </c>
    </row>
    <row r="143" spans="1:15" hidden="1" x14ac:dyDescent="0.3">
      <c r="A143" t="s">
        <v>311</v>
      </c>
      <c r="B143" t="s">
        <v>312</v>
      </c>
      <c r="C143" t="s">
        <v>5</v>
      </c>
      <c r="D143">
        <f>IF((D$1*1)&lt;=MAX('DB Costi-Ore YtD'!$A:$A),SUMIFS('DB Costi-Ore YtD'!$G:$G,'DB Costi-Ore YtD'!$A:$A,D$1,'DB Costi-Ore YtD'!$B:$B,$A143,'DB Costi-Ore YtD'!$E:$E,$C143),0)</f>
        <v>1619.94</v>
      </c>
      <c r="E143">
        <f>IF((E$1*1)&lt;=MAX('DB Costi-Ore YtD'!$A:$A),SUMIFS('DB Costi-Ore YtD'!$G:$G,'DB Costi-Ore YtD'!$A:$A,E$1,'DB Costi-Ore YtD'!$B:$B,$A143,'DB Costi-Ore YtD'!$E:$E,$C143)-SUM($D143:D143),0)</f>
        <v>1542.56</v>
      </c>
      <c r="F143">
        <f>IF((F$1*1)&lt;=MAX('DB Costi-Ore YtD'!$A:$A),SUMIFS('DB Costi-Ore YtD'!$G:$G,'DB Costi-Ore YtD'!$A:$A,F$1,'DB Costi-Ore YtD'!$B:$B,$A143,'DB Costi-Ore YtD'!$E:$E,$C143)-SUM($D143:E143),0)</f>
        <v>1548.04</v>
      </c>
      <c r="G143">
        <f>IF((G$1*1)&lt;=MAX('DB Costi-Ore YtD'!$A:$A),SUMIFS('DB Costi-Ore YtD'!$G:$G,'DB Costi-Ore YtD'!$A:$A,G$1,'DB Costi-Ore YtD'!$B:$B,$A143,'DB Costi-Ore YtD'!$E:$E,$C143)-SUM($D143:F143),0)</f>
        <v>1556.63</v>
      </c>
      <c r="H143">
        <f>IF((H$1*1)&lt;=MAX('DB Costi-Ore YtD'!$A:$A),SUMIFS('DB Costi-Ore YtD'!$G:$G,'DB Costi-Ore YtD'!$A:$A,H$1,'DB Costi-Ore YtD'!$B:$B,$A143,'DB Costi-Ore YtD'!$E:$E,$C143)-SUM($D143:G143),0)</f>
        <v>1576.63</v>
      </c>
      <c r="I143">
        <f>IF((I$1*1)&lt;=MAX('DB Costi-Ore YtD'!$A:$A),SUMIFS('DB Costi-Ore YtD'!$G:$G,'DB Costi-Ore YtD'!$A:$A,I$1,'DB Costi-Ore YtD'!$B:$B,$A143,'DB Costi-Ore YtD'!$E:$E,$C143)-SUM($D143:H143),0)</f>
        <v>1525.2800000000016</v>
      </c>
      <c r="J143">
        <f>IF((J$1*1)&lt;=MAX('DB Costi-Ore YtD'!$A:$A),SUMIFS('DB Costi-Ore YtD'!$G:$G,'DB Costi-Ore YtD'!$A:$A,J$1,'DB Costi-Ore YtD'!$B:$B,$A143,'DB Costi-Ore YtD'!$E:$E,$C143)-SUM($D143:I143),0)</f>
        <v>0</v>
      </c>
      <c r="K143">
        <f>IF((K$1*1)&lt;=MAX('DB Costi-Ore YtD'!$A:$A),SUMIFS('DB Costi-Ore YtD'!$G:$G,'DB Costi-Ore YtD'!$A:$A,K$1,'DB Costi-Ore YtD'!$B:$B,$A143,'DB Costi-Ore YtD'!$E:$E,$C143)-SUM($D143:J143),0)</f>
        <v>0</v>
      </c>
      <c r="L143">
        <f>IF((L$1*1)&lt;=MAX('DB Costi-Ore YtD'!$A:$A),SUMIFS('DB Costi-Ore YtD'!$G:$G,'DB Costi-Ore YtD'!$A:$A,L$1,'DB Costi-Ore YtD'!$B:$B,$A143,'DB Costi-Ore YtD'!$E:$E,$C143)-SUM($D143:K143),0)</f>
        <v>0</v>
      </c>
      <c r="M143">
        <f>IF((M$1*1)&lt;=MAX('DB Costi-Ore YtD'!$A:$A),SUMIFS('DB Costi-Ore YtD'!$G:$G,'DB Costi-Ore YtD'!$A:$A,M$1,'DB Costi-Ore YtD'!$B:$B,$A143,'DB Costi-Ore YtD'!$E:$E,$C143)-SUM($D143:L143),0)</f>
        <v>0</v>
      </c>
      <c r="N143">
        <f>IF((N$1*1)&lt;=MAX('DB Costi-Ore YtD'!$A:$A),SUMIFS('DB Costi-Ore YtD'!$G:$G,'DB Costi-Ore YtD'!$A:$A,N$1,'DB Costi-Ore YtD'!$B:$B,$A143,'DB Costi-Ore YtD'!$E:$E,$C143)-SUM($D143:M143),0)</f>
        <v>0</v>
      </c>
      <c r="O143">
        <f>IF((O$1*1)&lt;=MAX('DB Costi-Ore YtD'!$A:$A),SUMIFS('DB Costi-Ore YtD'!$G:$G,'DB Costi-Ore YtD'!$A:$A,O$1,'DB Costi-Ore YtD'!$B:$B,$A143,'DB Costi-Ore YtD'!$E:$E,$C143)-SUM($D143:N143),0)</f>
        <v>0</v>
      </c>
    </row>
    <row r="144" spans="1:15" x14ac:dyDescent="0.3">
      <c r="A144" t="s">
        <v>313</v>
      </c>
      <c r="B144" t="s">
        <v>314</v>
      </c>
      <c r="C144" t="s">
        <v>13</v>
      </c>
      <c r="D144">
        <f>IF((D$1*1)&lt;=MAX('DB Costi-Ore YtD'!$A:$A),SUMIFS('DB Costi-Ore YtD'!$G:$G,'DB Costi-Ore YtD'!$A:$A,D$1,'DB Costi-Ore YtD'!$B:$B,$A144,'DB Costi-Ore YtD'!$E:$E,$C144),0)</f>
        <v>1726.82</v>
      </c>
      <c r="E144">
        <f>IF((E$1*1)&lt;=MAX('DB Costi-Ore YtD'!$A:$A),SUMIFS('DB Costi-Ore YtD'!$G:$G,'DB Costi-Ore YtD'!$A:$A,E$1,'DB Costi-Ore YtD'!$B:$B,$A144,'DB Costi-Ore YtD'!$E:$E,$C144)-SUM($D144:D144),0)</f>
        <v>1474.0999999999997</v>
      </c>
      <c r="F144">
        <f>IF((F$1*1)&lt;=MAX('DB Costi-Ore YtD'!$A:$A),SUMIFS('DB Costi-Ore YtD'!$G:$G,'DB Costi-Ore YtD'!$A:$A,F$1,'DB Costi-Ore YtD'!$B:$B,$A144,'DB Costi-Ore YtD'!$E:$E,$C144)-SUM($D144:E144),0)</f>
        <v>2045.02</v>
      </c>
      <c r="G144">
        <f>IF((G$1*1)&lt;=MAX('DB Costi-Ore YtD'!$A:$A),SUMIFS('DB Costi-Ore YtD'!$G:$G,'DB Costi-Ore YtD'!$A:$A,G$1,'DB Costi-Ore YtD'!$B:$B,$A144,'DB Costi-Ore YtD'!$E:$E,$C144)-SUM($D144:F144),0)</f>
        <v>2617.5600000000013</v>
      </c>
      <c r="H144">
        <f>IF((H$1*1)&lt;=MAX('DB Costi-Ore YtD'!$A:$A),SUMIFS('DB Costi-Ore YtD'!$G:$G,'DB Costi-Ore YtD'!$A:$A,H$1,'DB Costi-Ore YtD'!$B:$B,$A144,'DB Costi-Ore YtD'!$E:$E,$C144)-SUM($D144:G144),0)</f>
        <v>2322.2700000000013</v>
      </c>
      <c r="I144">
        <f>IF((I$1*1)&lt;=MAX('DB Costi-Ore YtD'!$A:$A),SUMIFS('DB Costi-Ore YtD'!$G:$G,'DB Costi-Ore YtD'!$A:$A,I$1,'DB Costi-Ore YtD'!$B:$B,$A144,'DB Costi-Ore YtD'!$E:$E,$C144)-SUM($D144:H144),0)</f>
        <v>1885.2699999999986</v>
      </c>
      <c r="J144">
        <f>IF((J$1*1)&lt;=MAX('DB Costi-Ore YtD'!$A:$A),SUMIFS('DB Costi-Ore YtD'!$G:$G,'DB Costi-Ore YtD'!$A:$A,J$1,'DB Costi-Ore YtD'!$B:$B,$A144,'DB Costi-Ore YtD'!$E:$E,$C144)-SUM($D144:I144),0)</f>
        <v>0</v>
      </c>
      <c r="K144">
        <f>IF((K$1*1)&lt;=MAX('DB Costi-Ore YtD'!$A:$A),SUMIFS('DB Costi-Ore YtD'!$G:$G,'DB Costi-Ore YtD'!$A:$A,K$1,'DB Costi-Ore YtD'!$B:$B,$A144,'DB Costi-Ore YtD'!$E:$E,$C144)-SUM($D144:J144),0)</f>
        <v>0</v>
      </c>
      <c r="L144">
        <f>IF((L$1*1)&lt;=MAX('DB Costi-Ore YtD'!$A:$A),SUMIFS('DB Costi-Ore YtD'!$G:$G,'DB Costi-Ore YtD'!$A:$A,L$1,'DB Costi-Ore YtD'!$B:$B,$A144,'DB Costi-Ore YtD'!$E:$E,$C144)-SUM($D144:K144),0)</f>
        <v>0</v>
      </c>
      <c r="M144">
        <f>IF((M$1*1)&lt;=MAX('DB Costi-Ore YtD'!$A:$A),SUMIFS('DB Costi-Ore YtD'!$G:$G,'DB Costi-Ore YtD'!$A:$A,M$1,'DB Costi-Ore YtD'!$B:$B,$A144,'DB Costi-Ore YtD'!$E:$E,$C144)-SUM($D144:L144),0)</f>
        <v>0</v>
      </c>
      <c r="N144">
        <f>IF((N$1*1)&lt;=MAX('DB Costi-Ore YtD'!$A:$A),SUMIFS('DB Costi-Ore YtD'!$G:$G,'DB Costi-Ore YtD'!$A:$A,N$1,'DB Costi-Ore YtD'!$B:$B,$A144,'DB Costi-Ore YtD'!$E:$E,$C144)-SUM($D144:M144),0)</f>
        <v>0</v>
      </c>
      <c r="O144">
        <f>IF((O$1*1)&lt;=MAX('DB Costi-Ore YtD'!$A:$A),SUMIFS('DB Costi-Ore YtD'!$G:$G,'DB Costi-Ore YtD'!$A:$A,O$1,'DB Costi-Ore YtD'!$B:$B,$A144,'DB Costi-Ore YtD'!$E:$E,$C144)-SUM($D144:N144),0)</f>
        <v>0</v>
      </c>
    </row>
    <row r="145" spans="1:15" hidden="1" x14ac:dyDescent="0.3">
      <c r="A145" t="s">
        <v>315</v>
      </c>
      <c r="B145" t="s">
        <v>316</v>
      </c>
      <c r="C145" t="s">
        <v>6</v>
      </c>
      <c r="D145">
        <f>IF((D$1*1)&lt;=MAX('DB Costi-Ore YtD'!$A:$A),SUMIFS('DB Costi-Ore YtD'!$G:$G,'DB Costi-Ore YtD'!$A:$A,D$1,'DB Costi-Ore YtD'!$B:$B,$A145,'DB Costi-Ore YtD'!$E:$E,$C145),0)</f>
        <v>1921.2700000000002</v>
      </c>
      <c r="E145">
        <f>IF((E$1*1)&lt;=MAX('DB Costi-Ore YtD'!$A:$A),SUMIFS('DB Costi-Ore YtD'!$G:$G,'DB Costi-Ore YtD'!$A:$A,E$1,'DB Costi-Ore YtD'!$B:$B,$A145,'DB Costi-Ore YtD'!$E:$E,$C145)-SUM($D145:D145),0)</f>
        <v>1692.2499999999998</v>
      </c>
      <c r="F145">
        <f>IF((F$1*1)&lt;=MAX('DB Costi-Ore YtD'!$A:$A),SUMIFS('DB Costi-Ore YtD'!$G:$G,'DB Costi-Ore YtD'!$A:$A,F$1,'DB Costi-Ore YtD'!$B:$B,$A145,'DB Costi-Ore YtD'!$E:$E,$C145)-SUM($D145:E145),0)</f>
        <v>1795.1600000000003</v>
      </c>
      <c r="G145">
        <f>IF((G$1*1)&lt;=MAX('DB Costi-Ore YtD'!$A:$A),SUMIFS('DB Costi-Ore YtD'!$G:$G,'DB Costi-Ore YtD'!$A:$A,G$1,'DB Costi-Ore YtD'!$B:$B,$A145,'DB Costi-Ore YtD'!$E:$E,$C145)-SUM($D145:F145),0)</f>
        <v>1853.0300000000007</v>
      </c>
      <c r="H145">
        <f>IF((H$1*1)&lt;=MAX('DB Costi-Ore YtD'!$A:$A),SUMIFS('DB Costi-Ore YtD'!$G:$G,'DB Costi-Ore YtD'!$A:$A,H$1,'DB Costi-Ore YtD'!$B:$B,$A145,'DB Costi-Ore YtD'!$E:$E,$C145)-SUM($D145:G145),0)</f>
        <v>1925.25</v>
      </c>
      <c r="I145">
        <f>IF((I$1*1)&lt;=MAX('DB Costi-Ore YtD'!$A:$A),SUMIFS('DB Costi-Ore YtD'!$G:$G,'DB Costi-Ore YtD'!$A:$A,I$1,'DB Costi-Ore YtD'!$B:$B,$A145,'DB Costi-Ore YtD'!$E:$E,$C145)-SUM($D145:H145),0)</f>
        <v>1457.3799999999992</v>
      </c>
      <c r="J145">
        <f>IF((J$1*1)&lt;=MAX('DB Costi-Ore YtD'!$A:$A),SUMIFS('DB Costi-Ore YtD'!$G:$G,'DB Costi-Ore YtD'!$A:$A,J$1,'DB Costi-Ore YtD'!$B:$B,$A145,'DB Costi-Ore YtD'!$E:$E,$C145)-SUM($D145:I145),0)</f>
        <v>0</v>
      </c>
      <c r="K145">
        <f>IF((K$1*1)&lt;=MAX('DB Costi-Ore YtD'!$A:$A),SUMIFS('DB Costi-Ore YtD'!$G:$G,'DB Costi-Ore YtD'!$A:$A,K$1,'DB Costi-Ore YtD'!$B:$B,$A145,'DB Costi-Ore YtD'!$E:$E,$C145)-SUM($D145:J145),0)</f>
        <v>0</v>
      </c>
      <c r="L145">
        <f>IF((L$1*1)&lt;=MAX('DB Costi-Ore YtD'!$A:$A),SUMIFS('DB Costi-Ore YtD'!$G:$G,'DB Costi-Ore YtD'!$A:$A,L$1,'DB Costi-Ore YtD'!$B:$B,$A145,'DB Costi-Ore YtD'!$E:$E,$C145)-SUM($D145:K145),0)</f>
        <v>0</v>
      </c>
      <c r="M145">
        <f>IF((M$1*1)&lt;=MAX('DB Costi-Ore YtD'!$A:$A),SUMIFS('DB Costi-Ore YtD'!$G:$G,'DB Costi-Ore YtD'!$A:$A,M$1,'DB Costi-Ore YtD'!$B:$B,$A145,'DB Costi-Ore YtD'!$E:$E,$C145)-SUM($D145:L145),0)</f>
        <v>0</v>
      </c>
      <c r="N145">
        <f>IF((N$1*1)&lt;=MAX('DB Costi-Ore YtD'!$A:$A),SUMIFS('DB Costi-Ore YtD'!$G:$G,'DB Costi-Ore YtD'!$A:$A,N$1,'DB Costi-Ore YtD'!$B:$B,$A145,'DB Costi-Ore YtD'!$E:$E,$C145)-SUM($D145:M145),0)</f>
        <v>0</v>
      </c>
      <c r="O145">
        <f>IF((O$1*1)&lt;=MAX('DB Costi-Ore YtD'!$A:$A),SUMIFS('DB Costi-Ore YtD'!$G:$G,'DB Costi-Ore YtD'!$A:$A,O$1,'DB Costi-Ore YtD'!$B:$B,$A145,'DB Costi-Ore YtD'!$E:$E,$C145)-SUM($D145:N145),0)</f>
        <v>0</v>
      </c>
    </row>
    <row r="146" spans="1:15" hidden="1" x14ac:dyDescent="0.3">
      <c r="A146" t="s">
        <v>317</v>
      </c>
      <c r="B146" t="s">
        <v>318</v>
      </c>
      <c r="C146" t="s">
        <v>3</v>
      </c>
      <c r="D146">
        <f>IF((D$1*1)&lt;=MAX('DB Costi-Ore YtD'!$A:$A),SUMIFS('DB Costi-Ore YtD'!$G:$G,'DB Costi-Ore YtD'!$A:$A,D$1,'DB Costi-Ore YtD'!$B:$B,$A146,'DB Costi-Ore YtD'!$E:$E,$C146),0)</f>
        <v>1446.5500000000002</v>
      </c>
      <c r="E146">
        <f>IF((E$1*1)&lt;=MAX('DB Costi-Ore YtD'!$A:$A),SUMIFS('DB Costi-Ore YtD'!$G:$G,'DB Costi-Ore YtD'!$A:$A,E$1,'DB Costi-Ore YtD'!$B:$B,$A146,'DB Costi-Ore YtD'!$E:$E,$C146)-SUM($D146:D146),0)</f>
        <v>254.66999999999985</v>
      </c>
      <c r="F146">
        <f>IF((F$1*1)&lt;=MAX('DB Costi-Ore YtD'!$A:$A),SUMIFS('DB Costi-Ore YtD'!$G:$G,'DB Costi-Ore YtD'!$A:$A,F$1,'DB Costi-Ore YtD'!$B:$B,$A146,'DB Costi-Ore YtD'!$E:$E,$C146)-SUM($D146:E146),0)</f>
        <v>0</v>
      </c>
      <c r="G146">
        <f>IF((G$1*1)&lt;=MAX('DB Costi-Ore YtD'!$A:$A),SUMIFS('DB Costi-Ore YtD'!$G:$G,'DB Costi-Ore YtD'!$A:$A,G$1,'DB Costi-Ore YtD'!$B:$B,$A146,'DB Costi-Ore YtD'!$E:$E,$C146)-SUM($D146:F146),0)</f>
        <v>0</v>
      </c>
      <c r="H146">
        <f>IF((H$1*1)&lt;=MAX('DB Costi-Ore YtD'!$A:$A),SUMIFS('DB Costi-Ore YtD'!$G:$G,'DB Costi-Ore YtD'!$A:$A,H$1,'DB Costi-Ore YtD'!$B:$B,$A146,'DB Costi-Ore YtD'!$E:$E,$C146)-SUM($D146:G146),0)</f>
        <v>0</v>
      </c>
      <c r="I146">
        <f>IF((I$1*1)&lt;=MAX('DB Costi-Ore YtD'!$A:$A),SUMIFS('DB Costi-Ore YtD'!$G:$G,'DB Costi-Ore YtD'!$A:$A,I$1,'DB Costi-Ore YtD'!$B:$B,$A146,'DB Costi-Ore YtD'!$E:$E,$C146)-SUM($D146:H146),0)</f>
        <v>0</v>
      </c>
      <c r="J146">
        <f>IF((J$1*1)&lt;=MAX('DB Costi-Ore YtD'!$A:$A),SUMIFS('DB Costi-Ore YtD'!$G:$G,'DB Costi-Ore YtD'!$A:$A,J$1,'DB Costi-Ore YtD'!$B:$B,$A146,'DB Costi-Ore YtD'!$E:$E,$C146)-SUM($D146:I146),0)</f>
        <v>0</v>
      </c>
      <c r="K146">
        <f>IF((K$1*1)&lt;=MAX('DB Costi-Ore YtD'!$A:$A),SUMIFS('DB Costi-Ore YtD'!$G:$G,'DB Costi-Ore YtD'!$A:$A,K$1,'DB Costi-Ore YtD'!$B:$B,$A146,'DB Costi-Ore YtD'!$E:$E,$C146)-SUM($D146:J146),0)</f>
        <v>0</v>
      </c>
      <c r="L146">
        <f>IF((L$1*1)&lt;=MAX('DB Costi-Ore YtD'!$A:$A),SUMIFS('DB Costi-Ore YtD'!$G:$G,'DB Costi-Ore YtD'!$A:$A,L$1,'DB Costi-Ore YtD'!$B:$B,$A146,'DB Costi-Ore YtD'!$E:$E,$C146)-SUM($D146:K146),0)</f>
        <v>0</v>
      </c>
      <c r="M146">
        <f>IF((M$1*1)&lt;=MAX('DB Costi-Ore YtD'!$A:$A),SUMIFS('DB Costi-Ore YtD'!$G:$G,'DB Costi-Ore YtD'!$A:$A,M$1,'DB Costi-Ore YtD'!$B:$B,$A146,'DB Costi-Ore YtD'!$E:$E,$C146)-SUM($D146:L146),0)</f>
        <v>0</v>
      </c>
      <c r="N146">
        <f>IF((N$1*1)&lt;=MAX('DB Costi-Ore YtD'!$A:$A),SUMIFS('DB Costi-Ore YtD'!$G:$G,'DB Costi-Ore YtD'!$A:$A,N$1,'DB Costi-Ore YtD'!$B:$B,$A146,'DB Costi-Ore YtD'!$E:$E,$C146)-SUM($D146:M146),0)</f>
        <v>0</v>
      </c>
      <c r="O146">
        <f>IF((O$1*1)&lt;=MAX('DB Costi-Ore YtD'!$A:$A),SUMIFS('DB Costi-Ore YtD'!$G:$G,'DB Costi-Ore YtD'!$A:$A,O$1,'DB Costi-Ore YtD'!$B:$B,$A146,'DB Costi-Ore YtD'!$E:$E,$C146)-SUM($D146:N146),0)</f>
        <v>0</v>
      </c>
    </row>
    <row r="147" spans="1:15" hidden="1" x14ac:dyDescent="0.3">
      <c r="A147" t="s">
        <v>319</v>
      </c>
      <c r="B147" t="s">
        <v>320</v>
      </c>
      <c r="C147" t="s">
        <v>2</v>
      </c>
      <c r="D147">
        <f>IF((D$1*1)&lt;=MAX('DB Costi-Ore YtD'!$A:$A),SUMIFS('DB Costi-Ore YtD'!$G:$G,'DB Costi-Ore YtD'!$A:$A,D$1,'DB Costi-Ore YtD'!$B:$B,$A147,'DB Costi-Ore YtD'!$E:$E,$C147),0)</f>
        <v>2443.4500000000003</v>
      </c>
      <c r="E147">
        <f>IF((E$1*1)&lt;=MAX('DB Costi-Ore YtD'!$A:$A),SUMIFS('DB Costi-Ore YtD'!$G:$G,'DB Costi-Ore YtD'!$A:$A,E$1,'DB Costi-Ore YtD'!$B:$B,$A147,'DB Costi-Ore YtD'!$E:$E,$C147)-SUM($D147:D147),0)</f>
        <v>2163.14</v>
      </c>
      <c r="F147">
        <f>IF((F$1*1)&lt;=MAX('DB Costi-Ore YtD'!$A:$A),SUMIFS('DB Costi-Ore YtD'!$G:$G,'DB Costi-Ore YtD'!$A:$A,F$1,'DB Costi-Ore YtD'!$B:$B,$A147,'DB Costi-Ore YtD'!$E:$E,$C147)-SUM($D147:E147),0)</f>
        <v>2332.6099999999997</v>
      </c>
      <c r="G147">
        <f>IF((G$1*1)&lt;=MAX('DB Costi-Ore YtD'!$A:$A),SUMIFS('DB Costi-Ore YtD'!$G:$G,'DB Costi-Ore YtD'!$A:$A,G$1,'DB Costi-Ore YtD'!$B:$B,$A147,'DB Costi-Ore YtD'!$E:$E,$C147)-SUM($D147:F147),0)</f>
        <v>2361.8599999999997</v>
      </c>
      <c r="H147">
        <f>IF((H$1*1)&lt;=MAX('DB Costi-Ore YtD'!$A:$A),SUMIFS('DB Costi-Ore YtD'!$G:$G,'DB Costi-Ore YtD'!$A:$A,H$1,'DB Costi-Ore YtD'!$B:$B,$A147,'DB Costi-Ore YtD'!$E:$E,$C147)-SUM($D147:G147),0)</f>
        <v>2211.0000000000018</v>
      </c>
      <c r="I147">
        <f>IF((I$1*1)&lt;=MAX('DB Costi-Ore YtD'!$A:$A),SUMIFS('DB Costi-Ore YtD'!$G:$G,'DB Costi-Ore YtD'!$A:$A,I$1,'DB Costi-Ore YtD'!$B:$B,$A147,'DB Costi-Ore YtD'!$E:$E,$C147)-SUM($D147:H147),0)</f>
        <v>1656.239999999998</v>
      </c>
      <c r="J147">
        <f>IF((J$1*1)&lt;=MAX('DB Costi-Ore YtD'!$A:$A),SUMIFS('DB Costi-Ore YtD'!$G:$G,'DB Costi-Ore YtD'!$A:$A,J$1,'DB Costi-Ore YtD'!$B:$B,$A147,'DB Costi-Ore YtD'!$E:$E,$C147)-SUM($D147:I147),0)</f>
        <v>0</v>
      </c>
      <c r="K147">
        <f>IF((K$1*1)&lt;=MAX('DB Costi-Ore YtD'!$A:$A),SUMIFS('DB Costi-Ore YtD'!$G:$G,'DB Costi-Ore YtD'!$A:$A,K$1,'DB Costi-Ore YtD'!$B:$B,$A147,'DB Costi-Ore YtD'!$E:$E,$C147)-SUM($D147:J147),0)</f>
        <v>0</v>
      </c>
      <c r="L147">
        <f>IF((L$1*1)&lt;=MAX('DB Costi-Ore YtD'!$A:$A),SUMIFS('DB Costi-Ore YtD'!$G:$G,'DB Costi-Ore YtD'!$A:$A,L$1,'DB Costi-Ore YtD'!$B:$B,$A147,'DB Costi-Ore YtD'!$E:$E,$C147)-SUM($D147:K147),0)</f>
        <v>0</v>
      </c>
      <c r="M147">
        <f>IF((M$1*1)&lt;=MAX('DB Costi-Ore YtD'!$A:$A),SUMIFS('DB Costi-Ore YtD'!$G:$G,'DB Costi-Ore YtD'!$A:$A,M$1,'DB Costi-Ore YtD'!$B:$B,$A147,'DB Costi-Ore YtD'!$E:$E,$C147)-SUM($D147:L147),0)</f>
        <v>0</v>
      </c>
      <c r="N147">
        <f>IF((N$1*1)&lt;=MAX('DB Costi-Ore YtD'!$A:$A),SUMIFS('DB Costi-Ore YtD'!$G:$G,'DB Costi-Ore YtD'!$A:$A,N$1,'DB Costi-Ore YtD'!$B:$B,$A147,'DB Costi-Ore YtD'!$E:$E,$C147)-SUM($D147:M147),0)</f>
        <v>0</v>
      </c>
      <c r="O147">
        <f>IF((O$1*1)&lt;=MAX('DB Costi-Ore YtD'!$A:$A),SUMIFS('DB Costi-Ore YtD'!$G:$G,'DB Costi-Ore YtD'!$A:$A,O$1,'DB Costi-Ore YtD'!$B:$B,$A147,'DB Costi-Ore YtD'!$E:$E,$C147)-SUM($D147:N147),0)</f>
        <v>0</v>
      </c>
    </row>
    <row r="148" spans="1:15" hidden="1" x14ac:dyDescent="0.3">
      <c r="A148" t="s">
        <v>321</v>
      </c>
      <c r="B148" t="s">
        <v>322</v>
      </c>
      <c r="C148" t="s">
        <v>2</v>
      </c>
      <c r="D148">
        <f>IF((D$1*1)&lt;=MAX('DB Costi-Ore YtD'!$A:$A),SUMIFS('DB Costi-Ore YtD'!$G:$G,'DB Costi-Ore YtD'!$A:$A,D$1,'DB Costi-Ore YtD'!$B:$B,$A148,'DB Costi-Ore YtD'!$E:$E,$C148),0)</f>
        <v>2559.25</v>
      </c>
      <c r="E148">
        <f>IF((E$1*1)&lt;=MAX('DB Costi-Ore YtD'!$A:$A),SUMIFS('DB Costi-Ore YtD'!$G:$G,'DB Costi-Ore YtD'!$A:$A,E$1,'DB Costi-Ore YtD'!$B:$B,$A148,'DB Costi-Ore YtD'!$E:$E,$C148)-SUM($D148:D148),0)</f>
        <v>2122.21</v>
      </c>
      <c r="F148">
        <f>IF((F$1*1)&lt;=MAX('DB Costi-Ore YtD'!$A:$A),SUMIFS('DB Costi-Ore YtD'!$G:$G,'DB Costi-Ore YtD'!$A:$A,F$1,'DB Costi-Ore YtD'!$B:$B,$A148,'DB Costi-Ore YtD'!$E:$E,$C148)-SUM($D148:E148),0)</f>
        <v>2450.9399999999996</v>
      </c>
      <c r="G148">
        <f>IF((G$1*1)&lt;=MAX('DB Costi-Ore YtD'!$A:$A),SUMIFS('DB Costi-Ore YtD'!$G:$G,'DB Costi-Ore YtD'!$A:$A,G$1,'DB Costi-Ore YtD'!$B:$B,$A148,'DB Costi-Ore YtD'!$E:$E,$C148)-SUM($D148:F148),0)</f>
        <v>2945.2199999999993</v>
      </c>
      <c r="H148">
        <f>IF((H$1*1)&lt;=MAX('DB Costi-Ore YtD'!$A:$A),SUMIFS('DB Costi-Ore YtD'!$G:$G,'DB Costi-Ore YtD'!$A:$A,H$1,'DB Costi-Ore YtD'!$B:$B,$A148,'DB Costi-Ore YtD'!$E:$E,$C148)-SUM($D148:G148),0)</f>
        <v>2625.09</v>
      </c>
      <c r="I148">
        <f>IF((I$1*1)&lt;=MAX('DB Costi-Ore YtD'!$A:$A),SUMIFS('DB Costi-Ore YtD'!$G:$G,'DB Costi-Ore YtD'!$A:$A,I$1,'DB Costi-Ore YtD'!$B:$B,$A148,'DB Costi-Ore YtD'!$E:$E,$C148)-SUM($D148:H148),0)</f>
        <v>2463.9900000000016</v>
      </c>
      <c r="J148">
        <f>IF((J$1*1)&lt;=MAX('DB Costi-Ore YtD'!$A:$A),SUMIFS('DB Costi-Ore YtD'!$G:$G,'DB Costi-Ore YtD'!$A:$A,J$1,'DB Costi-Ore YtD'!$B:$B,$A148,'DB Costi-Ore YtD'!$E:$E,$C148)-SUM($D148:I148),0)</f>
        <v>0</v>
      </c>
      <c r="K148">
        <f>IF((K$1*1)&lt;=MAX('DB Costi-Ore YtD'!$A:$A),SUMIFS('DB Costi-Ore YtD'!$G:$G,'DB Costi-Ore YtD'!$A:$A,K$1,'DB Costi-Ore YtD'!$B:$B,$A148,'DB Costi-Ore YtD'!$E:$E,$C148)-SUM($D148:J148),0)</f>
        <v>0</v>
      </c>
      <c r="L148">
        <f>IF((L$1*1)&lt;=MAX('DB Costi-Ore YtD'!$A:$A),SUMIFS('DB Costi-Ore YtD'!$G:$G,'DB Costi-Ore YtD'!$A:$A,L$1,'DB Costi-Ore YtD'!$B:$B,$A148,'DB Costi-Ore YtD'!$E:$E,$C148)-SUM($D148:K148),0)</f>
        <v>0</v>
      </c>
      <c r="M148">
        <f>IF((M$1*1)&lt;=MAX('DB Costi-Ore YtD'!$A:$A),SUMIFS('DB Costi-Ore YtD'!$G:$G,'DB Costi-Ore YtD'!$A:$A,M$1,'DB Costi-Ore YtD'!$B:$B,$A148,'DB Costi-Ore YtD'!$E:$E,$C148)-SUM($D148:L148),0)</f>
        <v>0</v>
      </c>
      <c r="N148">
        <f>IF((N$1*1)&lt;=MAX('DB Costi-Ore YtD'!$A:$A),SUMIFS('DB Costi-Ore YtD'!$G:$G,'DB Costi-Ore YtD'!$A:$A,N$1,'DB Costi-Ore YtD'!$B:$B,$A148,'DB Costi-Ore YtD'!$E:$E,$C148)-SUM($D148:M148),0)</f>
        <v>0</v>
      </c>
      <c r="O148">
        <f>IF((O$1*1)&lt;=MAX('DB Costi-Ore YtD'!$A:$A),SUMIFS('DB Costi-Ore YtD'!$G:$G,'DB Costi-Ore YtD'!$A:$A,O$1,'DB Costi-Ore YtD'!$B:$B,$A148,'DB Costi-Ore YtD'!$E:$E,$C148)-SUM($D148:N148),0)</f>
        <v>0</v>
      </c>
    </row>
    <row r="149" spans="1:15" x14ac:dyDescent="0.3">
      <c r="A149" t="s">
        <v>323</v>
      </c>
      <c r="B149" t="s">
        <v>324</v>
      </c>
      <c r="C149" t="s">
        <v>13</v>
      </c>
      <c r="D149">
        <f>IF((D$1*1)&lt;=MAX('DB Costi-Ore YtD'!$A:$A),SUMIFS('DB Costi-Ore YtD'!$G:$G,'DB Costi-Ore YtD'!$A:$A,D$1,'DB Costi-Ore YtD'!$B:$B,$A149,'DB Costi-Ore YtD'!$E:$E,$C149),0)</f>
        <v>1864.89</v>
      </c>
      <c r="E149">
        <f>IF((E$1*1)&lt;=MAX('DB Costi-Ore YtD'!$A:$A),SUMIFS('DB Costi-Ore YtD'!$G:$G,'DB Costi-Ore YtD'!$A:$A,E$1,'DB Costi-Ore YtD'!$B:$B,$A149,'DB Costi-Ore YtD'!$E:$E,$C149)-SUM($D149:D149),0)</f>
        <v>1610.64</v>
      </c>
      <c r="F149">
        <f>IF((F$1*1)&lt;=MAX('DB Costi-Ore YtD'!$A:$A),SUMIFS('DB Costi-Ore YtD'!$G:$G,'DB Costi-Ore YtD'!$A:$A,F$1,'DB Costi-Ore YtD'!$B:$B,$A149,'DB Costi-Ore YtD'!$E:$E,$C149)-SUM($D149:E149),0)</f>
        <v>1346.4699999999998</v>
      </c>
      <c r="G149">
        <f>IF((G$1*1)&lt;=MAX('DB Costi-Ore YtD'!$A:$A),SUMIFS('DB Costi-Ore YtD'!$G:$G,'DB Costi-Ore YtD'!$A:$A,G$1,'DB Costi-Ore YtD'!$B:$B,$A149,'DB Costi-Ore YtD'!$E:$E,$C149)-SUM($D149:F149),0)</f>
        <v>-3.3800000000001091</v>
      </c>
      <c r="H149">
        <f>IF((H$1*1)&lt;=MAX('DB Costi-Ore YtD'!$A:$A),SUMIFS('DB Costi-Ore YtD'!$G:$G,'DB Costi-Ore YtD'!$A:$A,H$1,'DB Costi-Ore YtD'!$B:$B,$A149,'DB Costi-Ore YtD'!$E:$E,$C149)-SUM($D149:G149),0)</f>
        <v>0</v>
      </c>
      <c r="I149">
        <f>IF((I$1*1)&lt;=MAX('DB Costi-Ore YtD'!$A:$A),SUMIFS('DB Costi-Ore YtD'!$G:$G,'DB Costi-Ore YtD'!$A:$A,I$1,'DB Costi-Ore YtD'!$B:$B,$A149,'DB Costi-Ore YtD'!$E:$E,$C149)-SUM($D149:H149),0)</f>
        <v>0</v>
      </c>
      <c r="J149">
        <f>IF((J$1*1)&lt;=MAX('DB Costi-Ore YtD'!$A:$A),SUMIFS('DB Costi-Ore YtD'!$G:$G,'DB Costi-Ore YtD'!$A:$A,J$1,'DB Costi-Ore YtD'!$B:$B,$A149,'DB Costi-Ore YtD'!$E:$E,$C149)-SUM($D149:I149),0)</f>
        <v>0</v>
      </c>
      <c r="K149">
        <f>IF((K$1*1)&lt;=MAX('DB Costi-Ore YtD'!$A:$A),SUMIFS('DB Costi-Ore YtD'!$G:$G,'DB Costi-Ore YtD'!$A:$A,K$1,'DB Costi-Ore YtD'!$B:$B,$A149,'DB Costi-Ore YtD'!$E:$E,$C149)-SUM($D149:J149),0)</f>
        <v>0</v>
      </c>
      <c r="L149">
        <f>IF((L$1*1)&lt;=MAX('DB Costi-Ore YtD'!$A:$A),SUMIFS('DB Costi-Ore YtD'!$G:$G,'DB Costi-Ore YtD'!$A:$A,L$1,'DB Costi-Ore YtD'!$B:$B,$A149,'DB Costi-Ore YtD'!$E:$E,$C149)-SUM($D149:K149),0)</f>
        <v>0</v>
      </c>
      <c r="M149">
        <f>IF((M$1*1)&lt;=MAX('DB Costi-Ore YtD'!$A:$A),SUMIFS('DB Costi-Ore YtD'!$G:$G,'DB Costi-Ore YtD'!$A:$A,M$1,'DB Costi-Ore YtD'!$B:$B,$A149,'DB Costi-Ore YtD'!$E:$E,$C149)-SUM($D149:L149),0)</f>
        <v>0</v>
      </c>
      <c r="N149">
        <f>IF((N$1*1)&lt;=MAX('DB Costi-Ore YtD'!$A:$A),SUMIFS('DB Costi-Ore YtD'!$G:$G,'DB Costi-Ore YtD'!$A:$A,N$1,'DB Costi-Ore YtD'!$B:$B,$A149,'DB Costi-Ore YtD'!$E:$E,$C149)-SUM($D149:M149),0)</f>
        <v>0</v>
      </c>
      <c r="O149">
        <f>IF((O$1*1)&lt;=MAX('DB Costi-Ore YtD'!$A:$A),SUMIFS('DB Costi-Ore YtD'!$G:$G,'DB Costi-Ore YtD'!$A:$A,O$1,'DB Costi-Ore YtD'!$B:$B,$A149,'DB Costi-Ore YtD'!$E:$E,$C149)-SUM($D149:N149),0)</f>
        <v>0</v>
      </c>
    </row>
    <row r="150" spans="1:15" x14ac:dyDescent="0.3">
      <c r="A150" t="s">
        <v>325</v>
      </c>
      <c r="B150" t="s">
        <v>326</v>
      </c>
      <c r="C150" t="s">
        <v>13</v>
      </c>
      <c r="D150">
        <f>IF((D$1*1)&lt;=MAX('DB Costi-Ore YtD'!$A:$A),SUMIFS('DB Costi-Ore YtD'!$G:$G,'DB Costi-Ore YtD'!$A:$A,D$1,'DB Costi-Ore YtD'!$B:$B,$A150,'DB Costi-Ore YtD'!$E:$E,$C150),0)</f>
        <v>1101.07</v>
      </c>
      <c r="E150">
        <f>IF((E$1*1)&lt;=MAX('DB Costi-Ore YtD'!$A:$A),SUMIFS('DB Costi-Ore YtD'!$G:$G,'DB Costi-Ore YtD'!$A:$A,E$1,'DB Costi-Ore YtD'!$B:$B,$A150,'DB Costi-Ore YtD'!$E:$E,$C150)-SUM($D150:D150),0)</f>
        <v>1169.1299999999999</v>
      </c>
      <c r="F150">
        <f>IF((F$1*1)&lt;=MAX('DB Costi-Ore YtD'!$A:$A),SUMIFS('DB Costi-Ore YtD'!$G:$G,'DB Costi-Ore YtD'!$A:$A,F$1,'DB Costi-Ore YtD'!$B:$B,$A150,'DB Costi-Ore YtD'!$E:$E,$C150)-SUM($D150:E150),0)</f>
        <v>1166.8900000000003</v>
      </c>
      <c r="G150">
        <f>IF((G$1*1)&lt;=MAX('DB Costi-Ore YtD'!$A:$A),SUMIFS('DB Costi-Ore YtD'!$G:$G,'DB Costi-Ore YtD'!$A:$A,G$1,'DB Costi-Ore YtD'!$B:$B,$A150,'DB Costi-Ore YtD'!$E:$E,$C150)-SUM($D150:F150),0)</f>
        <v>1215.7399999999998</v>
      </c>
      <c r="H150">
        <f>IF((H$1*1)&lt;=MAX('DB Costi-Ore YtD'!$A:$A),SUMIFS('DB Costi-Ore YtD'!$G:$G,'DB Costi-Ore YtD'!$A:$A,H$1,'DB Costi-Ore YtD'!$B:$B,$A150,'DB Costi-Ore YtD'!$E:$E,$C150)-SUM($D150:G150),0)</f>
        <v>1115.6999999999998</v>
      </c>
      <c r="I150">
        <f>IF((I$1*1)&lt;=MAX('DB Costi-Ore YtD'!$A:$A),SUMIFS('DB Costi-Ore YtD'!$G:$G,'DB Costi-Ore YtD'!$A:$A,I$1,'DB Costi-Ore YtD'!$B:$B,$A150,'DB Costi-Ore YtD'!$E:$E,$C150)-SUM($D150:H150),0)</f>
        <v>1229.6999999999989</v>
      </c>
      <c r="J150">
        <f>IF((J$1*1)&lt;=MAX('DB Costi-Ore YtD'!$A:$A),SUMIFS('DB Costi-Ore YtD'!$G:$G,'DB Costi-Ore YtD'!$A:$A,J$1,'DB Costi-Ore YtD'!$B:$B,$A150,'DB Costi-Ore YtD'!$E:$E,$C150)-SUM($D150:I150),0)</f>
        <v>0</v>
      </c>
      <c r="K150">
        <f>IF((K$1*1)&lt;=MAX('DB Costi-Ore YtD'!$A:$A),SUMIFS('DB Costi-Ore YtD'!$G:$G,'DB Costi-Ore YtD'!$A:$A,K$1,'DB Costi-Ore YtD'!$B:$B,$A150,'DB Costi-Ore YtD'!$E:$E,$C150)-SUM($D150:J150),0)</f>
        <v>0</v>
      </c>
      <c r="L150">
        <f>IF((L$1*1)&lt;=MAX('DB Costi-Ore YtD'!$A:$A),SUMIFS('DB Costi-Ore YtD'!$G:$G,'DB Costi-Ore YtD'!$A:$A,L$1,'DB Costi-Ore YtD'!$B:$B,$A150,'DB Costi-Ore YtD'!$E:$E,$C150)-SUM($D150:K150),0)</f>
        <v>0</v>
      </c>
      <c r="M150">
        <f>IF((M$1*1)&lt;=MAX('DB Costi-Ore YtD'!$A:$A),SUMIFS('DB Costi-Ore YtD'!$G:$G,'DB Costi-Ore YtD'!$A:$A,M$1,'DB Costi-Ore YtD'!$B:$B,$A150,'DB Costi-Ore YtD'!$E:$E,$C150)-SUM($D150:L150),0)</f>
        <v>0</v>
      </c>
      <c r="N150">
        <f>IF((N$1*1)&lt;=MAX('DB Costi-Ore YtD'!$A:$A),SUMIFS('DB Costi-Ore YtD'!$G:$G,'DB Costi-Ore YtD'!$A:$A,N$1,'DB Costi-Ore YtD'!$B:$B,$A150,'DB Costi-Ore YtD'!$E:$E,$C150)-SUM($D150:M150),0)</f>
        <v>0</v>
      </c>
      <c r="O150">
        <f>IF((O$1*1)&lt;=MAX('DB Costi-Ore YtD'!$A:$A),SUMIFS('DB Costi-Ore YtD'!$G:$G,'DB Costi-Ore YtD'!$A:$A,O$1,'DB Costi-Ore YtD'!$B:$B,$A150,'DB Costi-Ore YtD'!$E:$E,$C150)-SUM($D150:N150),0)</f>
        <v>0</v>
      </c>
    </row>
    <row r="151" spans="1:15" hidden="1" x14ac:dyDescent="0.3">
      <c r="A151" t="s">
        <v>327</v>
      </c>
      <c r="B151" t="s">
        <v>328</v>
      </c>
      <c r="C151" t="s">
        <v>5</v>
      </c>
      <c r="D151">
        <f>IF((D$1*1)&lt;=MAX('DB Costi-Ore YtD'!$A:$A),SUMIFS('DB Costi-Ore YtD'!$G:$G,'DB Costi-Ore YtD'!$A:$A,D$1,'DB Costi-Ore YtD'!$B:$B,$A151,'DB Costi-Ore YtD'!$E:$E,$C151),0)</f>
        <v>1458.2800000000002</v>
      </c>
      <c r="E151">
        <f>IF((E$1*1)&lt;=MAX('DB Costi-Ore YtD'!$A:$A),SUMIFS('DB Costi-Ore YtD'!$G:$G,'DB Costi-Ore YtD'!$A:$A,E$1,'DB Costi-Ore YtD'!$B:$B,$A151,'DB Costi-Ore YtD'!$E:$E,$C151)-SUM($D151:D151),0)</f>
        <v>1461.63</v>
      </c>
      <c r="F151">
        <f>IF((F$1*1)&lt;=MAX('DB Costi-Ore YtD'!$A:$A),SUMIFS('DB Costi-Ore YtD'!$G:$G,'DB Costi-Ore YtD'!$A:$A,F$1,'DB Costi-Ore YtD'!$B:$B,$A151,'DB Costi-Ore YtD'!$E:$E,$C151)-SUM($D151:E151),0)</f>
        <v>1351.5300000000002</v>
      </c>
      <c r="G151">
        <f>IF((G$1*1)&lt;=MAX('DB Costi-Ore YtD'!$A:$A),SUMIFS('DB Costi-Ore YtD'!$G:$G,'DB Costi-Ore YtD'!$A:$A,G$1,'DB Costi-Ore YtD'!$B:$B,$A151,'DB Costi-Ore YtD'!$E:$E,$C151)-SUM($D151:F151),0)</f>
        <v>0</v>
      </c>
      <c r="H151">
        <f>IF((H$1*1)&lt;=MAX('DB Costi-Ore YtD'!$A:$A),SUMIFS('DB Costi-Ore YtD'!$G:$G,'DB Costi-Ore YtD'!$A:$A,H$1,'DB Costi-Ore YtD'!$B:$B,$A151,'DB Costi-Ore YtD'!$E:$E,$C151)-SUM($D151:G151),0)</f>
        <v>847.46</v>
      </c>
      <c r="I151">
        <f>IF((I$1*1)&lt;=MAX('DB Costi-Ore YtD'!$A:$A),SUMIFS('DB Costi-Ore YtD'!$G:$G,'DB Costi-Ore YtD'!$A:$A,I$1,'DB Costi-Ore YtD'!$B:$B,$A151,'DB Costi-Ore YtD'!$E:$E,$C151)-SUM($D151:H151),0)</f>
        <v>0</v>
      </c>
      <c r="J151">
        <f>IF((J$1*1)&lt;=MAX('DB Costi-Ore YtD'!$A:$A),SUMIFS('DB Costi-Ore YtD'!$G:$G,'DB Costi-Ore YtD'!$A:$A,J$1,'DB Costi-Ore YtD'!$B:$B,$A151,'DB Costi-Ore YtD'!$E:$E,$C151)-SUM($D151:I151),0)</f>
        <v>0</v>
      </c>
      <c r="K151">
        <f>IF((K$1*1)&lt;=MAX('DB Costi-Ore YtD'!$A:$A),SUMIFS('DB Costi-Ore YtD'!$G:$G,'DB Costi-Ore YtD'!$A:$A,K$1,'DB Costi-Ore YtD'!$B:$B,$A151,'DB Costi-Ore YtD'!$E:$E,$C151)-SUM($D151:J151),0)</f>
        <v>0</v>
      </c>
      <c r="L151">
        <f>IF((L$1*1)&lt;=MAX('DB Costi-Ore YtD'!$A:$A),SUMIFS('DB Costi-Ore YtD'!$G:$G,'DB Costi-Ore YtD'!$A:$A,L$1,'DB Costi-Ore YtD'!$B:$B,$A151,'DB Costi-Ore YtD'!$E:$E,$C151)-SUM($D151:K151),0)</f>
        <v>0</v>
      </c>
      <c r="M151">
        <f>IF((M$1*1)&lt;=MAX('DB Costi-Ore YtD'!$A:$A),SUMIFS('DB Costi-Ore YtD'!$G:$G,'DB Costi-Ore YtD'!$A:$A,M$1,'DB Costi-Ore YtD'!$B:$B,$A151,'DB Costi-Ore YtD'!$E:$E,$C151)-SUM($D151:L151),0)</f>
        <v>0</v>
      </c>
      <c r="N151">
        <f>IF((N$1*1)&lt;=MAX('DB Costi-Ore YtD'!$A:$A),SUMIFS('DB Costi-Ore YtD'!$G:$G,'DB Costi-Ore YtD'!$A:$A,N$1,'DB Costi-Ore YtD'!$B:$B,$A151,'DB Costi-Ore YtD'!$E:$E,$C151)-SUM($D151:M151),0)</f>
        <v>0</v>
      </c>
      <c r="O151">
        <f>IF((O$1*1)&lt;=MAX('DB Costi-Ore YtD'!$A:$A),SUMIFS('DB Costi-Ore YtD'!$G:$G,'DB Costi-Ore YtD'!$A:$A,O$1,'DB Costi-Ore YtD'!$B:$B,$A151,'DB Costi-Ore YtD'!$E:$E,$C151)-SUM($D151:N151),0)</f>
        <v>0</v>
      </c>
    </row>
    <row r="152" spans="1:15" hidden="1" x14ac:dyDescent="0.3">
      <c r="A152" t="s">
        <v>329</v>
      </c>
      <c r="B152" t="s">
        <v>330</v>
      </c>
      <c r="C152" t="s">
        <v>6</v>
      </c>
      <c r="D152">
        <f>IF((D$1*1)&lt;=MAX('DB Costi-Ore YtD'!$A:$A),SUMIFS('DB Costi-Ore YtD'!$G:$G,'DB Costi-Ore YtD'!$A:$A,D$1,'DB Costi-Ore YtD'!$B:$B,$A152,'DB Costi-Ore YtD'!$E:$E,$C152),0)</f>
        <v>1465.98</v>
      </c>
      <c r="E152">
        <f>IF((E$1*1)&lt;=MAX('DB Costi-Ore YtD'!$A:$A),SUMIFS('DB Costi-Ore YtD'!$G:$G,'DB Costi-Ore YtD'!$A:$A,E$1,'DB Costi-Ore YtD'!$B:$B,$A152,'DB Costi-Ore YtD'!$E:$E,$C152)-SUM($D152:D152),0)</f>
        <v>1510.6400000000003</v>
      </c>
      <c r="F152">
        <f>IF((F$1*1)&lt;=MAX('DB Costi-Ore YtD'!$A:$A),SUMIFS('DB Costi-Ore YtD'!$G:$G,'DB Costi-Ore YtD'!$A:$A,F$1,'DB Costi-Ore YtD'!$B:$B,$A152,'DB Costi-Ore YtD'!$E:$E,$C152)-SUM($D152:E152),0)</f>
        <v>1510.1299999999997</v>
      </c>
      <c r="G152">
        <f>IF((G$1*1)&lt;=MAX('DB Costi-Ore YtD'!$A:$A),SUMIFS('DB Costi-Ore YtD'!$G:$G,'DB Costi-Ore YtD'!$A:$A,G$1,'DB Costi-Ore YtD'!$B:$B,$A152,'DB Costi-Ore YtD'!$E:$E,$C152)-SUM($D152:F152),0)</f>
        <v>1764.62</v>
      </c>
      <c r="H152">
        <f>IF((H$1*1)&lt;=MAX('DB Costi-Ore YtD'!$A:$A),SUMIFS('DB Costi-Ore YtD'!$G:$G,'DB Costi-Ore YtD'!$A:$A,H$1,'DB Costi-Ore YtD'!$B:$B,$A152,'DB Costi-Ore YtD'!$E:$E,$C152)-SUM($D152:G152),0)</f>
        <v>1690.6000000000004</v>
      </c>
      <c r="I152">
        <f>IF((I$1*1)&lt;=MAX('DB Costi-Ore YtD'!$A:$A),SUMIFS('DB Costi-Ore YtD'!$G:$G,'DB Costi-Ore YtD'!$A:$A,I$1,'DB Costi-Ore YtD'!$B:$B,$A152,'DB Costi-Ore YtD'!$E:$E,$C152)-SUM($D152:H152),0)</f>
        <v>1624.1600000000026</v>
      </c>
      <c r="J152">
        <f>IF((J$1*1)&lt;=MAX('DB Costi-Ore YtD'!$A:$A),SUMIFS('DB Costi-Ore YtD'!$G:$G,'DB Costi-Ore YtD'!$A:$A,J$1,'DB Costi-Ore YtD'!$B:$B,$A152,'DB Costi-Ore YtD'!$E:$E,$C152)-SUM($D152:I152),0)</f>
        <v>0</v>
      </c>
      <c r="K152">
        <f>IF((K$1*1)&lt;=MAX('DB Costi-Ore YtD'!$A:$A),SUMIFS('DB Costi-Ore YtD'!$G:$G,'DB Costi-Ore YtD'!$A:$A,K$1,'DB Costi-Ore YtD'!$B:$B,$A152,'DB Costi-Ore YtD'!$E:$E,$C152)-SUM($D152:J152),0)</f>
        <v>0</v>
      </c>
      <c r="L152">
        <f>IF((L$1*1)&lt;=MAX('DB Costi-Ore YtD'!$A:$A),SUMIFS('DB Costi-Ore YtD'!$G:$G,'DB Costi-Ore YtD'!$A:$A,L$1,'DB Costi-Ore YtD'!$B:$B,$A152,'DB Costi-Ore YtD'!$E:$E,$C152)-SUM($D152:K152),0)</f>
        <v>0</v>
      </c>
      <c r="M152">
        <f>IF((M$1*1)&lt;=MAX('DB Costi-Ore YtD'!$A:$A),SUMIFS('DB Costi-Ore YtD'!$G:$G,'DB Costi-Ore YtD'!$A:$A,M$1,'DB Costi-Ore YtD'!$B:$B,$A152,'DB Costi-Ore YtD'!$E:$E,$C152)-SUM($D152:L152),0)</f>
        <v>0</v>
      </c>
      <c r="N152">
        <f>IF((N$1*1)&lt;=MAX('DB Costi-Ore YtD'!$A:$A),SUMIFS('DB Costi-Ore YtD'!$G:$G,'DB Costi-Ore YtD'!$A:$A,N$1,'DB Costi-Ore YtD'!$B:$B,$A152,'DB Costi-Ore YtD'!$E:$E,$C152)-SUM($D152:M152),0)</f>
        <v>0</v>
      </c>
      <c r="O152">
        <f>IF((O$1*1)&lt;=MAX('DB Costi-Ore YtD'!$A:$A),SUMIFS('DB Costi-Ore YtD'!$G:$G,'DB Costi-Ore YtD'!$A:$A,O$1,'DB Costi-Ore YtD'!$B:$B,$A152,'DB Costi-Ore YtD'!$E:$E,$C152)-SUM($D152:N152),0)</f>
        <v>0</v>
      </c>
    </row>
    <row r="153" spans="1:15" hidden="1" x14ac:dyDescent="0.3">
      <c r="A153" t="s">
        <v>331</v>
      </c>
      <c r="B153" t="s">
        <v>332</v>
      </c>
      <c r="C153" t="s">
        <v>3</v>
      </c>
      <c r="D153">
        <f>IF((D$1*1)&lt;=MAX('DB Costi-Ore YtD'!$A:$A),SUMIFS('DB Costi-Ore YtD'!$G:$G,'DB Costi-Ore YtD'!$A:$A,D$1,'DB Costi-Ore YtD'!$B:$B,$A153,'DB Costi-Ore YtD'!$E:$E,$C153),0)</f>
        <v>269.47000000000003</v>
      </c>
      <c r="E153">
        <f>IF((E$1*1)&lt;=MAX('DB Costi-Ore YtD'!$A:$A),SUMIFS('DB Costi-Ore YtD'!$G:$G,'DB Costi-Ore YtD'!$A:$A,E$1,'DB Costi-Ore YtD'!$B:$B,$A153,'DB Costi-Ore YtD'!$E:$E,$C153)-SUM($D153:D153),0)</f>
        <v>820.86999999999989</v>
      </c>
      <c r="F153">
        <f>IF((F$1*1)&lt;=MAX('DB Costi-Ore YtD'!$A:$A),SUMIFS('DB Costi-Ore YtD'!$G:$G,'DB Costi-Ore YtD'!$A:$A,F$1,'DB Costi-Ore YtD'!$B:$B,$A153,'DB Costi-Ore YtD'!$E:$E,$C153)-SUM($D153:E153),0)</f>
        <v>859.47</v>
      </c>
      <c r="G153">
        <f>IF((G$1*1)&lt;=MAX('DB Costi-Ore YtD'!$A:$A),SUMIFS('DB Costi-Ore YtD'!$G:$G,'DB Costi-Ore YtD'!$A:$A,G$1,'DB Costi-Ore YtD'!$B:$B,$A153,'DB Costi-Ore YtD'!$E:$E,$C153)-SUM($D153:F153),0)</f>
        <v>694.88000000000011</v>
      </c>
      <c r="H153">
        <f>IF((H$1*1)&lt;=MAX('DB Costi-Ore YtD'!$A:$A),SUMIFS('DB Costi-Ore YtD'!$G:$G,'DB Costi-Ore YtD'!$A:$A,H$1,'DB Costi-Ore YtD'!$B:$B,$A153,'DB Costi-Ore YtD'!$E:$E,$C153)-SUM($D153:G153),0)</f>
        <v>828.61999999999989</v>
      </c>
      <c r="I153">
        <f>IF((I$1*1)&lt;=MAX('DB Costi-Ore YtD'!$A:$A),SUMIFS('DB Costi-Ore YtD'!$G:$G,'DB Costi-Ore YtD'!$A:$A,I$1,'DB Costi-Ore YtD'!$B:$B,$A153,'DB Costi-Ore YtD'!$E:$E,$C153)-SUM($D153:H153),0)</f>
        <v>965.43999999999915</v>
      </c>
      <c r="J153">
        <f>IF((J$1*1)&lt;=MAX('DB Costi-Ore YtD'!$A:$A),SUMIFS('DB Costi-Ore YtD'!$G:$G,'DB Costi-Ore YtD'!$A:$A,J$1,'DB Costi-Ore YtD'!$B:$B,$A153,'DB Costi-Ore YtD'!$E:$E,$C153)-SUM($D153:I153),0)</f>
        <v>0</v>
      </c>
      <c r="K153">
        <f>IF((K$1*1)&lt;=MAX('DB Costi-Ore YtD'!$A:$A),SUMIFS('DB Costi-Ore YtD'!$G:$G,'DB Costi-Ore YtD'!$A:$A,K$1,'DB Costi-Ore YtD'!$B:$B,$A153,'DB Costi-Ore YtD'!$E:$E,$C153)-SUM($D153:J153),0)</f>
        <v>0</v>
      </c>
      <c r="L153">
        <f>IF((L$1*1)&lt;=MAX('DB Costi-Ore YtD'!$A:$A),SUMIFS('DB Costi-Ore YtD'!$G:$G,'DB Costi-Ore YtD'!$A:$A,L$1,'DB Costi-Ore YtD'!$B:$B,$A153,'DB Costi-Ore YtD'!$E:$E,$C153)-SUM($D153:K153),0)</f>
        <v>0</v>
      </c>
      <c r="M153">
        <f>IF((M$1*1)&lt;=MAX('DB Costi-Ore YtD'!$A:$A),SUMIFS('DB Costi-Ore YtD'!$G:$G,'DB Costi-Ore YtD'!$A:$A,M$1,'DB Costi-Ore YtD'!$B:$B,$A153,'DB Costi-Ore YtD'!$E:$E,$C153)-SUM($D153:L153),0)</f>
        <v>0</v>
      </c>
      <c r="N153">
        <f>IF((N$1*1)&lt;=MAX('DB Costi-Ore YtD'!$A:$A),SUMIFS('DB Costi-Ore YtD'!$G:$G,'DB Costi-Ore YtD'!$A:$A,N$1,'DB Costi-Ore YtD'!$B:$B,$A153,'DB Costi-Ore YtD'!$E:$E,$C153)-SUM($D153:M153),0)</f>
        <v>0</v>
      </c>
      <c r="O153">
        <f>IF((O$1*1)&lt;=MAX('DB Costi-Ore YtD'!$A:$A),SUMIFS('DB Costi-Ore YtD'!$G:$G,'DB Costi-Ore YtD'!$A:$A,O$1,'DB Costi-Ore YtD'!$B:$B,$A153,'DB Costi-Ore YtD'!$E:$E,$C153)-SUM($D153:N153),0)</f>
        <v>0</v>
      </c>
    </row>
    <row r="154" spans="1:15" hidden="1" x14ac:dyDescent="0.3">
      <c r="A154" t="s">
        <v>333</v>
      </c>
      <c r="B154" t="s">
        <v>334</v>
      </c>
      <c r="C154" t="s">
        <v>14</v>
      </c>
      <c r="D154">
        <f>IF((D$1*1)&lt;=MAX('DB Costi-Ore YtD'!$A:$A),SUMIFS('DB Costi-Ore YtD'!$G:$G,'DB Costi-Ore YtD'!$A:$A,D$1,'DB Costi-Ore YtD'!$B:$B,$A154,'DB Costi-Ore YtD'!$E:$E,$C154),0)</f>
        <v>216.52</v>
      </c>
      <c r="E154">
        <f>IF((E$1*1)&lt;=MAX('DB Costi-Ore YtD'!$A:$A),SUMIFS('DB Costi-Ore YtD'!$G:$G,'DB Costi-Ore YtD'!$A:$A,E$1,'DB Costi-Ore YtD'!$B:$B,$A154,'DB Costi-Ore YtD'!$E:$E,$C154)-SUM($D154:D154),0)</f>
        <v>1408.6100000000001</v>
      </c>
      <c r="F154">
        <f>IF((F$1*1)&lt;=MAX('DB Costi-Ore YtD'!$A:$A),SUMIFS('DB Costi-Ore YtD'!$G:$G,'DB Costi-Ore YtD'!$A:$A,F$1,'DB Costi-Ore YtD'!$B:$B,$A154,'DB Costi-Ore YtD'!$E:$E,$C154)-SUM($D154:E154),0)</f>
        <v>2105.5299999999997</v>
      </c>
      <c r="G154">
        <f>IF((G$1*1)&lt;=MAX('DB Costi-Ore YtD'!$A:$A),SUMIFS('DB Costi-Ore YtD'!$G:$G,'DB Costi-Ore YtD'!$A:$A,G$1,'DB Costi-Ore YtD'!$B:$B,$A154,'DB Costi-Ore YtD'!$E:$E,$C154)-SUM($D154:F154),0)</f>
        <v>1671.5400000000009</v>
      </c>
      <c r="H154">
        <f>IF((H$1*1)&lt;=MAX('DB Costi-Ore YtD'!$A:$A),SUMIFS('DB Costi-Ore YtD'!$G:$G,'DB Costi-Ore YtD'!$A:$A,H$1,'DB Costi-Ore YtD'!$B:$B,$A154,'DB Costi-Ore YtD'!$E:$E,$C154)-SUM($D154:G154),0)</f>
        <v>1671.5200000000004</v>
      </c>
      <c r="I154">
        <f>IF((I$1*1)&lt;=MAX('DB Costi-Ore YtD'!$A:$A),SUMIFS('DB Costi-Ore YtD'!$G:$G,'DB Costi-Ore YtD'!$A:$A,I$1,'DB Costi-Ore YtD'!$B:$B,$A154,'DB Costi-Ore YtD'!$E:$E,$C154)-SUM($D154:H154),0)</f>
        <v>5607.5199999999986</v>
      </c>
      <c r="J154">
        <f>IF((J$1*1)&lt;=MAX('DB Costi-Ore YtD'!$A:$A),SUMIFS('DB Costi-Ore YtD'!$G:$G,'DB Costi-Ore YtD'!$A:$A,J$1,'DB Costi-Ore YtD'!$B:$B,$A154,'DB Costi-Ore YtD'!$E:$E,$C154)-SUM($D154:I154),0)</f>
        <v>0</v>
      </c>
      <c r="K154">
        <f>IF((K$1*1)&lt;=MAX('DB Costi-Ore YtD'!$A:$A),SUMIFS('DB Costi-Ore YtD'!$G:$G,'DB Costi-Ore YtD'!$A:$A,K$1,'DB Costi-Ore YtD'!$B:$B,$A154,'DB Costi-Ore YtD'!$E:$E,$C154)-SUM($D154:J154),0)</f>
        <v>0</v>
      </c>
      <c r="L154">
        <f>IF((L$1*1)&lt;=MAX('DB Costi-Ore YtD'!$A:$A),SUMIFS('DB Costi-Ore YtD'!$G:$G,'DB Costi-Ore YtD'!$A:$A,L$1,'DB Costi-Ore YtD'!$B:$B,$A154,'DB Costi-Ore YtD'!$E:$E,$C154)-SUM($D154:K154),0)</f>
        <v>0</v>
      </c>
      <c r="M154">
        <f>IF((M$1*1)&lt;=MAX('DB Costi-Ore YtD'!$A:$A),SUMIFS('DB Costi-Ore YtD'!$G:$G,'DB Costi-Ore YtD'!$A:$A,M$1,'DB Costi-Ore YtD'!$B:$B,$A154,'DB Costi-Ore YtD'!$E:$E,$C154)-SUM($D154:L154),0)</f>
        <v>0</v>
      </c>
      <c r="N154">
        <f>IF((N$1*1)&lt;=MAX('DB Costi-Ore YtD'!$A:$A),SUMIFS('DB Costi-Ore YtD'!$G:$G,'DB Costi-Ore YtD'!$A:$A,N$1,'DB Costi-Ore YtD'!$B:$B,$A154,'DB Costi-Ore YtD'!$E:$E,$C154)-SUM($D154:M154),0)</f>
        <v>0</v>
      </c>
      <c r="O154">
        <f>IF((O$1*1)&lt;=MAX('DB Costi-Ore YtD'!$A:$A),SUMIFS('DB Costi-Ore YtD'!$G:$G,'DB Costi-Ore YtD'!$A:$A,O$1,'DB Costi-Ore YtD'!$B:$B,$A154,'DB Costi-Ore YtD'!$E:$E,$C154)-SUM($D154:N154),0)</f>
        <v>0</v>
      </c>
    </row>
    <row r="155" spans="1:15" hidden="1" x14ac:dyDescent="0.3">
      <c r="A155" t="s">
        <v>335</v>
      </c>
      <c r="B155" t="s">
        <v>336</v>
      </c>
      <c r="C155" t="s">
        <v>2</v>
      </c>
      <c r="D155">
        <f>IF((D$1*1)&lt;=MAX('DB Costi-Ore YtD'!$A:$A),SUMIFS('DB Costi-Ore YtD'!$G:$G,'DB Costi-Ore YtD'!$A:$A,D$1,'DB Costi-Ore YtD'!$B:$B,$A155,'DB Costi-Ore YtD'!$E:$E,$C155),0)</f>
        <v>498.25</v>
      </c>
      <c r="E155">
        <f>IF((E$1*1)&lt;=MAX('DB Costi-Ore YtD'!$A:$A),SUMIFS('DB Costi-Ore YtD'!$G:$G,'DB Costi-Ore YtD'!$A:$A,E$1,'DB Costi-Ore YtD'!$B:$B,$A155,'DB Costi-Ore YtD'!$E:$E,$C155)-SUM($D155:D155),0)</f>
        <v>1599.73</v>
      </c>
      <c r="F155">
        <f>IF((F$1*1)&lt;=MAX('DB Costi-Ore YtD'!$A:$A),SUMIFS('DB Costi-Ore YtD'!$G:$G,'DB Costi-Ore YtD'!$A:$A,F$1,'DB Costi-Ore YtD'!$B:$B,$A155,'DB Costi-Ore YtD'!$E:$E,$C155)-SUM($D155:E155),0)</f>
        <v>1594.3000000000002</v>
      </c>
      <c r="G155">
        <f>IF((G$1*1)&lt;=MAX('DB Costi-Ore YtD'!$A:$A),SUMIFS('DB Costi-Ore YtD'!$G:$G,'DB Costi-Ore YtD'!$A:$A,G$1,'DB Costi-Ore YtD'!$B:$B,$A155,'DB Costi-Ore YtD'!$E:$E,$C155)-SUM($D155:F155),0)</f>
        <v>1793.44</v>
      </c>
      <c r="H155">
        <f>IF((H$1*1)&lt;=MAX('DB Costi-Ore YtD'!$A:$A),SUMIFS('DB Costi-Ore YtD'!$G:$G,'DB Costi-Ore YtD'!$A:$A,H$1,'DB Costi-Ore YtD'!$B:$B,$A155,'DB Costi-Ore YtD'!$E:$E,$C155)-SUM($D155:G155),0)</f>
        <v>1682.2400000000007</v>
      </c>
      <c r="I155">
        <f>IF((I$1*1)&lt;=MAX('DB Costi-Ore YtD'!$A:$A),SUMIFS('DB Costi-Ore YtD'!$G:$G,'DB Costi-Ore YtD'!$A:$A,I$1,'DB Costi-Ore YtD'!$B:$B,$A155,'DB Costi-Ore YtD'!$E:$E,$C155)-SUM($D155:H155),0)</f>
        <v>1418.6399999999994</v>
      </c>
      <c r="J155">
        <f>IF((J$1*1)&lt;=MAX('DB Costi-Ore YtD'!$A:$A),SUMIFS('DB Costi-Ore YtD'!$G:$G,'DB Costi-Ore YtD'!$A:$A,J$1,'DB Costi-Ore YtD'!$B:$B,$A155,'DB Costi-Ore YtD'!$E:$E,$C155)-SUM($D155:I155),0)</f>
        <v>0</v>
      </c>
      <c r="K155">
        <f>IF((K$1*1)&lt;=MAX('DB Costi-Ore YtD'!$A:$A),SUMIFS('DB Costi-Ore YtD'!$G:$G,'DB Costi-Ore YtD'!$A:$A,K$1,'DB Costi-Ore YtD'!$B:$B,$A155,'DB Costi-Ore YtD'!$E:$E,$C155)-SUM($D155:J155),0)</f>
        <v>0</v>
      </c>
      <c r="L155">
        <f>IF((L$1*1)&lt;=MAX('DB Costi-Ore YtD'!$A:$A),SUMIFS('DB Costi-Ore YtD'!$G:$G,'DB Costi-Ore YtD'!$A:$A,L$1,'DB Costi-Ore YtD'!$B:$B,$A155,'DB Costi-Ore YtD'!$E:$E,$C155)-SUM($D155:K155),0)</f>
        <v>0</v>
      </c>
      <c r="M155">
        <f>IF((M$1*1)&lt;=MAX('DB Costi-Ore YtD'!$A:$A),SUMIFS('DB Costi-Ore YtD'!$G:$G,'DB Costi-Ore YtD'!$A:$A,M$1,'DB Costi-Ore YtD'!$B:$B,$A155,'DB Costi-Ore YtD'!$E:$E,$C155)-SUM($D155:L155),0)</f>
        <v>0</v>
      </c>
      <c r="N155">
        <f>IF((N$1*1)&lt;=MAX('DB Costi-Ore YtD'!$A:$A),SUMIFS('DB Costi-Ore YtD'!$G:$G,'DB Costi-Ore YtD'!$A:$A,N$1,'DB Costi-Ore YtD'!$B:$B,$A155,'DB Costi-Ore YtD'!$E:$E,$C155)-SUM($D155:M155),0)</f>
        <v>0</v>
      </c>
      <c r="O155">
        <f>IF((O$1*1)&lt;=MAX('DB Costi-Ore YtD'!$A:$A),SUMIFS('DB Costi-Ore YtD'!$G:$G,'DB Costi-Ore YtD'!$A:$A,O$1,'DB Costi-Ore YtD'!$B:$B,$A155,'DB Costi-Ore YtD'!$E:$E,$C155)-SUM($D155:N155),0)</f>
        <v>0</v>
      </c>
    </row>
    <row r="156" spans="1:15" hidden="1" x14ac:dyDescent="0.3">
      <c r="A156" t="s">
        <v>337</v>
      </c>
      <c r="B156" t="s">
        <v>338</v>
      </c>
      <c r="C156" t="s">
        <v>5</v>
      </c>
      <c r="D156">
        <f>IF((D$1*1)&lt;=MAX('DB Costi-Ore YtD'!$A:$A),SUMIFS('DB Costi-Ore YtD'!$G:$G,'DB Costi-Ore YtD'!$A:$A,D$1,'DB Costi-Ore YtD'!$B:$B,$A156,'DB Costi-Ore YtD'!$E:$E,$C156),0)</f>
        <v>566.08000000000004</v>
      </c>
      <c r="E156">
        <f>IF((E$1*1)&lt;=MAX('DB Costi-Ore YtD'!$A:$A),SUMIFS('DB Costi-Ore YtD'!$G:$G,'DB Costi-Ore YtD'!$A:$A,E$1,'DB Costi-Ore YtD'!$B:$B,$A156,'DB Costi-Ore YtD'!$E:$E,$C156)-SUM($D156:D156),0)</f>
        <v>0</v>
      </c>
      <c r="F156">
        <f>IF((F$1*1)&lt;=MAX('DB Costi-Ore YtD'!$A:$A),SUMIFS('DB Costi-Ore YtD'!$G:$G,'DB Costi-Ore YtD'!$A:$A,F$1,'DB Costi-Ore YtD'!$B:$B,$A156,'DB Costi-Ore YtD'!$E:$E,$C156)-SUM($D156:E156),0)</f>
        <v>0</v>
      </c>
      <c r="G156">
        <f>IF((G$1*1)&lt;=MAX('DB Costi-Ore YtD'!$A:$A),SUMIFS('DB Costi-Ore YtD'!$G:$G,'DB Costi-Ore YtD'!$A:$A,G$1,'DB Costi-Ore YtD'!$B:$B,$A156,'DB Costi-Ore YtD'!$E:$E,$C156)-SUM($D156:F156),0)</f>
        <v>0</v>
      </c>
      <c r="H156">
        <f>IF((H$1*1)&lt;=MAX('DB Costi-Ore YtD'!$A:$A),SUMIFS('DB Costi-Ore YtD'!$G:$G,'DB Costi-Ore YtD'!$A:$A,H$1,'DB Costi-Ore YtD'!$B:$B,$A156,'DB Costi-Ore YtD'!$E:$E,$C156)-SUM($D156:G156),0)</f>
        <v>0</v>
      </c>
      <c r="I156">
        <f>IF((I$1*1)&lt;=MAX('DB Costi-Ore YtD'!$A:$A),SUMIFS('DB Costi-Ore YtD'!$G:$G,'DB Costi-Ore YtD'!$A:$A,I$1,'DB Costi-Ore YtD'!$B:$B,$A156,'DB Costi-Ore YtD'!$E:$E,$C156)-SUM($D156:H156),0)</f>
        <v>0</v>
      </c>
      <c r="J156">
        <f>IF((J$1*1)&lt;=MAX('DB Costi-Ore YtD'!$A:$A),SUMIFS('DB Costi-Ore YtD'!$G:$G,'DB Costi-Ore YtD'!$A:$A,J$1,'DB Costi-Ore YtD'!$B:$B,$A156,'DB Costi-Ore YtD'!$E:$E,$C156)-SUM($D156:I156),0)</f>
        <v>0</v>
      </c>
      <c r="K156">
        <f>IF((K$1*1)&lt;=MAX('DB Costi-Ore YtD'!$A:$A),SUMIFS('DB Costi-Ore YtD'!$G:$G,'DB Costi-Ore YtD'!$A:$A,K$1,'DB Costi-Ore YtD'!$B:$B,$A156,'DB Costi-Ore YtD'!$E:$E,$C156)-SUM($D156:J156),0)</f>
        <v>0</v>
      </c>
      <c r="L156">
        <f>IF((L$1*1)&lt;=MAX('DB Costi-Ore YtD'!$A:$A),SUMIFS('DB Costi-Ore YtD'!$G:$G,'DB Costi-Ore YtD'!$A:$A,L$1,'DB Costi-Ore YtD'!$B:$B,$A156,'DB Costi-Ore YtD'!$E:$E,$C156)-SUM($D156:K156),0)</f>
        <v>0</v>
      </c>
      <c r="M156">
        <f>IF((M$1*1)&lt;=MAX('DB Costi-Ore YtD'!$A:$A),SUMIFS('DB Costi-Ore YtD'!$G:$G,'DB Costi-Ore YtD'!$A:$A,M$1,'DB Costi-Ore YtD'!$B:$B,$A156,'DB Costi-Ore YtD'!$E:$E,$C156)-SUM($D156:L156),0)</f>
        <v>0</v>
      </c>
      <c r="N156">
        <f>IF((N$1*1)&lt;=MAX('DB Costi-Ore YtD'!$A:$A),SUMIFS('DB Costi-Ore YtD'!$G:$G,'DB Costi-Ore YtD'!$A:$A,N$1,'DB Costi-Ore YtD'!$B:$B,$A156,'DB Costi-Ore YtD'!$E:$E,$C156)-SUM($D156:M156),0)</f>
        <v>0</v>
      </c>
      <c r="O156">
        <f>IF((O$1*1)&lt;=MAX('DB Costi-Ore YtD'!$A:$A),SUMIFS('DB Costi-Ore YtD'!$G:$G,'DB Costi-Ore YtD'!$A:$A,O$1,'DB Costi-Ore YtD'!$B:$B,$A156,'DB Costi-Ore YtD'!$E:$E,$C156)-SUM($D156:N156),0)</f>
        <v>0</v>
      </c>
    </row>
    <row r="157" spans="1:15" hidden="1" x14ac:dyDescent="0.3">
      <c r="A157" t="s">
        <v>339</v>
      </c>
      <c r="B157" t="s">
        <v>340</v>
      </c>
      <c r="C157" t="s">
        <v>8</v>
      </c>
      <c r="D157">
        <f>IF((D$1*1)&lt;=MAX('DB Costi-Ore YtD'!$A:$A),SUMIFS('DB Costi-Ore YtD'!$G:$G,'DB Costi-Ore YtD'!$A:$A,D$1,'DB Costi-Ore YtD'!$B:$B,$A157,'DB Costi-Ore YtD'!$E:$E,$C157),0)</f>
        <v>466.08</v>
      </c>
      <c r="E157">
        <f>IF((E$1*1)&lt;=MAX('DB Costi-Ore YtD'!$A:$A),SUMIFS('DB Costi-Ore YtD'!$G:$G,'DB Costi-Ore YtD'!$A:$A,E$1,'DB Costi-Ore YtD'!$B:$B,$A157,'DB Costi-Ore YtD'!$E:$E,$C157)-SUM($D157:D157),0)</f>
        <v>466.08</v>
      </c>
      <c r="F157">
        <f>IF((F$1*1)&lt;=MAX('DB Costi-Ore YtD'!$A:$A),SUMIFS('DB Costi-Ore YtD'!$G:$G,'DB Costi-Ore YtD'!$A:$A,F$1,'DB Costi-Ore YtD'!$B:$B,$A157,'DB Costi-Ore YtD'!$E:$E,$C157)-SUM($D157:E157),0)</f>
        <v>108.86000000000001</v>
      </c>
      <c r="G157">
        <f>IF((G$1*1)&lt;=MAX('DB Costi-Ore YtD'!$A:$A),SUMIFS('DB Costi-Ore YtD'!$G:$G,'DB Costi-Ore YtD'!$A:$A,G$1,'DB Costi-Ore YtD'!$B:$B,$A157,'DB Costi-Ore YtD'!$E:$E,$C157)-SUM($D157:F157),0)</f>
        <v>0</v>
      </c>
      <c r="H157">
        <f>IF((H$1*1)&lt;=MAX('DB Costi-Ore YtD'!$A:$A),SUMIFS('DB Costi-Ore YtD'!$G:$G,'DB Costi-Ore YtD'!$A:$A,H$1,'DB Costi-Ore YtD'!$B:$B,$A157,'DB Costi-Ore YtD'!$E:$E,$C157)-SUM($D157:G157),0)</f>
        <v>0</v>
      </c>
      <c r="I157">
        <f>IF((I$1*1)&lt;=MAX('DB Costi-Ore YtD'!$A:$A),SUMIFS('DB Costi-Ore YtD'!$G:$G,'DB Costi-Ore YtD'!$A:$A,I$1,'DB Costi-Ore YtD'!$B:$B,$A157,'DB Costi-Ore YtD'!$E:$E,$C157)-SUM($D157:H157),0)</f>
        <v>0</v>
      </c>
      <c r="J157">
        <f>IF((J$1*1)&lt;=MAX('DB Costi-Ore YtD'!$A:$A),SUMIFS('DB Costi-Ore YtD'!$G:$G,'DB Costi-Ore YtD'!$A:$A,J$1,'DB Costi-Ore YtD'!$B:$B,$A157,'DB Costi-Ore YtD'!$E:$E,$C157)-SUM($D157:I157),0)</f>
        <v>0</v>
      </c>
      <c r="K157">
        <f>IF((K$1*1)&lt;=MAX('DB Costi-Ore YtD'!$A:$A),SUMIFS('DB Costi-Ore YtD'!$G:$G,'DB Costi-Ore YtD'!$A:$A,K$1,'DB Costi-Ore YtD'!$B:$B,$A157,'DB Costi-Ore YtD'!$E:$E,$C157)-SUM($D157:J157),0)</f>
        <v>0</v>
      </c>
      <c r="L157">
        <f>IF((L$1*1)&lt;=MAX('DB Costi-Ore YtD'!$A:$A),SUMIFS('DB Costi-Ore YtD'!$G:$G,'DB Costi-Ore YtD'!$A:$A,L$1,'DB Costi-Ore YtD'!$B:$B,$A157,'DB Costi-Ore YtD'!$E:$E,$C157)-SUM($D157:K157),0)</f>
        <v>0</v>
      </c>
      <c r="M157">
        <f>IF((M$1*1)&lt;=MAX('DB Costi-Ore YtD'!$A:$A),SUMIFS('DB Costi-Ore YtD'!$G:$G,'DB Costi-Ore YtD'!$A:$A,M$1,'DB Costi-Ore YtD'!$B:$B,$A157,'DB Costi-Ore YtD'!$E:$E,$C157)-SUM($D157:L157),0)</f>
        <v>0</v>
      </c>
      <c r="N157">
        <f>IF((N$1*1)&lt;=MAX('DB Costi-Ore YtD'!$A:$A),SUMIFS('DB Costi-Ore YtD'!$G:$G,'DB Costi-Ore YtD'!$A:$A,N$1,'DB Costi-Ore YtD'!$B:$B,$A157,'DB Costi-Ore YtD'!$E:$E,$C157)-SUM($D157:M157),0)</f>
        <v>0</v>
      </c>
      <c r="O157">
        <f>IF((O$1*1)&lt;=MAX('DB Costi-Ore YtD'!$A:$A),SUMIFS('DB Costi-Ore YtD'!$G:$G,'DB Costi-Ore YtD'!$A:$A,O$1,'DB Costi-Ore YtD'!$B:$B,$A157,'DB Costi-Ore YtD'!$E:$E,$C157)-SUM($D157:N157),0)</f>
        <v>0</v>
      </c>
    </row>
    <row r="158" spans="1:15" x14ac:dyDescent="0.3">
      <c r="A158" t="s">
        <v>341</v>
      </c>
      <c r="B158" t="s">
        <v>342</v>
      </c>
      <c r="C158" t="s">
        <v>13</v>
      </c>
      <c r="D158">
        <f>IF((D$1*1)&lt;=MAX('DB Costi-Ore YtD'!$A:$A),SUMIFS('DB Costi-Ore YtD'!$G:$G,'DB Costi-Ore YtD'!$A:$A,D$1,'DB Costi-Ore YtD'!$B:$B,$A158,'DB Costi-Ore YtD'!$E:$E,$C158),0)</f>
        <v>676.83</v>
      </c>
      <c r="E158">
        <f>IF((E$1*1)&lt;=MAX('DB Costi-Ore YtD'!$A:$A),SUMIFS('DB Costi-Ore YtD'!$G:$G,'DB Costi-Ore YtD'!$A:$A,E$1,'DB Costi-Ore YtD'!$B:$B,$A158,'DB Costi-Ore YtD'!$E:$E,$C158)-SUM($D158:D158),0)</f>
        <v>661.36</v>
      </c>
      <c r="F158">
        <f>IF((F$1*1)&lt;=MAX('DB Costi-Ore YtD'!$A:$A),SUMIFS('DB Costi-Ore YtD'!$G:$G,'DB Costi-Ore YtD'!$A:$A,F$1,'DB Costi-Ore YtD'!$B:$B,$A158,'DB Costi-Ore YtD'!$E:$E,$C158)-SUM($D158:E158),0)</f>
        <v>0</v>
      </c>
      <c r="G158">
        <f>IF((G$1*1)&lt;=MAX('DB Costi-Ore YtD'!$A:$A),SUMIFS('DB Costi-Ore YtD'!$G:$G,'DB Costi-Ore YtD'!$A:$A,G$1,'DB Costi-Ore YtD'!$B:$B,$A158,'DB Costi-Ore YtD'!$E:$E,$C158)-SUM($D158:F158),0)</f>
        <v>0</v>
      </c>
      <c r="H158">
        <f>IF((H$1*1)&lt;=MAX('DB Costi-Ore YtD'!$A:$A),SUMIFS('DB Costi-Ore YtD'!$G:$G,'DB Costi-Ore YtD'!$A:$A,H$1,'DB Costi-Ore YtD'!$B:$B,$A158,'DB Costi-Ore YtD'!$E:$E,$C158)-SUM($D158:G158),0)</f>
        <v>0</v>
      </c>
      <c r="I158">
        <f>IF((I$1*1)&lt;=MAX('DB Costi-Ore YtD'!$A:$A),SUMIFS('DB Costi-Ore YtD'!$G:$G,'DB Costi-Ore YtD'!$A:$A,I$1,'DB Costi-Ore YtD'!$B:$B,$A158,'DB Costi-Ore YtD'!$E:$E,$C158)-SUM($D158:H158),0)</f>
        <v>0</v>
      </c>
      <c r="J158">
        <f>IF((J$1*1)&lt;=MAX('DB Costi-Ore YtD'!$A:$A),SUMIFS('DB Costi-Ore YtD'!$G:$G,'DB Costi-Ore YtD'!$A:$A,J$1,'DB Costi-Ore YtD'!$B:$B,$A158,'DB Costi-Ore YtD'!$E:$E,$C158)-SUM($D158:I158),0)</f>
        <v>0</v>
      </c>
      <c r="K158">
        <f>IF((K$1*1)&lt;=MAX('DB Costi-Ore YtD'!$A:$A),SUMIFS('DB Costi-Ore YtD'!$G:$G,'DB Costi-Ore YtD'!$A:$A,K$1,'DB Costi-Ore YtD'!$B:$B,$A158,'DB Costi-Ore YtD'!$E:$E,$C158)-SUM($D158:J158),0)</f>
        <v>0</v>
      </c>
      <c r="L158">
        <f>IF((L$1*1)&lt;=MAX('DB Costi-Ore YtD'!$A:$A),SUMIFS('DB Costi-Ore YtD'!$G:$G,'DB Costi-Ore YtD'!$A:$A,L$1,'DB Costi-Ore YtD'!$B:$B,$A158,'DB Costi-Ore YtD'!$E:$E,$C158)-SUM($D158:K158),0)</f>
        <v>0</v>
      </c>
      <c r="M158">
        <f>IF((M$1*1)&lt;=MAX('DB Costi-Ore YtD'!$A:$A),SUMIFS('DB Costi-Ore YtD'!$G:$G,'DB Costi-Ore YtD'!$A:$A,M$1,'DB Costi-Ore YtD'!$B:$B,$A158,'DB Costi-Ore YtD'!$E:$E,$C158)-SUM($D158:L158),0)</f>
        <v>0</v>
      </c>
      <c r="N158">
        <f>IF((N$1*1)&lt;=MAX('DB Costi-Ore YtD'!$A:$A),SUMIFS('DB Costi-Ore YtD'!$G:$G,'DB Costi-Ore YtD'!$A:$A,N$1,'DB Costi-Ore YtD'!$B:$B,$A158,'DB Costi-Ore YtD'!$E:$E,$C158)-SUM($D158:M158),0)</f>
        <v>0</v>
      </c>
      <c r="O158">
        <f>IF((O$1*1)&lt;=MAX('DB Costi-Ore YtD'!$A:$A),SUMIFS('DB Costi-Ore YtD'!$G:$G,'DB Costi-Ore YtD'!$A:$A,O$1,'DB Costi-Ore YtD'!$B:$B,$A158,'DB Costi-Ore YtD'!$E:$E,$C158)-SUM($D158:N158),0)</f>
        <v>0</v>
      </c>
    </row>
    <row r="159" spans="1:15" hidden="1" x14ac:dyDescent="0.3">
      <c r="A159" t="s">
        <v>343</v>
      </c>
      <c r="B159" t="s">
        <v>336</v>
      </c>
      <c r="C159" t="s">
        <v>2</v>
      </c>
      <c r="D159">
        <f>IF((D$1*1)&lt;=MAX('DB Costi-Ore YtD'!$A:$A),SUMIFS('DB Costi-Ore YtD'!$G:$G,'DB Costi-Ore YtD'!$A:$A,D$1,'DB Costi-Ore YtD'!$B:$B,$A159,'DB Costi-Ore YtD'!$E:$E,$C159),0)</f>
        <v>11.58</v>
      </c>
      <c r="E159">
        <f>IF((E$1*1)&lt;=MAX('DB Costi-Ore YtD'!$A:$A),SUMIFS('DB Costi-Ore YtD'!$G:$G,'DB Costi-Ore YtD'!$A:$A,E$1,'DB Costi-Ore YtD'!$B:$B,$A159,'DB Costi-Ore YtD'!$E:$E,$C159)-SUM($D159:D159),0)</f>
        <v>0</v>
      </c>
      <c r="F159">
        <f>IF((F$1*1)&lt;=MAX('DB Costi-Ore YtD'!$A:$A),SUMIFS('DB Costi-Ore YtD'!$G:$G,'DB Costi-Ore YtD'!$A:$A,F$1,'DB Costi-Ore YtD'!$B:$B,$A159,'DB Costi-Ore YtD'!$E:$E,$C159)-SUM($D159:E159),0)</f>
        <v>0</v>
      </c>
      <c r="G159">
        <f>IF((G$1*1)&lt;=MAX('DB Costi-Ore YtD'!$A:$A),SUMIFS('DB Costi-Ore YtD'!$G:$G,'DB Costi-Ore YtD'!$A:$A,G$1,'DB Costi-Ore YtD'!$B:$B,$A159,'DB Costi-Ore YtD'!$E:$E,$C159)-SUM($D159:F159),0)</f>
        <v>0</v>
      </c>
      <c r="H159">
        <f>IF((H$1*1)&lt;=MAX('DB Costi-Ore YtD'!$A:$A),SUMIFS('DB Costi-Ore YtD'!$G:$G,'DB Costi-Ore YtD'!$A:$A,H$1,'DB Costi-Ore YtD'!$B:$B,$A159,'DB Costi-Ore YtD'!$E:$E,$C159)-SUM($D159:G159),0)</f>
        <v>0</v>
      </c>
      <c r="I159">
        <f>IF((I$1*1)&lt;=MAX('DB Costi-Ore YtD'!$A:$A),SUMIFS('DB Costi-Ore YtD'!$G:$G,'DB Costi-Ore YtD'!$A:$A,I$1,'DB Costi-Ore YtD'!$B:$B,$A159,'DB Costi-Ore YtD'!$E:$E,$C159)-SUM($D159:H159),0)</f>
        <v>0</v>
      </c>
      <c r="J159">
        <f>IF((J$1*1)&lt;=MAX('DB Costi-Ore YtD'!$A:$A),SUMIFS('DB Costi-Ore YtD'!$G:$G,'DB Costi-Ore YtD'!$A:$A,J$1,'DB Costi-Ore YtD'!$B:$B,$A159,'DB Costi-Ore YtD'!$E:$E,$C159)-SUM($D159:I159),0)</f>
        <v>0</v>
      </c>
      <c r="K159">
        <f>IF((K$1*1)&lt;=MAX('DB Costi-Ore YtD'!$A:$A),SUMIFS('DB Costi-Ore YtD'!$G:$G,'DB Costi-Ore YtD'!$A:$A,K$1,'DB Costi-Ore YtD'!$B:$B,$A159,'DB Costi-Ore YtD'!$E:$E,$C159)-SUM($D159:J159),0)</f>
        <v>0</v>
      </c>
      <c r="L159">
        <f>IF((L$1*1)&lt;=MAX('DB Costi-Ore YtD'!$A:$A),SUMIFS('DB Costi-Ore YtD'!$G:$G,'DB Costi-Ore YtD'!$A:$A,L$1,'DB Costi-Ore YtD'!$B:$B,$A159,'DB Costi-Ore YtD'!$E:$E,$C159)-SUM($D159:K159),0)</f>
        <v>0</v>
      </c>
      <c r="M159">
        <f>IF((M$1*1)&lt;=MAX('DB Costi-Ore YtD'!$A:$A),SUMIFS('DB Costi-Ore YtD'!$G:$G,'DB Costi-Ore YtD'!$A:$A,M$1,'DB Costi-Ore YtD'!$B:$B,$A159,'DB Costi-Ore YtD'!$E:$E,$C159)-SUM($D159:L159),0)</f>
        <v>0</v>
      </c>
      <c r="N159">
        <f>IF((N$1*1)&lt;=MAX('DB Costi-Ore YtD'!$A:$A),SUMIFS('DB Costi-Ore YtD'!$G:$G,'DB Costi-Ore YtD'!$A:$A,N$1,'DB Costi-Ore YtD'!$B:$B,$A159,'DB Costi-Ore YtD'!$E:$E,$C159)-SUM($D159:M159),0)</f>
        <v>0</v>
      </c>
      <c r="O159">
        <f>IF((O$1*1)&lt;=MAX('DB Costi-Ore YtD'!$A:$A),SUMIFS('DB Costi-Ore YtD'!$G:$G,'DB Costi-Ore YtD'!$A:$A,O$1,'DB Costi-Ore YtD'!$B:$B,$A159,'DB Costi-Ore YtD'!$E:$E,$C159)-SUM($D159:N159),0)</f>
        <v>0</v>
      </c>
    </row>
    <row r="160" spans="1:15" hidden="1" x14ac:dyDescent="0.3">
      <c r="A160" t="s">
        <v>344</v>
      </c>
      <c r="B160" t="s">
        <v>345</v>
      </c>
      <c r="C160" t="s">
        <v>5</v>
      </c>
      <c r="D160">
        <f>IF((D$1*1)&lt;=MAX('DB Costi-Ore YtD'!$A:$A),SUMIFS('DB Costi-Ore YtD'!$G:$G,'DB Costi-Ore YtD'!$A:$A,D$1,'DB Costi-Ore YtD'!$B:$B,$A160,'DB Costi-Ore YtD'!$E:$E,$C160),0)</f>
        <v>516.08000000000004</v>
      </c>
      <c r="E160">
        <f>IF((E$1*1)&lt;=MAX('DB Costi-Ore YtD'!$A:$A),SUMIFS('DB Costi-Ore YtD'!$G:$G,'DB Costi-Ore YtD'!$A:$A,E$1,'DB Costi-Ore YtD'!$B:$B,$A160,'DB Costi-Ore YtD'!$E:$E,$C160)-SUM($D160:D160),0)</f>
        <v>516.08000000000004</v>
      </c>
      <c r="F160">
        <f>IF((F$1*1)&lt;=MAX('DB Costi-Ore YtD'!$A:$A),SUMIFS('DB Costi-Ore YtD'!$G:$G,'DB Costi-Ore YtD'!$A:$A,F$1,'DB Costi-Ore YtD'!$B:$B,$A160,'DB Costi-Ore YtD'!$E:$E,$C160)-SUM($D160:E160),0)</f>
        <v>516.07999999999993</v>
      </c>
      <c r="G160">
        <f>IF((G$1*1)&lt;=MAX('DB Costi-Ore YtD'!$A:$A),SUMIFS('DB Costi-Ore YtD'!$G:$G,'DB Costi-Ore YtD'!$A:$A,G$1,'DB Costi-Ore YtD'!$B:$B,$A160,'DB Costi-Ore YtD'!$E:$E,$C160)-SUM($D160:F160),0)</f>
        <v>0</v>
      </c>
      <c r="H160">
        <f>IF((H$1*1)&lt;=MAX('DB Costi-Ore YtD'!$A:$A),SUMIFS('DB Costi-Ore YtD'!$G:$G,'DB Costi-Ore YtD'!$A:$A,H$1,'DB Costi-Ore YtD'!$B:$B,$A160,'DB Costi-Ore YtD'!$E:$E,$C160)-SUM($D160:G160),0)</f>
        <v>0</v>
      </c>
      <c r="I160">
        <f>IF((I$1*1)&lt;=MAX('DB Costi-Ore YtD'!$A:$A),SUMIFS('DB Costi-Ore YtD'!$G:$G,'DB Costi-Ore YtD'!$A:$A,I$1,'DB Costi-Ore YtD'!$B:$B,$A160,'DB Costi-Ore YtD'!$E:$E,$C160)-SUM($D160:H160),0)</f>
        <v>0</v>
      </c>
      <c r="J160">
        <f>IF((J$1*1)&lt;=MAX('DB Costi-Ore YtD'!$A:$A),SUMIFS('DB Costi-Ore YtD'!$G:$G,'DB Costi-Ore YtD'!$A:$A,J$1,'DB Costi-Ore YtD'!$B:$B,$A160,'DB Costi-Ore YtD'!$E:$E,$C160)-SUM($D160:I160),0)</f>
        <v>0</v>
      </c>
      <c r="K160">
        <f>IF((K$1*1)&lt;=MAX('DB Costi-Ore YtD'!$A:$A),SUMIFS('DB Costi-Ore YtD'!$G:$G,'DB Costi-Ore YtD'!$A:$A,K$1,'DB Costi-Ore YtD'!$B:$B,$A160,'DB Costi-Ore YtD'!$E:$E,$C160)-SUM($D160:J160),0)</f>
        <v>0</v>
      </c>
      <c r="L160">
        <f>IF((L$1*1)&lt;=MAX('DB Costi-Ore YtD'!$A:$A),SUMIFS('DB Costi-Ore YtD'!$G:$G,'DB Costi-Ore YtD'!$A:$A,L$1,'DB Costi-Ore YtD'!$B:$B,$A160,'DB Costi-Ore YtD'!$E:$E,$C160)-SUM($D160:K160),0)</f>
        <v>0</v>
      </c>
      <c r="M160">
        <f>IF((M$1*1)&lt;=MAX('DB Costi-Ore YtD'!$A:$A),SUMIFS('DB Costi-Ore YtD'!$G:$G,'DB Costi-Ore YtD'!$A:$A,M$1,'DB Costi-Ore YtD'!$B:$B,$A160,'DB Costi-Ore YtD'!$E:$E,$C160)-SUM($D160:L160),0)</f>
        <v>0</v>
      </c>
      <c r="N160">
        <f>IF((N$1*1)&lt;=MAX('DB Costi-Ore YtD'!$A:$A),SUMIFS('DB Costi-Ore YtD'!$G:$G,'DB Costi-Ore YtD'!$A:$A,N$1,'DB Costi-Ore YtD'!$B:$B,$A160,'DB Costi-Ore YtD'!$E:$E,$C160)-SUM($D160:M160),0)</f>
        <v>0</v>
      </c>
      <c r="O160">
        <f>IF((O$1*1)&lt;=MAX('DB Costi-Ore YtD'!$A:$A),SUMIFS('DB Costi-Ore YtD'!$G:$G,'DB Costi-Ore YtD'!$A:$A,O$1,'DB Costi-Ore YtD'!$B:$B,$A160,'DB Costi-Ore YtD'!$E:$E,$C160)-SUM($D160:N160),0)</f>
        <v>0</v>
      </c>
    </row>
    <row r="161" spans="1:15" hidden="1" x14ac:dyDescent="0.3">
      <c r="A161" t="s">
        <v>346</v>
      </c>
      <c r="B161" t="s">
        <v>347</v>
      </c>
      <c r="C161" t="s">
        <v>5</v>
      </c>
      <c r="D161">
        <f>IF((D$1*1)&lt;=MAX('DB Costi-Ore YtD'!$A:$A),SUMIFS('DB Costi-Ore YtD'!$G:$G,'DB Costi-Ore YtD'!$A:$A,D$1,'DB Costi-Ore YtD'!$B:$B,$A161,'DB Costi-Ore YtD'!$E:$E,$C161),0)</f>
        <v>516.08000000000004</v>
      </c>
      <c r="E161">
        <f>IF((E$1*1)&lt;=MAX('DB Costi-Ore YtD'!$A:$A),SUMIFS('DB Costi-Ore YtD'!$G:$G,'DB Costi-Ore YtD'!$A:$A,E$1,'DB Costi-Ore YtD'!$B:$B,$A161,'DB Costi-Ore YtD'!$E:$E,$C161)-SUM($D161:D161),0)</f>
        <v>516.08000000000004</v>
      </c>
      <c r="F161">
        <f>IF((F$1*1)&lt;=MAX('DB Costi-Ore YtD'!$A:$A),SUMIFS('DB Costi-Ore YtD'!$G:$G,'DB Costi-Ore YtD'!$A:$A,F$1,'DB Costi-Ore YtD'!$B:$B,$A161,'DB Costi-Ore YtD'!$E:$E,$C161)-SUM($D161:E161),0)</f>
        <v>516.07999999999993</v>
      </c>
      <c r="G161">
        <f>IF((G$1*1)&lt;=MAX('DB Costi-Ore YtD'!$A:$A),SUMIFS('DB Costi-Ore YtD'!$G:$G,'DB Costi-Ore YtD'!$A:$A,G$1,'DB Costi-Ore YtD'!$B:$B,$A161,'DB Costi-Ore YtD'!$E:$E,$C161)-SUM($D161:F161),0)</f>
        <v>0</v>
      </c>
      <c r="H161">
        <f>IF((H$1*1)&lt;=MAX('DB Costi-Ore YtD'!$A:$A),SUMIFS('DB Costi-Ore YtD'!$G:$G,'DB Costi-Ore YtD'!$A:$A,H$1,'DB Costi-Ore YtD'!$B:$B,$A161,'DB Costi-Ore YtD'!$E:$E,$C161)-SUM($D161:G161),0)</f>
        <v>0</v>
      </c>
      <c r="I161">
        <f>IF((I$1*1)&lt;=MAX('DB Costi-Ore YtD'!$A:$A),SUMIFS('DB Costi-Ore YtD'!$G:$G,'DB Costi-Ore YtD'!$A:$A,I$1,'DB Costi-Ore YtD'!$B:$B,$A161,'DB Costi-Ore YtD'!$E:$E,$C161)-SUM($D161:H161),0)</f>
        <v>0</v>
      </c>
      <c r="J161">
        <f>IF((J$1*1)&lt;=MAX('DB Costi-Ore YtD'!$A:$A),SUMIFS('DB Costi-Ore YtD'!$G:$G,'DB Costi-Ore YtD'!$A:$A,J$1,'DB Costi-Ore YtD'!$B:$B,$A161,'DB Costi-Ore YtD'!$E:$E,$C161)-SUM($D161:I161),0)</f>
        <v>0</v>
      </c>
      <c r="K161">
        <f>IF((K$1*1)&lt;=MAX('DB Costi-Ore YtD'!$A:$A),SUMIFS('DB Costi-Ore YtD'!$G:$G,'DB Costi-Ore YtD'!$A:$A,K$1,'DB Costi-Ore YtD'!$B:$B,$A161,'DB Costi-Ore YtD'!$E:$E,$C161)-SUM($D161:J161),0)</f>
        <v>0</v>
      </c>
      <c r="L161">
        <f>IF((L$1*1)&lt;=MAX('DB Costi-Ore YtD'!$A:$A),SUMIFS('DB Costi-Ore YtD'!$G:$G,'DB Costi-Ore YtD'!$A:$A,L$1,'DB Costi-Ore YtD'!$B:$B,$A161,'DB Costi-Ore YtD'!$E:$E,$C161)-SUM($D161:K161),0)</f>
        <v>0</v>
      </c>
      <c r="M161">
        <f>IF((M$1*1)&lt;=MAX('DB Costi-Ore YtD'!$A:$A),SUMIFS('DB Costi-Ore YtD'!$G:$G,'DB Costi-Ore YtD'!$A:$A,M$1,'DB Costi-Ore YtD'!$B:$B,$A161,'DB Costi-Ore YtD'!$E:$E,$C161)-SUM($D161:L161),0)</f>
        <v>0</v>
      </c>
      <c r="N161">
        <f>IF((N$1*1)&lt;=MAX('DB Costi-Ore YtD'!$A:$A),SUMIFS('DB Costi-Ore YtD'!$G:$G,'DB Costi-Ore YtD'!$A:$A,N$1,'DB Costi-Ore YtD'!$B:$B,$A161,'DB Costi-Ore YtD'!$E:$E,$C161)-SUM($D161:M161),0)</f>
        <v>0</v>
      </c>
      <c r="O161">
        <f>IF((O$1*1)&lt;=MAX('DB Costi-Ore YtD'!$A:$A),SUMIFS('DB Costi-Ore YtD'!$G:$G,'DB Costi-Ore YtD'!$A:$A,O$1,'DB Costi-Ore YtD'!$B:$B,$A161,'DB Costi-Ore YtD'!$E:$E,$C161)-SUM($D161:N161),0)</f>
        <v>0</v>
      </c>
    </row>
    <row r="162" spans="1:15" hidden="1" x14ac:dyDescent="0.3">
      <c r="A162" t="s">
        <v>426</v>
      </c>
      <c r="B162" t="s">
        <v>427</v>
      </c>
      <c r="C162" t="s">
        <v>5</v>
      </c>
      <c r="D162">
        <f>IF((D$1*1)&lt;=MAX('DB Costi-Ore YtD'!$A:$A),SUMIFS('DB Costi-Ore YtD'!$G:$G,'DB Costi-Ore YtD'!$A:$A,D$1,'DB Costi-Ore YtD'!$B:$B,$A162,'DB Costi-Ore YtD'!$E:$E,$C162),0)</f>
        <v>0</v>
      </c>
      <c r="E162">
        <f>IF((E$1*1)&lt;=MAX('DB Costi-Ore YtD'!$A:$A),SUMIFS('DB Costi-Ore YtD'!$G:$G,'DB Costi-Ore YtD'!$A:$A,E$1,'DB Costi-Ore YtD'!$B:$B,$A162,'DB Costi-Ore YtD'!$E:$E,$C162)-SUM($D162:D162),0)</f>
        <v>0</v>
      </c>
      <c r="F162">
        <f>IF((F$1*1)&lt;=MAX('DB Costi-Ore YtD'!$A:$A),SUMIFS('DB Costi-Ore YtD'!$G:$G,'DB Costi-Ore YtD'!$A:$A,F$1,'DB Costi-Ore YtD'!$B:$B,$A162,'DB Costi-Ore YtD'!$E:$E,$C162)-SUM($D162:E162),0)</f>
        <v>0</v>
      </c>
      <c r="G162">
        <f>IF((G$1*1)&lt;=MAX('DB Costi-Ore YtD'!$A:$A),SUMIFS('DB Costi-Ore YtD'!$G:$G,'DB Costi-Ore YtD'!$A:$A,G$1,'DB Costi-Ore YtD'!$B:$B,$A162,'DB Costi-Ore YtD'!$E:$E,$C162)-SUM($D162:F162),0)</f>
        <v>0</v>
      </c>
      <c r="H162">
        <f>IF((H$1*1)&lt;=MAX('DB Costi-Ore YtD'!$A:$A),SUMIFS('DB Costi-Ore YtD'!$G:$G,'DB Costi-Ore YtD'!$A:$A,H$1,'DB Costi-Ore YtD'!$B:$B,$A162,'DB Costi-Ore YtD'!$E:$E,$C162)-SUM($D162:G162),0)</f>
        <v>0</v>
      </c>
      <c r="I162">
        <f>IF((I$1*1)&lt;=MAX('DB Costi-Ore YtD'!$A:$A),SUMIFS('DB Costi-Ore YtD'!$G:$G,'DB Costi-Ore YtD'!$A:$A,I$1,'DB Costi-Ore YtD'!$B:$B,$A162,'DB Costi-Ore YtD'!$E:$E,$C162)-SUM($D162:H162),0)</f>
        <v>0</v>
      </c>
      <c r="J162">
        <f>IF((J$1*1)&lt;=MAX('DB Costi-Ore YtD'!$A:$A),SUMIFS('DB Costi-Ore YtD'!$G:$G,'DB Costi-Ore YtD'!$A:$A,J$1,'DB Costi-Ore YtD'!$B:$B,$A162,'DB Costi-Ore YtD'!$E:$E,$C162)-SUM($D162:I162),0)</f>
        <v>0</v>
      </c>
      <c r="K162">
        <f>IF((K$1*1)&lt;=MAX('DB Costi-Ore YtD'!$A:$A),SUMIFS('DB Costi-Ore YtD'!$G:$G,'DB Costi-Ore YtD'!$A:$A,K$1,'DB Costi-Ore YtD'!$B:$B,$A162,'DB Costi-Ore YtD'!$E:$E,$C162)-SUM($D162:J162),0)</f>
        <v>0</v>
      </c>
      <c r="L162">
        <f>IF((L$1*1)&lt;=MAX('DB Costi-Ore YtD'!$A:$A),SUMIFS('DB Costi-Ore YtD'!$G:$G,'DB Costi-Ore YtD'!$A:$A,L$1,'DB Costi-Ore YtD'!$B:$B,$A162,'DB Costi-Ore YtD'!$E:$E,$C162)-SUM($D162:K162),0)</f>
        <v>0</v>
      </c>
      <c r="M162">
        <f>IF((M$1*1)&lt;=MAX('DB Costi-Ore YtD'!$A:$A),SUMIFS('DB Costi-Ore YtD'!$G:$G,'DB Costi-Ore YtD'!$A:$A,M$1,'DB Costi-Ore YtD'!$B:$B,$A162,'DB Costi-Ore YtD'!$E:$E,$C162)-SUM($D162:L162),0)</f>
        <v>0</v>
      </c>
      <c r="N162">
        <f>IF((N$1*1)&lt;=MAX('DB Costi-Ore YtD'!$A:$A),SUMIFS('DB Costi-Ore YtD'!$G:$G,'DB Costi-Ore YtD'!$A:$A,N$1,'DB Costi-Ore YtD'!$B:$B,$A162,'DB Costi-Ore YtD'!$E:$E,$C162)-SUM($D162:M162),0)</f>
        <v>0</v>
      </c>
      <c r="O162">
        <f>IF((O$1*1)&lt;=MAX('DB Costi-Ore YtD'!$A:$A),SUMIFS('DB Costi-Ore YtD'!$G:$G,'DB Costi-Ore YtD'!$A:$A,O$1,'DB Costi-Ore YtD'!$B:$B,$A162,'DB Costi-Ore YtD'!$E:$E,$C162)-SUM($D162:N162),0)</f>
        <v>0</v>
      </c>
    </row>
    <row r="163" spans="1:15" hidden="1" x14ac:dyDescent="0.3">
      <c r="A163" t="s">
        <v>348</v>
      </c>
      <c r="B163" t="s">
        <v>330</v>
      </c>
      <c r="C163" t="s">
        <v>6</v>
      </c>
      <c r="D163">
        <f>IF((D$1*1)&lt;=MAX('DB Costi-Ore YtD'!$A:$A),SUMIFS('DB Costi-Ore YtD'!$G:$G,'DB Costi-Ore YtD'!$A:$A,D$1,'DB Costi-Ore YtD'!$B:$B,$A163,'DB Costi-Ore YtD'!$E:$E,$C163),0)</f>
        <v>23.91</v>
      </c>
      <c r="E163">
        <f>IF((E$1*1)&lt;=MAX('DB Costi-Ore YtD'!$A:$A),SUMIFS('DB Costi-Ore YtD'!$G:$G,'DB Costi-Ore YtD'!$A:$A,E$1,'DB Costi-Ore YtD'!$B:$B,$A163,'DB Costi-Ore YtD'!$E:$E,$C163)-SUM($D163:D163),0)</f>
        <v>0</v>
      </c>
      <c r="F163">
        <f>IF((F$1*1)&lt;=MAX('DB Costi-Ore YtD'!$A:$A),SUMIFS('DB Costi-Ore YtD'!$G:$G,'DB Costi-Ore YtD'!$A:$A,F$1,'DB Costi-Ore YtD'!$B:$B,$A163,'DB Costi-Ore YtD'!$E:$E,$C163)-SUM($D163:E163),0)</f>
        <v>0</v>
      </c>
      <c r="G163">
        <f>IF((G$1*1)&lt;=MAX('DB Costi-Ore YtD'!$A:$A),SUMIFS('DB Costi-Ore YtD'!$G:$G,'DB Costi-Ore YtD'!$A:$A,G$1,'DB Costi-Ore YtD'!$B:$B,$A163,'DB Costi-Ore YtD'!$E:$E,$C163)-SUM($D163:F163),0)</f>
        <v>0</v>
      </c>
      <c r="H163">
        <f>IF((H$1*1)&lt;=MAX('DB Costi-Ore YtD'!$A:$A),SUMIFS('DB Costi-Ore YtD'!$G:$G,'DB Costi-Ore YtD'!$A:$A,H$1,'DB Costi-Ore YtD'!$B:$B,$A163,'DB Costi-Ore YtD'!$E:$E,$C163)-SUM($D163:G163),0)</f>
        <v>0</v>
      </c>
      <c r="I163">
        <f>IF((I$1*1)&lt;=MAX('DB Costi-Ore YtD'!$A:$A),SUMIFS('DB Costi-Ore YtD'!$G:$G,'DB Costi-Ore YtD'!$A:$A,I$1,'DB Costi-Ore YtD'!$B:$B,$A163,'DB Costi-Ore YtD'!$E:$E,$C163)-SUM($D163:H163),0)</f>
        <v>0</v>
      </c>
      <c r="J163">
        <f>IF((J$1*1)&lt;=MAX('DB Costi-Ore YtD'!$A:$A),SUMIFS('DB Costi-Ore YtD'!$G:$G,'DB Costi-Ore YtD'!$A:$A,J$1,'DB Costi-Ore YtD'!$B:$B,$A163,'DB Costi-Ore YtD'!$E:$E,$C163)-SUM($D163:I163),0)</f>
        <v>0</v>
      </c>
      <c r="K163">
        <f>IF((K$1*1)&lt;=MAX('DB Costi-Ore YtD'!$A:$A),SUMIFS('DB Costi-Ore YtD'!$G:$G,'DB Costi-Ore YtD'!$A:$A,K$1,'DB Costi-Ore YtD'!$B:$B,$A163,'DB Costi-Ore YtD'!$E:$E,$C163)-SUM($D163:J163),0)</f>
        <v>0</v>
      </c>
      <c r="L163">
        <f>IF((L$1*1)&lt;=MAX('DB Costi-Ore YtD'!$A:$A),SUMIFS('DB Costi-Ore YtD'!$G:$G,'DB Costi-Ore YtD'!$A:$A,L$1,'DB Costi-Ore YtD'!$B:$B,$A163,'DB Costi-Ore YtD'!$E:$E,$C163)-SUM($D163:K163),0)</f>
        <v>0</v>
      </c>
      <c r="M163">
        <f>IF((M$1*1)&lt;=MAX('DB Costi-Ore YtD'!$A:$A),SUMIFS('DB Costi-Ore YtD'!$G:$G,'DB Costi-Ore YtD'!$A:$A,M$1,'DB Costi-Ore YtD'!$B:$B,$A163,'DB Costi-Ore YtD'!$E:$E,$C163)-SUM($D163:L163),0)</f>
        <v>0</v>
      </c>
      <c r="N163">
        <f>IF((N$1*1)&lt;=MAX('DB Costi-Ore YtD'!$A:$A),SUMIFS('DB Costi-Ore YtD'!$G:$G,'DB Costi-Ore YtD'!$A:$A,N$1,'DB Costi-Ore YtD'!$B:$B,$A163,'DB Costi-Ore YtD'!$E:$E,$C163)-SUM($D163:M163),0)</f>
        <v>0</v>
      </c>
      <c r="O163">
        <f>IF((O$1*1)&lt;=MAX('DB Costi-Ore YtD'!$A:$A),SUMIFS('DB Costi-Ore YtD'!$G:$G,'DB Costi-Ore YtD'!$A:$A,O$1,'DB Costi-Ore YtD'!$B:$B,$A163,'DB Costi-Ore YtD'!$E:$E,$C163)-SUM($D163:N163),0)</f>
        <v>0</v>
      </c>
    </row>
    <row r="164" spans="1:15" hidden="1" x14ac:dyDescent="0.3">
      <c r="A164" t="s">
        <v>349</v>
      </c>
      <c r="B164" t="s">
        <v>350</v>
      </c>
      <c r="C164" t="s">
        <v>5</v>
      </c>
      <c r="D164">
        <f>IF((D$1*1)&lt;=MAX('DB Costi-Ore YtD'!$A:$A),SUMIFS('DB Costi-Ore YtD'!$G:$G,'DB Costi-Ore YtD'!$A:$A,D$1,'DB Costi-Ore YtD'!$B:$B,$A164,'DB Costi-Ore YtD'!$E:$E,$C164),0)</f>
        <v>466.08</v>
      </c>
      <c r="E164">
        <f>IF((E$1*1)&lt;=MAX('DB Costi-Ore YtD'!$A:$A),SUMIFS('DB Costi-Ore YtD'!$G:$G,'DB Costi-Ore YtD'!$A:$A,E$1,'DB Costi-Ore YtD'!$B:$B,$A164,'DB Costi-Ore YtD'!$E:$E,$C164)-SUM($D164:D164),0)</f>
        <v>465.44</v>
      </c>
      <c r="F164">
        <f>IF((F$1*1)&lt;=MAX('DB Costi-Ore YtD'!$A:$A),SUMIFS('DB Costi-Ore YtD'!$G:$G,'DB Costi-Ore YtD'!$A:$A,F$1,'DB Costi-Ore YtD'!$B:$B,$A164,'DB Costi-Ore YtD'!$E:$E,$C164)-SUM($D164:E164),0)</f>
        <v>0</v>
      </c>
      <c r="G164">
        <f>IF((G$1*1)&lt;=MAX('DB Costi-Ore YtD'!$A:$A),SUMIFS('DB Costi-Ore YtD'!$G:$G,'DB Costi-Ore YtD'!$A:$A,G$1,'DB Costi-Ore YtD'!$B:$B,$A164,'DB Costi-Ore YtD'!$E:$E,$C164)-SUM($D164:F164),0)</f>
        <v>0</v>
      </c>
      <c r="H164">
        <f>IF((H$1*1)&lt;=MAX('DB Costi-Ore YtD'!$A:$A),SUMIFS('DB Costi-Ore YtD'!$G:$G,'DB Costi-Ore YtD'!$A:$A,H$1,'DB Costi-Ore YtD'!$B:$B,$A164,'DB Costi-Ore YtD'!$E:$E,$C164)-SUM($D164:G164),0)</f>
        <v>0</v>
      </c>
      <c r="I164">
        <f>IF((I$1*1)&lt;=MAX('DB Costi-Ore YtD'!$A:$A),SUMIFS('DB Costi-Ore YtD'!$G:$G,'DB Costi-Ore YtD'!$A:$A,I$1,'DB Costi-Ore YtD'!$B:$B,$A164,'DB Costi-Ore YtD'!$E:$E,$C164)-SUM($D164:H164),0)</f>
        <v>0</v>
      </c>
      <c r="J164">
        <f>IF((J$1*1)&lt;=MAX('DB Costi-Ore YtD'!$A:$A),SUMIFS('DB Costi-Ore YtD'!$G:$G,'DB Costi-Ore YtD'!$A:$A,J$1,'DB Costi-Ore YtD'!$B:$B,$A164,'DB Costi-Ore YtD'!$E:$E,$C164)-SUM($D164:I164),0)</f>
        <v>0</v>
      </c>
      <c r="K164">
        <f>IF((K$1*1)&lt;=MAX('DB Costi-Ore YtD'!$A:$A),SUMIFS('DB Costi-Ore YtD'!$G:$G,'DB Costi-Ore YtD'!$A:$A,K$1,'DB Costi-Ore YtD'!$B:$B,$A164,'DB Costi-Ore YtD'!$E:$E,$C164)-SUM($D164:J164),0)</f>
        <v>0</v>
      </c>
      <c r="L164">
        <f>IF((L$1*1)&lt;=MAX('DB Costi-Ore YtD'!$A:$A),SUMIFS('DB Costi-Ore YtD'!$G:$G,'DB Costi-Ore YtD'!$A:$A,L$1,'DB Costi-Ore YtD'!$B:$B,$A164,'DB Costi-Ore YtD'!$E:$E,$C164)-SUM($D164:K164),0)</f>
        <v>0</v>
      </c>
      <c r="M164">
        <f>IF((M$1*1)&lt;=MAX('DB Costi-Ore YtD'!$A:$A),SUMIFS('DB Costi-Ore YtD'!$G:$G,'DB Costi-Ore YtD'!$A:$A,M$1,'DB Costi-Ore YtD'!$B:$B,$A164,'DB Costi-Ore YtD'!$E:$E,$C164)-SUM($D164:L164),0)</f>
        <v>0</v>
      </c>
      <c r="N164">
        <f>IF((N$1*1)&lt;=MAX('DB Costi-Ore YtD'!$A:$A),SUMIFS('DB Costi-Ore YtD'!$G:$G,'DB Costi-Ore YtD'!$A:$A,N$1,'DB Costi-Ore YtD'!$B:$B,$A164,'DB Costi-Ore YtD'!$E:$E,$C164)-SUM($D164:M164),0)</f>
        <v>0</v>
      </c>
      <c r="O164">
        <f>IF((O$1*1)&lt;=MAX('DB Costi-Ore YtD'!$A:$A),SUMIFS('DB Costi-Ore YtD'!$G:$G,'DB Costi-Ore YtD'!$A:$A,O$1,'DB Costi-Ore YtD'!$B:$B,$A164,'DB Costi-Ore YtD'!$E:$E,$C164)-SUM($D164:N164),0)</f>
        <v>0</v>
      </c>
    </row>
    <row r="165" spans="1:15" hidden="1" x14ac:dyDescent="0.3">
      <c r="A165" t="s">
        <v>351</v>
      </c>
      <c r="B165" t="s">
        <v>352</v>
      </c>
      <c r="C165" t="s">
        <v>2</v>
      </c>
      <c r="D165">
        <f>IF((D$1*1)&lt;=MAX('DB Costi-Ore YtD'!$A:$A),SUMIFS('DB Costi-Ore YtD'!$G:$G,'DB Costi-Ore YtD'!$A:$A,D$1,'DB Costi-Ore YtD'!$B:$B,$A165,'DB Costi-Ore YtD'!$E:$E,$C165),0)</f>
        <v>16.079999999999998</v>
      </c>
      <c r="E165">
        <f>IF((E$1*1)&lt;=MAX('DB Costi-Ore YtD'!$A:$A),SUMIFS('DB Costi-Ore YtD'!$G:$G,'DB Costi-Ore YtD'!$A:$A,E$1,'DB Costi-Ore YtD'!$B:$B,$A165,'DB Costi-Ore YtD'!$E:$E,$C165)-SUM($D165:D165),0)</f>
        <v>10.940000000000001</v>
      </c>
      <c r="F165">
        <f>IF((F$1*1)&lt;=MAX('DB Costi-Ore YtD'!$A:$A),SUMIFS('DB Costi-Ore YtD'!$G:$G,'DB Costi-Ore YtD'!$A:$A,F$1,'DB Costi-Ore YtD'!$B:$B,$A165,'DB Costi-Ore YtD'!$E:$E,$C165)-SUM($D165:E165),0)</f>
        <v>0</v>
      </c>
      <c r="G165">
        <f>IF((G$1*1)&lt;=MAX('DB Costi-Ore YtD'!$A:$A),SUMIFS('DB Costi-Ore YtD'!$G:$G,'DB Costi-Ore YtD'!$A:$A,G$1,'DB Costi-Ore YtD'!$B:$B,$A165,'DB Costi-Ore YtD'!$E:$E,$C165)-SUM($D165:F165),0)</f>
        <v>0</v>
      </c>
      <c r="H165">
        <f>IF((H$1*1)&lt;=MAX('DB Costi-Ore YtD'!$A:$A),SUMIFS('DB Costi-Ore YtD'!$G:$G,'DB Costi-Ore YtD'!$A:$A,H$1,'DB Costi-Ore YtD'!$B:$B,$A165,'DB Costi-Ore YtD'!$E:$E,$C165)-SUM($D165:G165),0)</f>
        <v>0</v>
      </c>
      <c r="I165">
        <f>IF((I$1*1)&lt;=MAX('DB Costi-Ore YtD'!$A:$A),SUMIFS('DB Costi-Ore YtD'!$G:$G,'DB Costi-Ore YtD'!$A:$A,I$1,'DB Costi-Ore YtD'!$B:$B,$A165,'DB Costi-Ore YtD'!$E:$E,$C165)-SUM($D165:H165),0)</f>
        <v>0</v>
      </c>
      <c r="J165">
        <f>IF((J$1*1)&lt;=MAX('DB Costi-Ore YtD'!$A:$A),SUMIFS('DB Costi-Ore YtD'!$G:$G,'DB Costi-Ore YtD'!$A:$A,J$1,'DB Costi-Ore YtD'!$B:$B,$A165,'DB Costi-Ore YtD'!$E:$E,$C165)-SUM($D165:I165),0)</f>
        <v>0</v>
      </c>
      <c r="K165">
        <f>IF((K$1*1)&lt;=MAX('DB Costi-Ore YtD'!$A:$A),SUMIFS('DB Costi-Ore YtD'!$G:$G,'DB Costi-Ore YtD'!$A:$A,K$1,'DB Costi-Ore YtD'!$B:$B,$A165,'DB Costi-Ore YtD'!$E:$E,$C165)-SUM($D165:J165),0)</f>
        <v>0</v>
      </c>
      <c r="L165">
        <f>IF((L$1*1)&lt;=MAX('DB Costi-Ore YtD'!$A:$A),SUMIFS('DB Costi-Ore YtD'!$G:$G,'DB Costi-Ore YtD'!$A:$A,L$1,'DB Costi-Ore YtD'!$B:$B,$A165,'DB Costi-Ore YtD'!$E:$E,$C165)-SUM($D165:K165),0)</f>
        <v>0</v>
      </c>
      <c r="M165">
        <f>IF((M$1*1)&lt;=MAX('DB Costi-Ore YtD'!$A:$A),SUMIFS('DB Costi-Ore YtD'!$G:$G,'DB Costi-Ore YtD'!$A:$A,M$1,'DB Costi-Ore YtD'!$B:$B,$A165,'DB Costi-Ore YtD'!$E:$E,$C165)-SUM($D165:L165),0)</f>
        <v>0</v>
      </c>
      <c r="N165">
        <f>IF((N$1*1)&lt;=MAX('DB Costi-Ore YtD'!$A:$A),SUMIFS('DB Costi-Ore YtD'!$G:$G,'DB Costi-Ore YtD'!$A:$A,N$1,'DB Costi-Ore YtD'!$B:$B,$A165,'DB Costi-Ore YtD'!$E:$E,$C165)-SUM($D165:M165),0)</f>
        <v>0</v>
      </c>
      <c r="O165">
        <f>IF((O$1*1)&lt;=MAX('DB Costi-Ore YtD'!$A:$A),SUMIFS('DB Costi-Ore YtD'!$G:$G,'DB Costi-Ore YtD'!$A:$A,O$1,'DB Costi-Ore YtD'!$B:$B,$A165,'DB Costi-Ore YtD'!$E:$E,$C165)-SUM($D165:N165),0)</f>
        <v>0</v>
      </c>
    </row>
    <row r="166" spans="1:15" hidden="1" x14ac:dyDescent="0.3">
      <c r="A166" t="s">
        <v>353</v>
      </c>
      <c r="B166" t="s">
        <v>354</v>
      </c>
      <c r="C166" t="s">
        <v>5</v>
      </c>
      <c r="D166">
        <f>IF((D$1*1)&lt;=MAX('DB Costi-Ore YtD'!$A:$A),SUMIFS('DB Costi-Ore YtD'!$G:$G,'DB Costi-Ore YtD'!$A:$A,D$1,'DB Costi-Ore YtD'!$B:$B,$A166,'DB Costi-Ore YtD'!$E:$E,$C166),0)</f>
        <v>466.08</v>
      </c>
      <c r="E166">
        <f>IF((E$1*1)&lt;=MAX('DB Costi-Ore YtD'!$A:$A),SUMIFS('DB Costi-Ore YtD'!$G:$G,'DB Costi-Ore YtD'!$A:$A,E$1,'DB Costi-Ore YtD'!$B:$B,$A166,'DB Costi-Ore YtD'!$E:$E,$C166)-SUM($D166:D166),0)</f>
        <v>466.08</v>
      </c>
      <c r="F166">
        <f>IF((F$1*1)&lt;=MAX('DB Costi-Ore YtD'!$A:$A),SUMIFS('DB Costi-Ore YtD'!$G:$G,'DB Costi-Ore YtD'!$A:$A,F$1,'DB Costi-Ore YtD'!$B:$B,$A166,'DB Costi-Ore YtD'!$E:$E,$C166)-SUM($D166:E166),0)</f>
        <v>466.08000000000004</v>
      </c>
      <c r="G166">
        <f>IF((G$1*1)&lt;=MAX('DB Costi-Ore YtD'!$A:$A),SUMIFS('DB Costi-Ore YtD'!$G:$G,'DB Costi-Ore YtD'!$A:$A,G$1,'DB Costi-Ore YtD'!$B:$B,$A166,'DB Costi-Ore YtD'!$E:$E,$C166)-SUM($D166:F166),0)</f>
        <v>516.07999999999993</v>
      </c>
      <c r="H166">
        <f>IF((H$1*1)&lt;=MAX('DB Costi-Ore YtD'!$A:$A),SUMIFS('DB Costi-Ore YtD'!$G:$G,'DB Costi-Ore YtD'!$A:$A,H$1,'DB Costi-Ore YtD'!$B:$B,$A166,'DB Costi-Ore YtD'!$E:$E,$C166)-SUM($D166:G166),0)</f>
        <v>516.08000000000015</v>
      </c>
      <c r="I166">
        <f>IF((I$1*1)&lt;=MAX('DB Costi-Ore YtD'!$A:$A),SUMIFS('DB Costi-Ore YtD'!$G:$G,'DB Costi-Ore YtD'!$A:$A,I$1,'DB Costi-Ore YtD'!$B:$B,$A166,'DB Costi-Ore YtD'!$E:$E,$C166)-SUM($D166:H166),0)</f>
        <v>516.07999999999993</v>
      </c>
      <c r="J166">
        <f>IF((J$1*1)&lt;=MAX('DB Costi-Ore YtD'!$A:$A),SUMIFS('DB Costi-Ore YtD'!$G:$G,'DB Costi-Ore YtD'!$A:$A,J$1,'DB Costi-Ore YtD'!$B:$B,$A166,'DB Costi-Ore YtD'!$E:$E,$C166)-SUM($D166:I166),0)</f>
        <v>0</v>
      </c>
      <c r="K166">
        <f>IF((K$1*1)&lt;=MAX('DB Costi-Ore YtD'!$A:$A),SUMIFS('DB Costi-Ore YtD'!$G:$G,'DB Costi-Ore YtD'!$A:$A,K$1,'DB Costi-Ore YtD'!$B:$B,$A166,'DB Costi-Ore YtD'!$E:$E,$C166)-SUM($D166:J166),0)</f>
        <v>0</v>
      </c>
      <c r="L166">
        <f>IF((L$1*1)&lt;=MAX('DB Costi-Ore YtD'!$A:$A),SUMIFS('DB Costi-Ore YtD'!$G:$G,'DB Costi-Ore YtD'!$A:$A,L$1,'DB Costi-Ore YtD'!$B:$B,$A166,'DB Costi-Ore YtD'!$E:$E,$C166)-SUM($D166:K166),0)</f>
        <v>0</v>
      </c>
      <c r="M166">
        <f>IF((M$1*1)&lt;=MAX('DB Costi-Ore YtD'!$A:$A),SUMIFS('DB Costi-Ore YtD'!$G:$G,'DB Costi-Ore YtD'!$A:$A,M$1,'DB Costi-Ore YtD'!$B:$B,$A166,'DB Costi-Ore YtD'!$E:$E,$C166)-SUM($D166:L166),0)</f>
        <v>0</v>
      </c>
      <c r="N166">
        <f>IF((N$1*1)&lt;=MAX('DB Costi-Ore YtD'!$A:$A),SUMIFS('DB Costi-Ore YtD'!$G:$G,'DB Costi-Ore YtD'!$A:$A,N$1,'DB Costi-Ore YtD'!$B:$B,$A166,'DB Costi-Ore YtD'!$E:$E,$C166)-SUM($D166:M166),0)</f>
        <v>0</v>
      </c>
      <c r="O166">
        <f>IF((O$1*1)&lt;=MAX('DB Costi-Ore YtD'!$A:$A),SUMIFS('DB Costi-Ore YtD'!$G:$G,'DB Costi-Ore YtD'!$A:$A,O$1,'DB Costi-Ore YtD'!$B:$B,$A166,'DB Costi-Ore YtD'!$E:$E,$C166)-SUM($D166:N166),0)</f>
        <v>0</v>
      </c>
    </row>
    <row r="167" spans="1:15" hidden="1" x14ac:dyDescent="0.3">
      <c r="A167" t="s">
        <v>355</v>
      </c>
      <c r="B167" t="s">
        <v>356</v>
      </c>
      <c r="C167" t="s">
        <v>5</v>
      </c>
      <c r="D167">
        <f>IF((D$1*1)&lt;=MAX('DB Costi-Ore YtD'!$A:$A),SUMIFS('DB Costi-Ore YtD'!$G:$G,'DB Costi-Ore YtD'!$A:$A,D$1,'DB Costi-Ore YtD'!$B:$B,$A167,'DB Costi-Ore YtD'!$E:$E,$C167),0)</f>
        <v>466.08</v>
      </c>
      <c r="E167">
        <f>IF((E$1*1)&lt;=MAX('DB Costi-Ore YtD'!$A:$A),SUMIFS('DB Costi-Ore YtD'!$G:$G,'DB Costi-Ore YtD'!$A:$A,E$1,'DB Costi-Ore YtD'!$B:$B,$A167,'DB Costi-Ore YtD'!$E:$E,$C167)-SUM($D167:D167),0)</f>
        <v>466.08</v>
      </c>
      <c r="F167">
        <f>IF((F$1*1)&lt;=MAX('DB Costi-Ore YtD'!$A:$A),SUMIFS('DB Costi-Ore YtD'!$G:$G,'DB Costi-Ore YtD'!$A:$A,F$1,'DB Costi-Ore YtD'!$B:$B,$A167,'DB Costi-Ore YtD'!$E:$E,$C167)-SUM($D167:E167),0)</f>
        <v>466.08000000000004</v>
      </c>
      <c r="G167">
        <f>IF((G$1*1)&lt;=MAX('DB Costi-Ore YtD'!$A:$A),SUMIFS('DB Costi-Ore YtD'!$G:$G,'DB Costi-Ore YtD'!$A:$A,G$1,'DB Costi-Ore YtD'!$B:$B,$A167,'DB Costi-Ore YtD'!$E:$E,$C167)-SUM($D167:F167),0)</f>
        <v>516.07999999999993</v>
      </c>
      <c r="H167">
        <f>IF((H$1*1)&lt;=MAX('DB Costi-Ore YtD'!$A:$A),SUMIFS('DB Costi-Ore YtD'!$G:$G,'DB Costi-Ore YtD'!$A:$A,H$1,'DB Costi-Ore YtD'!$B:$B,$A167,'DB Costi-Ore YtD'!$E:$E,$C167)-SUM($D167:G167),0)</f>
        <v>516.08000000000015</v>
      </c>
      <c r="I167">
        <f>IF((I$1*1)&lt;=MAX('DB Costi-Ore YtD'!$A:$A),SUMIFS('DB Costi-Ore YtD'!$G:$G,'DB Costi-Ore YtD'!$A:$A,I$1,'DB Costi-Ore YtD'!$B:$B,$A167,'DB Costi-Ore YtD'!$E:$E,$C167)-SUM($D167:H167),0)</f>
        <v>516.07999999999993</v>
      </c>
      <c r="J167">
        <f>IF((J$1*1)&lt;=MAX('DB Costi-Ore YtD'!$A:$A),SUMIFS('DB Costi-Ore YtD'!$G:$G,'DB Costi-Ore YtD'!$A:$A,J$1,'DB Costi-Ore YtD'!$B:$B,$A167,'DB Costi-Ore YtD'!$E:$E,$C167)-SUM($D167:I167),0)</f>
        <v>0</v>
      </c>
      <c r="K167">
        <f>IF((K$1*1)&lt;=MAX('DB Costi-Ore YtD'!$A:$A),SUMIFS('DB Costi-Ore YtD'!$G:$G,'DB Costi-Ore YtD'!$A:$A,K$1,'DB Costi-Ore YtD'!$B:$B,$A167,'DB Costi-Ore YtD'!$E:$E,$C167)-SUM($D167:J167),0)</f>
        <v>0</v>
      </c>
      <c r="L167">
        <f>IF((L$1*1)&lt;=MAX('DB Costi-Ore YtD'!$A:$A),SUMIFS('DB Costi-Ore YtD'!$G:$G,'DB Costi-Ore YtD'!$A:$A,L$1,'DB Costi-Ore YtD'!$B:$B,$A167,'DB Costi-Ore YtD'!$E:$E,$C167)-SUM($D167:K167),0)</f>
        <v>0</v>
      </c>
      <c r="M167">
        <f>IF((M$1*1)&lt;=MAX('DB Costi-Ore YtD'!$A:$A),SUMIFS('DB Costi-Ore YtD'!$G:$G,'DB Costi-Ore YtD'!$A:$A,M$1,'DB Costi-Ore YtD'!$B:$B,$A167,'DB Costi-Ore YtD'!$E:$E,$C167)-SUM($D167:L167),0)</f>
        <v>0</v>
      </c>
      <c r="N167">
        <f>IF((N$1*1)&lt;=MAX('DB Costi-Ore YtD'!$A:$A),SUMIFS('DB Costi-Ore YtD'!$G:$G,'DB Costi-Ore YtD'!$A:$A,N$1,'DB Costi-Ore YtD'!$B:$B,$A167,'DB Costi-Ore YtD'!$E:$E,$C167)-SUM($D167:M167),0)</f>
        <v>0</v>
      </c>
      <c r="O167">
        <f>IF((O$1*1)&lt;=MAX('DB Costi-Ore YtD'!$A:$A),SUMIFS('DB Costi-Ore YtD'!$G:$G,'DB Costi-Ore YtD'!$A:$A,O$1,'DB Costi-Ore YtD'!$B:$B,$A167,'DB Costi-Ore YtD'!$E:$E,$C167)-SUM($D167:N167),0)</f>
        <v>0</v>
      </c>
    </row>
    <row r="168" spans="1:15" hidden="1" x14ac:dyDescent="0.3">
      <c r="A168" t="s">
        <v>357</v>
      </c>
      <c r="B168" t="s">
        <v>358</v>
      </c>
      <c r="C168" t="s">
        <v>3</v>
      </c>
      <c r="D168">
        <f>IF((D$1*1)&lt;=MAX('DB Costi-Ore YtD'!$A:$A),SUMIFS('DB Costi-Ore YtD'!$G:$G,'DB Costi-Ore YtD'!$A:$A,D$1,'DB Costi-Ore YtD'!$B:$B,$A168,'DB Costi-Ore YtD'!$E:$E,$C168),0)</f>
        <v>16.079999999999998</v>
      </c>
      <c r="E168">
        <f>IF((E$1*1)&lt;=MAX('DB Costi-Ore YtD'!$A:$A),SUMIFS('DB Costi-Ore YtD'!$G:$G,'DB Costi-Ore YtD'!$A:$A,E$1,'DB Costi-Ore YtD'!$B:$B,$A168,'DB Costi-Ore YtD'!$E:$E,$C168)-SUM($D168:D168),0)</f>
        <v>16.079999999999998</v>
      </c>
      <c r="F168">
        <f>IF((F$1*1)&lt;=MAX('DB Costi-Ore YtD'!$A:$A),SUMIFS('DB Costi-Ore YtD'!$G:$G,'DB Costi-Ore YtD'!$A:$A,F$1,'DB Costi-Ore YtD'!$B:$B,$A168,'DB Costi-Ore YtD'!$E:$E,$C168)-SUM($D168:E168),0)</f>
        <v>15.440000000000005</v>
      </c>
      <c r="G168">
        <f>IF((G$1*1)&lt;=MAX('DB Costi-Ore YtD'!$A:$A),SUMIFS('DB Costi-Ore YtD'!$G:$G,'DB Costi-Ore YtD'!$A:$A,G$1,'DB Costi-Ore YtD'!$B:$B,$A168,'DB Costi-Ore YtD'!$E:$E,$C168)-SUM($D168:F168),0)</f>
        <v>0</v>
      </c>
      <c r="H168">
        <f>IF((H$1*1)&lt;=MAX('DB Costi-Ore YtD'!$A:$A),SUMIFS('DB Costi-Ore YtD'!$G:$G,'DB Costi-Ore YtD'!$A:$A,H$1,'DB Costi-Ore YtD'!$B:$B,$A168,'DB Costi-Ore YtD'!$E:$E,$C168)-SUM($D168:G168),0)</f>
        <v>0</v>
      </c>
      <c r="I168">
        <f>IF((I$1*1)&lt;=MAX('DB Costi-Ore YtD'!$A:$A),SUMIFS('DB Costi-Ore YtD'!$G:$G,'DB Costi-Ore YtD'!$A:$A,I$1,'DB Costi-Ore YtD'!$B:$B,$A168,'DB Costi-Ore YtD'!$E:$E,$C168)-SUM($D168:H168),0)</f>
        <v>0</v>
      </c>
      <c r="J168">
        <f>IF((J$1*1)&lt;=MAX('DB Costi-Ore YtD'!$A:$A),SUMIFS('DB Costi-Ore YtD'!$G:$G,'DB Costi-Ore YtD'!$A:$A,J$1,'DB Costi-Ore YtD'!$B:$B,$A168,'DB Costi-Ore YtD'!$E:$E,$C168)-SUM($D168:I168),0)</f>
        <v>0</v>
      </c>
      <c r="K168">
        <f>IF((K$1*1)&lt;=MAX('DB Costi-Ore YtD'!$A:$A),SUMIFS('DB Costi-Ore YtD'!$G:$G,'DB Costi-Ore YtD'!$A:$A,K$1,'DB Costi-Ore YtD'!$B:$B,$A168,'DB Costi-Ore YtD'!$E:$E,$C168)-SUM($D168:J168),0)</f>
        <v>0</v>
      </c>
      <c r="L168">
        <f>IF((L$1*1)&lt;=MAX('DB Costi-Ore YtD'!$A:$A),SUMIFS('DB Costi-Ore YtD'!$G:$G,'DB Costi-Ore YtD'!$A:$A,L$1,'DB Costi-Ore YtD'!$B:$B,$A168,'DB Costi-Ore YtD'!$E:$E,$C168)-SUM($D168:K168),0)</f>
        <v>0</v>
      </c>
      <c r="M168">
        <f>IF((M$1*1)&lt;=MAX('DB Costi-Ore YtD'!$A:$A),SUMIFS('DB Costi-Ore YtD'!$G:$G,'DB Costi-Ore YtD'!$A:$A,M$1,'DB Costi-Ore YtD'!$B:$B,$A168,'DB Costi-Ore YtD'!$E:$E,$C168)-SUM($D168:L168),0)</f>
        <v>0</v>
      </c>
      <c r="N168">
        <f>IF((N$1*1)&lt;=MAX('DB Costi-Ore YtD'!$A:$A),SUMIFS('DB Costi-Ore YtD'!$G:$G,'DB Costi-Ore YtD'!$A:$A,N$1,'DB Costi-Ore YtD'!$B:$B,$A168,'DB Costi-Ore YtD'!$E:$E,$C168)-SUM($D168:M168),0)</f>
        <v>0</v>
      </c>
      <c r="O168">
        <f>IF((O$1*1)&lt;=MAX('DB Costi-Ore YtD'!$A:$A),SUMIFS('DB Costi-Ore YtD'!$G:$G,'DB Costi-Ore YtD'!$A:$A,O$1,'DB Costi-Ore YtD'!$B:$B,$A168,'DB Costi-Ore YtD'!$E:$E,$C168)-SUM($D168:N168),0)</f>
        <v>0</v>
      </c>
    </row>
    <row r="169" spans="1:15" hidden="1" x14ac:dyDescent="0.3">
      <c r="A169" t="s">
        <v>359</v>
      </c>
      <c r="B169" t="s">
        <v>360</v>
      </c>
      <c r="C169" t="s">
        <v>3</v>
      </c>
      <c r="D169">
        <f>IF((D$1*1)&lt;=MAX('DB Costi-Ore YtD'!$A:$A),SUMIFS('DB Costi-Ore YtD'!$G:$G,'DB Costi-Ore YtD'!$A:$A,D$1,'DB Costi-Ore YtD'!$B:$B,$A169,'DB Costi-Ore YtD'!$E:$E,$C169),0)</f>
        <v>7.08</v>
      </c>
      <c r="E169">
        <f>IF((E$1*1)&lt;=MAX('DB Costi-Ore YtD'!$A:$A),SUMIFS('DB Costi-Ore YtD'!$G:$G,'DB Costi-Ore YtD'!$A:$A,E$1,'DB Costi-Ore YtD'!$B:$B,$A169,'DB Costi-Ore YtD'!$E:$E,$C169)-SUM($D169:D169),0)</f>
        <v>16.079999999999998</v>
      </c>
      <c r="F169">
        <f>IF((F$1*1)&lt;=MAX('DB Costi-Ore YtD'!$A:$A),SUMIFS('DB Costi-Ore YtD'!$G:$G,'DB Costi-Ore YtD'!$A:$A,F$1,'DB Costi-Ore YtD'!$B:$B,$A169,'DB Costi-Ore YtD'!$E:$E,$C169)-SUM($D169:E169),0)</f>
        <v>10.940000000000005</v>
      </c>
      <c r="G169">
        <f>IF((G$1*1)&lt;=MAX('DB Costi-Ore YtD'!$A:$A),SUMIFS('DB Costi-Ore YtD'!$G:$G,'DB Costi-Ore YtD'!$A:$A,G$1,'DB Costi-Ore YtD'!$B:$B,$A169,'DB Costi-Ore YtD'!$E:$E,$C169)-SUM($D169:F169),0)</f>
        <v>0</v>
      </c>
      <c r="H169">
        <f>IF((H$1*1)&lt;=MAX('DB Costi-Ore YtD'!$A:$A),SUMIFS('DB Costi-Ore YtD'!$G:$G,'DB Costi-Ore YtD'!$A:$A,H$1,'DB Costi-Ore YtD'!$B:$B,$A169,'DB Costi-Ore YtD'!$E:$E,$C169)-SUM($D169:G169),0)</f>
        <v>0</v>
      </c>
      <c r="I169">
        <f>IF((I$1*1)&lt;=MAX('DB Costi-Ore YtD'!$A:$A),SUMIFS('DB Costi-Ore YtD'!$G:$G,'DB Costi-Ore YtD'!$A:$A,I$1,'DB Costi-Ore YtD'!$B:$B,$A169,'DB Costi-Ore YtD'!$E:$E,$C169)-SUM($D169:H169),0)</f>
        <v>0</v>
      </c>
      <c r="J169">
        <f>IF((J$1*1)&lt;=MAX('DB Costi-Ore YtD'!$A:$A),SUMIFS('DB Costi-Ore YtD'!$G:$G,'DB Costi-Ore YtD'!$A:$A,J$1,'DB Costi-Ore YtD'!$B:$B,$A169,'DB Costi-Ore YtD'!$E:$E,$C169)-SUM($D169:I169),0)</f>
        <v>0</v>
      </c>
      <c r="K169">
        <f>IF((K$1*1)&lt;=MAX('DB Costi-Ore YtD'!$A:$A),SUMIFS('DB Costi-Ore YtD'!$G:$G,'DB Costi-Ore YtD'!$A:$A,K$1,'DB Costi-Ore YtD'!$B:$B,$A169,'DB Costi-Ore YtD'!$E:$E,$C169)-SUM($D169:J169),0)</f>
        <v>0</v>
      </c>
      <c r="L169">
        <f>IF((L$1*1)&lt;=MAX('DB Costi-Ore YtD'!$A:$A),SUMIFS('DB Costi-Ore YtD'!$G:$G,'DB Costi-Ore YtD'!$A:$A,L$1,'DB Costi-Ore YtD'!$B:$B,$A169,'DB Costi-Ore YtD'!$E:$E,$C169)-SUM($D169:K169),0)</f>
        <v>0</v>
      </c>
      <c r="M169">
        <f>IF((M$1*1)&lt;=MAX('DB Costi-Ore YtD'!$A:$A),SUMIFS('DB Costi-Ore YtD'!$G:$G,'DB Costi-Ore YtD'!$A:$A,M$1,'DB Costi-Ore YtD'!$B:$B,$A169,'DB Costi-Ore YtD'!$E:$E,$C169)-SUM($D169:L169),0)</f>
        <v>0</v>
      </c>
      <c r="N169">
        <f>IF((N$1*1)&lt;=MAX('DB Costi-Ore YtD'!$A:$A),SUMIFS('DB Costi-Ore YtD'!$G:$G,'DB Costi-Ore YtD'!$A:$A,N$1,'DB Costi-Ore YtD'!$B:$B,$A169,'DB Costi-Ore YtD'!$E:$E,$C169)-SUM($D169:M169),0)</f>
        <v>0</v>
      </c>
      <c r="O169">
        <f>IF((O$1*1)&lt;=MAX('DB Costi-Ore YtD'!$A:$A),SUMIFS('DB Costi-Ore YtD'!$G:$G,'DB Costi-Ore YtD'!$A:$A,O$1,'DB Costi-Ore YtD'!$B:$B,$A169,'DB Costi-Ore YtD'!$E:$E,$C169)-SUM($D169:N169),0)</f>
        <v>0</v>
      </c>
    </row>
    <row r="170" spans="1:15" hidden="1" x14ac:dyDescent="0.3">
      <c r="A170" t="s">
        <v>361</v>
      </c>
      <c r="B170" t="s">
        <v>362</v>
      </c>
      <c r="C170" t="s">
        <v>5</v>
      </c>
      <c r="D170">
        <f>IF((D$1*1)&lt;=MAX('DB Costi-Ore YtD'!$A:$A),SUMIFS('DB Costi-Ore YtD'!$G:$G,'DB Costi-Ore YtD'!$A:$A,D$1,'DB Costi-Ore YtD'!$B:$B,$A170,'DB Costi-Ore YtD'!$E:$E,$C170),0)</f>
        <v>62.58</v>
      </c>
      <c r="E170">
        <f>IF((E$1*1)&lt;=MAX('DB Costi-Ore YtD'!$A:$A),SUMIFS('DB Costi-Ore YtD'!$G:$G,'DB Costi-Ore YtD'!$A:$A,E$1,'DB Costi-Ore YtD'!$B:$B,$A170,'DB Costi-Ore YtD'!$E:$E,$C170)-SUM($D170:D170),0)</f>
        <v>186.43</v>
      </c>
      <c r="F170">
        <f>IF((F$1*1)&lt;=MAX('DB Costi-Ore YtD'!$A:$A),SUMIFS('DB Costi-Ore YtD'!$G:$G,'DB Costi-Ore YtD'!$A:$A,F$1,'DB Costi-Ore YtD'!$B:$B,$A170,'DB Costi-Ore YtD'!$E:$E,$C170)-SUM($D170:E170),0)</f>
        <v>0</v>
      </c>
      <c r="G170">
        <f>IF((G$1*1)&lt;=MAX('DB Costi-Ore YtD'!$A:$A),SUMIFS('DB Costi-Ore YtD'!$G:$G,'DB Costi-Ore YtD'!$A:$A,G$1,'DB Costi-Ore YtD'!$B:$B,$A170,'DB Costi-Ore YtD'!$E:$E,$C170)-SUM($D170:F170),0)</f>
        <v>0</v>
      </c>
      <c r="H170">
        <f>IF((H$1*1)&lt;=MAX('DB Costi-Ore YtD'!$A:$A),SUMIFS('DB Costi-Ore YtD'!$G:$G,'DB Costi-Ore YtD'!$A:$A,H$1,'DB Costi-Ore YtD'!$B:$B,$A170,'DB Costi-Ore YtD'!$E:$E,$C170)-SUM($D170:G170),0)</f>
        <v>0</v>
      </c>
      <c r="I170">
        <f>IF((I$1*1)&lt;=MAX('DB Costi-Ore YtD'!$A:$A),SUMIFS('DB Costi-Ore YtD'!$G:$G,'DB Costi-Ore YtD'!$A:$A,I$1,'DB Costi-Ore YtD'!$B:$B,$A170,'DB Costi-Ore YtD'!$E:$E,$C170)-SUM($D170:H170),0)</f>
        <v>0</v>
      </c>
      <c r="J170">
        <f>IF((J$1*1)&lt;=MAX('DB Costi-Ore YtD'!$A:$A),SUMIFS('DB Costi-Ore YtD'!$G:$G,'DB Costi-Ore YtD'!$A:$A,J$1,'DB Costi-Ore YtD'!$B:$B,$A170,'DB Costi-Ore YtD'!$E:$E,$C170)-SUM($D170:I170),0)</f>
        <v>0</v>
      </c>
      <c r="K170">
        <f>IF((K$1*1)&lt;=MAX('DB Costi-Ore YtD'!$A:$A),SUMIFS('DB Costi-Ore YtD'!$G:$G,'DB Costi-Ore YtD'!$A:$A,K$1,'DB Costi-Ore YtD'!$B:$B,$A170,'DB Costi-Ore YtD'!$E:$E,$C170)-SUM($D170:J170),0)</f>
        <v>0</v>
      </c>
      <c r="L170">
        <f>IF((L$1*1)&lt;=MAX('DB Costi-Ore YtD'!$A:$A),SUMIFS('DB Costi-Ore YtD'!$G:$G,'DB Costi-Ore YtD'!$A:$A,L$1,'DB Costi-Ore YtD'!$B:$B,$A170,'DB Costi-Ore YtD'!$E:$E,$C170)-SUM($D170:K170),0)</f>
        <v>0</v>
      </c>
      <c r="M170">
        <f>IF((M$1*1)&lt;=MAX('DB Costi-Ore YtD'!$A:$A),SUMIFS('DB Costi-Ore YtD'!$G:$G,'DB Costi-Ore YtD'!$A:$A,M$1,'DB Costi-Ore YtD'!$B:$B,$A170,'DB Costi-Ore YtD'!$E:$E,$C170)-SUM($D170:L170),0)</f>
        <v>0</v>
      </c>
      <c r="N170">
        <f>IF((N$1*1)&lt;=MAX('DB Costi-Ore YtD'!$A:$A),SUMIFS('DB Costi-Ore YtD'!$G:$G,'DB Costi-Ore YtD'!$A:$A,N$1,'DB Costi-Ore YtD'!$B:$B,$A170,'DB Costi-Ore YtD'!$E:$E,$C170)-SUM($D170:M170),0)</f>
        <v>0</v>
      </c>
      <c r="O170">
        <f>IF((O$1*1)&lt;=MAX('DB Costi-Ore YtD'!$A:$A),SUMIFS('DB Costi-Ore YtD'!$G:$G,'DB Costi-Ore YtD'!$A:$A,O$1,'DB Costi-Ore YtD'!$B:$B,$A170,'DB Costi-Ore YtD'!$E:$E,$C170)-SUM($D170:N170),0)</f>
        <v>0</v>
      </c>
    </row>
    <row r="171" spans="1:15" hidden="1" x14ac:dyDescent="0.3">
      <c r="A171" t="s">
        <v>363</v>
      </c>
      <c r="B171" t="s">
        <v>364</v>
      </c>
      <c r="C171" t="s">
        <v>11</v>
      </c>
      <c r="D171">
        <f>IF((D$1*1)&lt;=MAX('DB Costi-Ore YtD'!$A:$A),SUMIFS('DB Costi-Ore YtD'!$G:$G,'DB Costi-Ore YtD'!$A:$A,D$1,'DB Costi-Ore YtD'!$B:$B,$A171,'DB Costi-Ore YtD'!$E:$E,$C171),0)</f>
        <v>289.39999999999998</v>
      </c>
      <c r="E171">
        <f>IF((E$1*1)&lt;=MAX('DB Costi-Ore YtD'!$A:$A),SUMIFS('DB Costi-Ore YtD'!$G:$G,'DB Costi-Ore YtD'!$A:$A,E$1,'DB Costi-Ore YtD'!$B:$B,$A171,'DB Costi-Ore YtD'!$E:$E,$C171)-SUM($D171:D171),0)</f>
        <v>456.47</v>
      </c>
      <c r="F171">
        <f>IF((F$1*1)&lt;=MAX('DB Costi-Ore YtD'!$A:$A),SUMIFS('DB Costi-Ore YtD'!$G:$G,'DB Costi-Ore YtD'!$A:$A,F$1,'DB Costi-Ore YtD'!$B:$B,$A171,'DB Costi-Ore YtD'!$E:$E,$C171)-SUM($D171:E171),0)</f>
        <v>456.46999999999991</v>
      </c>
      <c r="G171">
        <f>IF((G$1*1)&lt;=MAX('DB Costi-Ore YtD'!$A:$A),SUMIFS('DB Costi-Ore YtD'!$G:$G,'DB Costi-Ore YtD'!$A:$A,G$1,'DB Costi-Ore YtD'!$B:$B,$A171,'DB Costi-Ore YtD'!$E:$E,$C171)-SUM($D171:F171),0)</f>
        <v>213.11000000000013</v>
      </c>
      <c r="H171">
        <f>IF((H$1*1)&lt;=MAX('DB Costi-Ore YtD'!$A:$A),SUMIFS('DB Costi-Ore YtD'!$G:$G,'DB Costi-Ore YtD'!$A:$A,H$1,'DB Costi-Ore YtD'!$B:$B,$A171,'DB Costi-Ore YtD'!$E:$E,$C171)-SUM($D171:G171),0)</f>
        <v>0</v>
      </c>
      <c r="I171">
        <f>IF((I$1*1)&lt;=MAX('DB Costi-Ore YtD'!$A:$A),SUMIFS('DB Costi-Ore YtD'!$G:$G,'DB Costi-Ore YtD'!$A:$A,I$1,'DB Costi-Ore YtD'!$B:$B,$A171,'DB Costi-Ore YtD'!$E:$E,$C171)-SUM($D171:H171),0)</f>
        <v>0</v>
      </c>
      <c r="J171">
        <f>IF((J$1*1)&lt;=MAX('DB Costi-Ore YtD'!$A:$A),SUMIFS('DB Costi-Ore YtD'!$G:$G,'DB Costi-Ore YtD'!$A:$A,J$1,'DB Costi-Ore YtD'!$B:$B,$A171,'DB Costi-Ore YtD'!$E:$E,$C171)-SUM($D171:I171),0)</f>
        <v>0</v>
      </c>
      <c r="K171">
        <f>IF((K$1*1)&lt;=MAX('DB Costi-Ore YtD'!$A:$A),SUMIFS('DB Costi-Ore YtD'!$G:$G,'DB Costi-Ore YtD'!$A:$A,K$1,'DB Costi-Ore YtD'!$B:$B,$A171,'DB Costi-Ore YtD'!$E:$E,$C171)-SUM($D171:J171),0)</f>
        <v>0</v>
      </c>
      <c r="L171">
        <f>IF((L$1*1)&lt;=MAX('DB Costi-Ore YtD'!$A:$A),SUMIFS('DB Costi-Ore YtD'!$G:$G,'DB Costi-Ore YtD'!$A:$A,L$1,'DB Costi-Ore YtD'!$B:$B,$A171,'DB Costi-Ore YtD'!$E:$E,$C171)-SUM($D171:K171),0)</f>
        <v>0</v>
      </c>
      <c r="M171">
        <f>IF((M$1*1)&lt;=MAX('DB Costi-Ore YtD'!$A:$A),SUMIFS('DB Costi-Ore YtD'!$G:$G,'DB Costi-Ore YtD'!$A:$A,M$1,'DB Costi-Ore YtD'!$B:$B,$A171,'DB Costi-Ore YtD'!$E:$E,$C171)-SUM($D171:L171),0)</f>
        <v>0</v>
      </c>
      <c r="N171">
        <f>IF((N$1*1)&lt;=MAX('DB Costi-Ore YtD'!$A:$A),SUMIFS('DB Costi-Ore YtD'!$G:$G,'DB Costi-Ore YtD'!$A:$A,N$1,'DB Costi-Ore YtD'!$B:$B,$A171,'DB Costi-Ore YtD'!$E:$E,$C171)-SUM($D171:M171),0)</f>
        <v>0</v>
      </c>
      <c r="O171">
        <f>IF((O$1*1)&lt;=MAX('DB Costi-Ore YtD'!$A:$A),SUMIFS('DB Costi-Ore YtD'!$G:$G,'DB Costi-Ore YtD'!$A:$A,O$1,'DB Costi-Ore YtD'!$B:$B,$A171,'DB Costi-Ore YtD'!$E:$E,$C171)-SUM($D171:N171),0)</f>
        <v>0</v>
      </c>
    </row>
    <row r="172" spans="1:15" hidden="1" x14ac:dyDescent="0.3">
      <c r="A172" t="s">
        <v>365</v>
      </c>
      <c r="B172" t="s">
        <v>52</v>
      </c>
      <c r="C172" t="s">
        <v>11</v>
      </c>
      <c r="D172">
        <f>IF((D$1*1)&lt;=MAX('DB Costi-Ore YtD'!$A:$A),SUMIFS('DB Costi-Ore YtD'!$G:$G,'DB Costi-Ore YtD'!$A:$A,D$1,'DB Costi-Ore YtD'!$B:$B,$A172,'DB Costi-Ore YtD'!$E:$E,$C172),0)</f>
        <v>1450</v>
      </c>
      <c r="E172">
        <f>IF((E$1*1)&lt;=MAX('DB Costi-Ore YtD'!$A:$A),SUMIFS('DB Costi-Ore YtD'!$G:$G,'DB Costi-Ore YtD'!$A:$A,E$1,'DB Costi-Ore YtD'!$B:$B,$A172,'DB Costi-Ore YtD'!$E:$E,$C172)-SUM($D172:D172),0)</f>
        <v>1450</v>
      </c>
      <c r="F172">
        <f>IF((F$1*1)&lt;=MAX('DB Costi-Ore YtD'!$A:$A),SUMIFS('DB Costi-Ore YtD'!$G:$G,'DB Costi-Ore YtD'!$A:$A,F$1,'DB Costi-Ore YtD'!$B:$B,$A172,'DB Costi-Ore YtD'!$E:$E,$C172)-SUM($D172:E172),0)</f>
        <v>1450</v>
      </c>
      <c r="G172">
        <f>IF((G$1*1)&lt;=MAX('DB Costi-Ore YtD'!$A:$A),SUMIFS('DB Costi-Ore YtD'!$G:$G,'DB Costi-Ore YtD'!$A:$A,G$1,'DB Costi-Ore YtD'!$B:$B,$A172,'DB Costi-Ore YtD'!$E:$E,$C172)-SUM($D172:F172),0)</f>
        <v>1450</v>
      </c>
      <c r="H172">
        <f>IF((H$1*1)&lt;=MAX('DB Costi-Ore YtD'!$A:$A),SUMIFS('DB Costi-Ore YtD'!$G:$G,'DB Costi-Ore YtD'!$A:$A,H$1,'DB Costi-Ore YtD'!$B:$B,$A172,'DB Costi-Ore YtD'!$E:$E,$C172)-SUM($D172:G172),0)</f>
        <v>1450</v>
      </c>
      <c r="I172">
        <f>IF((I$1*1)&lt;=MAX('DB Costi-Ore YtD'!$A:$A),SUMIFS('DB Costi-Ore YtD'!$G:$G,'DB Costi-Ore YtD'!$A:$A,I$1,'DB Costi-Ore YtD'!$B:$B,$A172,'DB Costi-Ore YtD'!$E:$E,$C172)-SUM($D172:H172),0)</f>
        <v>1450</v>
      </c>
      <c r="J172">
        <f>IF((J$1*1)&lt;=MAX('DB Costi-Ore YtD'!$A:$A),SUMIFS('DB Costi-Ore YtD'!$G:$G,'DB Costi-Ore YtD'!$A:$A,J$1,'DB Costi-Ore YtD'!$B:$B,$A172,'DB Costi-Ore YtD'!$E:$E,$C172)-SUM($D172:I172),0)</f>
        <v>0</v>
      </c>
      <c r="K172">
        <f>IF((K$1*1)&lt;=MAX('DB Costi-Ore YtD'!$A:$A),SUMIFS('DB Costi-Ore YtD'!$G:$G,'DB Costi-Ore YtD'!$A:$A,K$1,'DB Costi-Ore YtD'!$B:$B,$A172,'DB Costi-Ore YtD'!$E:$E,$C172)-SUM($D172:J172),0)</f>
        <v>0</v>
      </c>
      <c r="L172">
        <f>IF((L$1*1)&lt;=MAX('DB Costi-Ore YtD'!$A:$A),SUMIFS('DB Costi-Ore YtD'!$G:$G,'DB Costi-Ore YtD'!$A:$A,L$1,'DB Costi-Ore YtD'!$B:$B,$A172,'DB Costi-Ore YtD'!$E:$E,$C172)-SUM($D172:K172),0)</f>
        <v>0</v>
      </c>
      <c r="M172">
        <f>IF((M$1*1)&lt;=MAX('DB Costi-Ore YtD'!$A:$A),SUMIFS('DB Costi-Ore YtD'!$G:$G,'DB Costi-Ore YtD'!$A:$A,M$1,'DB Costi-Ore YtD'!$B:$B,$A172,'DB Costi-Ore YtD'!$E:$E,$C172)-SUM($D172:L172),0)</f>
        <v>0</v>
      </c>
      <c r="N172">
        <f>IF((N$1*1)&lt;=MAX('DB Costi-Ore YtD'!$A:$A),SUMIFS('DB Costi-Ore YtD'!$G:$G,'DB Costi-Ore YtD'!$A:$A,N$1,'DB Costi-Ore YtD'!$B:$B,$A172,'DB Costi-Ore YtD'!$E:$E,$C172)-SUM($D172:M172),0)</f>
        <v>0</v>
      </c>
      <c r="O172">
        <f>IF((O$1*1)&lt;=MAX('DB Costi-Ore YtD'!$A:$A),SUMIFS('DB Costi-Ore YtD'!$G:$G,'DB Costi-Ore YtD'!$A:$A,O$1,'DB Costi-Ore YtD'!$B:$B,$A172,'DB Costi-Ore YtD'!$E:$E,$C172)-SUM($D172:N172),0)</f>
        <v>0</v>
      </c>
    </row>
    <row r="173" spans="1:15" hidden="1" x14ac:dyDescent="0.3">
      <c r="A173" t="s">
        <v>366</v>
      </c>
      <c r="B173" t="s">
        <v>367</v>
      </c>
      <c r="C173" t="s">
        <v>5</v>
      </c>
      <c r="D173">
        <f>IF((D$1*1)&lt;=MAX('DB Costi-Ore YtD'!$A:$A),SUMIFS('DB Costi-Ore YtD'!$G:$G,'DB Costi-Ore YtD'!$A:$A,D$1,'DB Costi-Ore YtD'!$B:$B,$A173,'DB Costi-Ore YtD'!$E:$E,$C173),0)</f>
        <v>0</v>
      </c>
      <c r="E173">
        <f>IF((E$1*1)&lt;=MAX('DB Costi-Ore YtD'!$A:$A),SUMIFS('DB Costi-Ore YtD'!$G:$G,'DB Costi-Ore YtD'!$A:$A,E$1,'DB Costi-Ore YtD'!$B:$B,$A173,'DB Costi-Ore YtD'!$E:$E,$C173)-SUM($D173:D173),0)</f>
        <v>1363.4</v>
      </c>
      <c r="F173">
        <f>IF((F$1*1)&lt;=MAX('DB Costi-Ore YtD'!$A:$A),SUMIFS('DB Costi-Ore YtD'!$G:$G,'DB Costi-Ore YtD'!$A:$A,F$1,'DB Costi-Ore YtD'!$B:$B,$A173,'DB Costi-Ore YtD'!$E:$E,$C173)-SUM($D173:E173),0)</f>
        <v>1057.8899999999999</v>
      </c>
      <c r="G173">
        <f>IF((G$1*1)&lt;=MAX('DB Costi-Ore YtD'!$A:$A),SUMIFS('DB Costi-Ore YtD'!$G:$G,'DB Costi-Ore YtD'!$A:$A,G$1,'DB Costi-Ore YtD'!$B:$B,$A173,'DB Costi-Ore YtD'!$E:$E,$C173)-SUM($D173:F173),0)</f>
        <v>0</v>
      </c>
      <c r="H173">
        <f>IF((H$1*1)&lt;=MAX('DB Costi-Ore YtD'!$A:$A),SUMIFS('DB Costi-Ore YtD'!$G:$G,'DB Costi-Ore YtD'!$A:$A,H$1,'DB Costi-Ore YtD'!$B:$B,$A173,'DB Costi-Ore YtD'!$E:$E,$C173)-SUM($D173:G173),0)</f>
        <v>4.5474735088646412E-13</v>
      </c>
      <c r="I173">
        <f>IF((I$1*1)&lt;=MAX('DB Costi-Ore YtD'!$A:$A),SUMIFS('DB Costi-Ore YtD'!$G:$G,'DB Costi-Ore YtD'!$A:$A,I$1,'DB Costi-Ore YtD'!$B:$B,$A173,'DB Costi-Ore YtD'!$E:$E,$C173)-SUM($D173:H173),0)</f>
        <v>0</v>
      </c>
      <c r="J173">
        <f>IF((J$1*1)&lt;=MAX('DB Costi-Ore YtD'!$A:$A),SUMIFS('DB Costi-Ore YtD'!$G:$G,'DB Costi-Ore YtD'!$A:$A,J$1,'DB Costi-Ore YtD'!$B:$B,$A173,'DB Costi-Ore YtD'!$E:$E,$C173)-SUM($D173:I173),0)</f>
        <v>0</v>
      </c>
      <c r="K173">
        <f>IF((K$1*1)&lt;=MAX('DB Costi-Ore YtD'!$A:$A),SUMIFS('DB Costi-Ore YtD'!$G:$G,'DB Costi-Ore YtD'!$A:$A,K$1,'DB Costi-Ore YtD'!$B:$B,$A173,'DB Costi-Ore YtD'!$E:$E,$C173)-SUM($D173:J173),0)</f>
        <v>0</v>
      </c>
      <c r="L173">
        <f>IF((L$1*1)&lt;=MAX('DB Costi-Ore YtD'!$A:$A),SUMIFS('DB Costi-Ore YtD'!$G:$G,'DB Costi-Ore YtD'!$A:$A,L$1,'DB Costi-Ore YtD'!$B:$B,$A173,'DB Costi-Ore YtD'!$E:$E,$C173)-SUM($D173:K173),0)</f>
        <v>0</v>
      </c>
      <c r="M173">
        <f>IF((M$1*1)&lt;=MAX('DB Costi-Ore YtD'!$A:$A),SUMIFS('DB Costi-Ore YtD'!$G:$G,'DB Costi-Ore YtD'!$A:$A,M$1,'DB Costi-Ore YtD'!$B:$B,$A173,'DB Costi-Ore YtD'!$E:$E,$C173)-SUM($D173:L173),0)</f>
        <v>0</v>
      </c>
      <c r="N173">
        <f>IF((N$1*1)&lt;=MAX('DB Costi-Ore YtD'!$A:$A),SUMIFS('DB Costi-Ore YtD'!$G:$G,'DB Costi-Ore YtD'!$A:$A,N$1,'DB Costi-Ore YtD'!$B:$B,$A173,'DB Costi-Ore YtD'!$E:$E,$C173)-SUM($D173:M173),0)</f>
        <v>0</v>
      </c>
      <c r="O173">
        <f>IF((O$1*1)&lt;=MAX('DB Costi-Ore YtD'!$A:$A),SUMIFS('DB Costi-Ore YtD'!$G:$G,'DB Costi-Ore YtD'!$A:$A,O$1,'DB Costi-Ore YtD'!$B:$B,$A173,'DB Costi-Ore YtD'!$E:$E,$C173)-SUM($D173:N173),0)</f>
        <v>0</v>
      </c>
    </row>
    <row r="174" spans="1:15" x14ac:dyDescent="0.3">
      <c r="A174" t="s">
        <v>368</v>
      </c>
      <c r="B174" t="s">
        <v>369</v>
      </c>
      <c r="C174" t="s">
        <v>13</v>
      </c>
      <c r="D174">
        <f>IF((D$1*1)&lt;=MAX('DB Costi-Ore YtD'!$A:$A),SUMIFS('DB Costi-Ore YtD'!$G:$G,'DB Costi-Ore YtD'!$A:$A,D$1,'DB Costi-Ore YtD'!$B:$B,$A174,'DB Costi-Ore YtD'!$E:$E,$C174),0)</f>
        <v>0</v>
      </c>
      <c r="E174">
        <f>IF((E$1*1)&lt;=MAX('DB Costi-Ore YtD'!$A:$A),SUMIFS('DB Costi-Ore YtD'!$G:$G,'DB Costi-Ore YtD'!$A:$A,E$1,'DB Costi-Ore YtD'!$B:$B,$A174,'DB Costi-Ore YtD'!$E:$E,$C174)-SUM($D174:D174),0)</f>
        <v>1379.55</v>
      </c>
      <c r="F174">
        <f>IF((F$1*1)&lt;=MAX('DB Costi-Ore YtD'!$A:$A),SUMIFS('DB Costi-Ore YtD'!$G:$G,'DB Costi-Ore YtD'!$A:$A,F$1,'DB Costi-Ore YtD'!$B:$B,$A174,'DB Costi-Ore YtD'!$E:$E,$C174)-SUM($D174:E174),0)</f>
        <v>1559.6499999999999</v>
      </c>
      <c r="G174">
        <f>IF((G$1*1)&lt;=MAX('DB Costi-Ore YtD'!$A:$A),SUMIFS('DB Costi-Ore YtD'!$G:$G,'DB Costi-Ore YtD'!$A:$A,G$1,'DB Costi-Ore YtD'!$B:$B,$A174,'DB Costi-Ore YtD'!$E:$E,$C174)-SUM($D174:F174),0)</f>
        <v>1772.9800000000005</v>
      </c>
      <c r="H174">
        <f>IF((H$1*1)&lt;=MAX('DB Costi-Ore YtD'!$A:$A),SUMIFS('DB Costi-Ore YtD'!$G:$G,'DB Costi-Ore YtD'!$A:$A,H$1,'DB Costi-Ore YtD'!$B:$B,$A174,'DB Costi-Ore YtD'!$E:$E,$C174)-SUM($D174:G174),0)</f>
        <v>1708.3999999999996</v>
      </c>
      <c r="I174">
        <f>IF((I$1*1)&lt;=MAX('DB Costi-Ore YtD'!$A:$A),SUMIFS('DB Costi-Ore YtD'!$G:$G,'DB Costi-Ore YtD'!$A:$A,I$1,'DB Costi-Ore YtD'!$B:$B,$A174,'DB Costi-Ore YtD'!$E:$E,$C174)-SUM($D174:H174),0)</f>
        <v>1726.71</v>
      </c>
      <c r="J174">
        <f>IF((J$1*1)&lt;=MAX('DB Costi-Ore YtD'!$A:$A),SUMIFS('DB Costi-Ore YtD'!$G:$G,'DB Costi-Ore YtD'!$A:$A,J$1,'DB Costi-Ore YtD'!$B:$B,$A174,'DB Costi-Ore YtD'!$E:$E,$C174)-SUM($D174:I174),0)</f>
        <v>0</v>
      </c>
      <c r="K174">
        <f>IF((K$1*1)&lt;=MAX('DB Costi-Ore YtD'!$A:$A),SUMIFS('DB Costi-Ore YtD'!$G:$G,'DB Costi-Ore YtD'!$A:$A,K$1,'DB Costi-Ore YtD'!$B:$B,$A174,'DB Costi-Ore YtD'!$E:$E,$C174)-SUM($D174:J174),0)</f>
        <v>0</v>
      </c>
      <c r="L174">
        <f>IF((L$1*1)&lt;=MAX('DB Costi-Ore YtD'!$A:$A),SUMIFS('DB Costi-Ore YtD'!$G:$G,'DB Costi-Ore YtD'!$A:$A,L$1,'DB Costi-Ore YtD'!$B:$B,$A174,'DB Costi-Ore YtD'!$E:$E,$C174)-SUM($D174:K174),0)</f>
        <v>0</v>
      </c>
      <c r="M174">
        <f>IF((M$1*1)&lt;=MAX('DB Costi-Ore YtD'!$A:$A),SUMIFS('DB Costi-Ore YtD'!$G:$G,'DB Costi-Ore YtD'!$A:$A,M$1,'DB Costi-Ore YtD'!$B:$B,$A174,'DB Costi-Ore YtD'!$E:$E,$C174)-SUM($D174:L174),0)</f>
        <v>0</v>
      </c>
      <c r="N174">
        <f>IF((N$1*1)&lt;=MAX('DB Costi-Ore YtD'!$A:$A),SUMIFS('DB Costi-Ore YtD'!$G:$G,'DB Costi-Ore YtD'!$A:$A,N$1,'DB Costi-Ore YtD'!$B:$B,$A174,'DB Costi-Ore YtD'!$E:$E,$C174)-SUM($D174:M174),0)</f>
        <v>0</v>
      </c>
      <c r="O174">
        <f>IF((O$1*1)&lt;=MAX('DB Costi-Ore YtD'!$A:$A),SUMIFS('DB Costi-Ore YtD'!$G:$G,'DB Costi-Ore YtD'!$A:$A,O$1,'DB Costi-Ore YtD'!$B:$B,$A174,'DB Costi-Ore YtD'!$E:$E,$C174)-SUM($D174:N174),0)</f>
        <v>0</v>
      </c>
    </row>
    <row r="175" spans="1:15" hidden="1" x14ac:dyDescent="0.3">
      <c r="A175" t="s">
        <v>370</v>
      </c>
      <c r="B175" t="s">
        <v>338</v>
      </c>
      <c r="C175" t="s">
        <v>5</v>
      </c>
      <c r="D175">
        <f>IF((D$1*1)&lt;=MAX('DB Costi-Ore YtD'!$A:$A),SUMIFS('DB Costi-Ore YtD'!$G:$G,'DB Costi-Ore YtD'!$A:$A,D$1,'DB Costi-Ore YtD'!$B:$B,$A175,'DB Costi-Ore YtD'!$E:$E,$C175),0)</f>
        <v>0</v>
      </c>
      <c r="E175">
        <f>IF((E$1*1)&lt;=MAX('DB Costi-Ore YtD'!$A:$A),SUMIFS('DB Costi-Ore YtD'!$G:$G,'DB Costi-Ore YtD'!$A:$A,E$1,'DB Costi-Ore YtD'!$B:$B,$A175,'DB Costi-Ore YtD'!$E:$E,$C175)-SUM($D175:D175),0)</f>
        <v>1482.66</v>
      </c>
      <c r="F175">
        <f>IF((F$1*1)&lt;=MAX('DB Costi-Ore YtD'!$A:$A),SUMIFS('DB Costi-Ore YtD'!$G:$G,'DB Costi-Ore YtD'!$A:$A,F$1,'DB Costi-Ore YtD'!$B:$B,$A175,'DB Costi-Ore YtD'!$E:$E,$C175)-SUM($D175:E175),0)</f>
        <v>1407.1899999999998</v>
      </c>
      <c r="G175">
        <f>IF((G$1*1)&lt;=MAX('DB Costi-Ore YtD'!$A:$A),SUMIFS('DB Costi-Ore YtD'!$G:$G,'DB Costi-Ore YtD'!$A:$A,G$1,'DB Costi-Ore YtD'!$B:$B,$A175,'DB Costi-Ore YtD'!$E:$E,$C175)-SUM($D175:F175),0)</f>
        <v>1609.2200000000007</v>
      </c>
      <c r="H175">
        <f>IF((H$1*1)&lt;=MAX('DB Costi-Ore YtD'!$A:$A),SUMIFS('DB Costi-Ore YtD'!$G:$G,'DB Costi-Ore YtD'!$A:$A,H$1,'DB Costi-Ore YtD'!$B:$B,$A175,'DB Costi-Ore YtD'!$E:$E,$C175)-SUM($D175:G175),0)</f>
        <v>1627.8499999999995</v>
      </c>
      <c r="I175">
        <f>IF((I$1*1)&lt;=MAX('DB Costi-Ore YtD'!$A:$A),SUMIFS('DB Costi-Ore YtD'!$G:$G,'DB Costi-Ore YtD'!$A:$A,I$1,'DB Costi-Ore YtD'!$B:$B,$A175,'DB Costi-Ore YtD'!$E:$E,$C175)-SUM($D175:H175),0)</f>
        <v>1580.239999999998</v>
      </c>
      <c r="J175">
        <f>IF((J$1*1)&lt;=MAX('DB Costi-Ore YtD'!$A:$A),SUMIFS('DB Costi-Ore YtD'!$G:$G,'DB Costi-Ore YtD'!$A:$A,J$1,'DB Costi-Ore YtD'!$B:$B,$A175,'DB Costi-Ore YtD'!$E:$E,$C175)-SUM($D175:I175),0)</f>
        <v>0</v>
      </c>
      <c r="K175">
        <f>IF((K$1*1)&lt;=MAX('DB Costi-Ore YtD'!$A:$A),SUMIFS('DB Costi-Ore YtD'!$G:$G,'DB Costi-Ore YtD'!$A:$A,K$1,'DB Costi-Ore YtD'!$B:$B,$A175,'DB Costi-Ore YtD'!$E:$E,$C175)-SUM($D175:J175),0)</f>
        <v>0</v>
      </c>
      <c r="L175">
        <f>IF((L$1*1)&lt;=MAX('DB Costi-Ore YtD'!$A:$A),SUMIFS('DB Costi-Ore YtD'!$G:$G,'DB Costi-Ore YtD'!$A:$A,L$1,'DB Costi-Ore YtD'!$B:$B,$A175,'DB Costi-Ore YtD'!$E:$E,$C175)-SUM($D175:K175),0)</f>
        <v>0</v>
      </c>
      <c r="M175">
        <f>IF((M$1*1)&lt;=MAX('DB Costi-Ore YtD'!$A:$A),SUMIFS('DB Costi-Ore YtD'!$G:$G,'DB Costi-Ore YtD'!$A:$A,M$1,'DB Costi-Ore YtD'!$B:$B,$A175,'DB Costi-Ore YtD'!$E:$E,$C175)-SUM($D175:L175),0)</f>
        <v>0</v>
      </c>
      <c r="N175">
        <f>IF((N$1*1)&lt;=MAX('DB Costi-Ore YtD'!$A:$A),SUMIFS('DB Costi-Ore YtD'!$G:$G,'DB Costi-Ore YtD'!$A:$A,N$1,'DB Costi-Ore YtD'!$B:$B,$A175,'DB Costi-Ore YtD'!$E:$E,$C175)-SUM($D175:M175),0)</f>
        <v>0</v>
      </c>
      <c r="O175">
        <f>IF((O$1*1)&lt;=MAX('DB Costi-Ore YtD'!$A:$A),SUMIFS('DB Costi-Ore YtD'!$G:$G,'DB Costi-Ore YtD'!$A:$A,O$1,'DB Costi-Ore YtD'!$B:$B,$A175,'DB Costi-Ore YtD'!$E:$E,$C175)-SUM($D175:N175),0)</f>
        <v>0</v>
      </c>
    </row>
    <row r="176" spans="1:15" hidden="1" x14ac:dyDescent="0.3">
      <c r="A176" t="s">
        <v>371</v>
      </c>
      <c r="B176" t="s">
        <v>372</v>
      </c>
      <c r="C176" t="s">
        <v>11</v>
      </c>
      <c r="D176">
        <f>IF((D$1*1)&lt;=MAX('DB Costi-Ore YtD'!$A:$A),SUMIFS('DB Costi-Ore YtD'!$G:$G,'DB Costi-Ore YtD'!$A:$A,D$1,'DB Costi-Ore YtD'!$B:$B,$A176,'DB Costi-Ore YtD'!$E:$E,$C176),0)</f>
        <v>0</v>
      </c>
      <c r="E176">
        <f>IF((E$1*1)&lt;=MAX('DB Costi-Ore YtD'!$A:$A),SUMIFS('DB Costi-Ore YtD'!$G:$G,'DB Costi-Ore YtD'!$A:$A,E$1,'DB Costi-Ore YtD'!$B:$B,$A176,'DB Costi-Ore YtD'!$E:$E,$C176)-SUM($D176:D176),0)</f>
        <v>2850.92</v>
      </c>
      <c r="F176">
        <f>IF((F$1*1)&lt;=MAX('DB Costi-Ore YtD'!$A:$A),SUMIFS('DB Costi-Ore YtD'!$G:$G,'DB Costi-Ore YtD'!$A:$A,F$1,'DB Costi-Ore YtD'!$B:$B,$A176,'DB Costi-Ore YtD'!$E:$E,$C176)-SUM($D176:E176),0)</f>
        <v>2730.5299999999997</v>
      </c>
      <c r="G176">
        <f>IF((G$1*1)&lt;=MAX('DB Costi-Ore YtD'!$A:$A),SUMIFS('DB Costi-Ore YtD'!$G:$G,'DB Costi-Ore YtD'!$A:$A,G$1,'DB Costi-Ore YtD'!$B:$B,$A176,'DB Costi-Ore YtD'!$E:$E,$C176)-SUM($D176:F176),0)</f>
        <v>3136.3400000000011</v>
      </c>
      <c r="H176">
        <f>IF((H$1*1)&lt;=MAX('DB Costi-Ore YtD'!$A:$A),SUMIFS('DB Costi-Ore YtD'!$G:$G,'DB Costi-Ore YtD'!$A:$A,H$1,'DB Costi-Ore YtD'!$B:$B,$A176,'DB Costi-Ore YtD'!$E:$E,$C176)-SUM($D176:G176),0)</f>
        <v>2959.5300000000025</v>
      </c>
      <c r="I176">
        <f>IF((I$1*1)&lt;=MAX('DB Costi-Ore YtD'!$A:$A),SUMIFS('DB Costi-Ore YtD'!$G:$G,'DB Costi-Ore YtD'!$A:$A,I$1,'DB Costi-Ore YtD'!$B:$B,$A176,'DB Costi-Ore YtD'!$E:$E,$C176)-SUM($D176:H176),0)</f>
        <v>2945.5699999999961</v>
      </c>
      <c r="J176">
        <f>IF((J$1*1)&lt;=MAX('DB Costi-Ore YtD'!$A:$A),SUMIFS('DB Costi-Ore YtD'!$G:$G,'DB Costi-Ore YtD'!$A:$A,J$1,'DB Costi-Ore YtD'!$B:$B,$A176,'DB Costi-Ore YtD'!$E:$E,$C176)-SUM($D176:I176),0)</f>
        <v>0</v>
      </c>
      <c r="K176">
        <f>IF((K$1*1)&lt;=MAX('DB Costi-Ore YtD'!$A:$A),SUMIFS('DB Costi-Ore YtD'!$G:$G,'DB Costi-Ore YtD'!$A:$A,K$1,'DB Costi-Ore YtD'!$B:$B,$A176,'DB Costi-Ore YtD'!$E:$E,$C176)-SUM($D176:J176),0)</f>
        <v>0</v>
      </c>
      <c r="L176">
        <f>IF((L$1*1)&lt;=MAX('DB Costi-Ore YtD'!$A:$A),SUMIFS('DB Costi-Ore YtD'!$G:$G,'DB Costi-Ore YtD'!$A:$A,L$1,'DB Costi-Ore YtD'!$B:$B,$A176,'DB Costi-Ore YtD'!$E:$E,$C176)-SUM($D176:K176),0)</f>
        <v>0</v>
      </c>
      <c r="M176">
        <f>IF((M$1*1)&lt;=MAX('DB Costi-Ore YtD'!$A:$A),SUMIFS('DB Costi-Ore YtD'!$G:$G,'DB Costi-Ore YtD'!$A:$A,M$1,'DB Costi-Ore YtD'!$B:$B,$A176,'DB Costi-Ore YtD'!$E:$E,$C176)-SUM($D176:L176),0)</f>
        <v>0</v>
      </c>
      <c r="N176">
        <f>IF((N$1*1)&lt;=MAX('DB Costi-Ore YtD'!$A:$A),SUMIFS('DB Costi-Ore YtD'!$G:$G,'DB Costi-Ore YtD'!$A:$A,N$1,'DB Costi-Ore YtD'!$B:$B,$A176,'DB Costi-Ore YtD'!$E:$E,$C176)-SUM($D176:M176),0)</f>
        <v>0</v>
      </c>
      <c r="O176">
        <f>IF((O$1*1)&lt;=MAX('DB Costi-Ore YtD'!$A:$A),SUMIFS('DB Costi-Ore YtD'!$G:$G,'DB Costi-Ore YtD'!$A:$A,O$1,'DB Costi-Ore YtD'!$B:$B,$A176,'DB Costi-Ore YtD'!$E:$E,$C176)-SUM($D176:N176),0)</f>
        <v>0</v>
      </c>
    </row>
    <row r="177" spans="1:15" x14ac:dyDescent="0.3">
      <c r="A177" t="s">
        <v>373</v>
      </c>
      <c r="B177" t="s">
        <v>374</v>
      </c>
      <c r="C177" t="s">
        <v>13</v>
      </c>
      <c r="D177">
        <f>IF((D$1*1)&lt;=MAX('DB Costi-Ore YtD'!$A:$A),SUMIFS('DB Costi-Ore YtD'!$G:$G,'DB Costi-Ore YtD'!$A:$A,D$1,'DB Costi-Ore YtD'!$B:$B,$A177,'DB Costi-Ore YtD'!$E:$E,$C177),0)</f>
        <v>0</v>
      </c>
      <c r="E177">
        <f>IF((E$1*1)&lt;=MAX('DB Costi-Ore YtD'!$A:$A),SUMIFS('DB Costi-Ore YtD'!$G:$G,'DB Costi-Ore YtD'!$A:$A,E$1,'DB Costi-Ore YtD'!$B:$B,$A177,'DB Costi-Ore YtD'!$E:$E,$C177)-SUM($D177:D177),0)</f>
        <v>1208.42</v>
      </c>
      <c r="F177">
        <f>IF((F$1*1)&lt;=MAX('DB Costi-Ore YtD'!$A:$A),SUMIFS('DB Costi-Ore YtD'!$G:$G,'DB Costi-Ore YtD'!$A:$A,F$1,'DB Costi-Ore YtD'!$B:$B,$A177,'DB Costi-Ore YtD'!$E:$E,$C177)-SUM($D177:E177),0)</f>
        <v>3401.29</v>
      </c>
      <c r="G177">
        <f>IF((G$1*1)&lt;=MAX('DB Costi-Ore YtD'!$A:$A),SUMIFS('DB Costi-Ore YtD'!$G:$G,'DB Costi-Ore YtD'!$A:$A,G$1,'DB Costi-Ore YtD'!$B:$B,$A177,'DB Costi-Ore YtD'!$E:$E,$C177)-SUM($D177:F177),0)</f>
        <v>2975.2699999999995</v>
      </c>
      <c r="H177">
        <f>IF((H$1*1)&lt;=MAX('DB Costi-Ore YtD'!$A:$A),SUMIFS('DB Costi-Ore YtD'!$G:$G,'DB Costi-Ore YtD'!$A:$A,H$1,'DB Costi-Ore YtD'!$B:$B,$A177,'DB Costi-Ore YtD'!$E:$E,$C177)-SUM($D177:G177),0)</f>
        <v>2857.7199999999993</v>
      </c>
      <c r="I177">
        <f>IF((I$1*1)&lt;=MAX('DB Costi-Ore YtD'!$A:$A),SUMIFS('DB Costi-Ore YtD'!$G:$G,'DB Costi-Ore YtD'!$A:$A,I$1,'DB Costi-Ore YtD'!$B:$B,$A177,'DB Costi-Ore YtD'!$E:$E,$C177)-SUM($D177:H177),0)</f>
        <v>3036.630000000001</v>
      </c>
      <c r="J177">
        <f>IF((J$1*1)&lt;=MAX('DB Costi-Ore YtD'!$A:$A),SUMIFS('DB Costi-Ore YtD'!$G:$G,'DB Costi-Ore YtD'!$A:$A,J$1,'DB Costi-Ore YtD'!$B:$B,$A177,'DB Costi-Ore YtD'!$E:$E,$C177)-SUM($D177:I177),0)</f>
        <v>0</v>
      </c>
      <c r="K177">
        <f>IF((K$1*1)&lt;=MAX('DB Costi-Ore YtD'!$A:$A),SUMIFS('DB Costi-Ore YtD'!$G:$G,'DB Costi-Ore YtD'!$A:$A,K$1,'DB Costi-Ore YtD'!$B:$B,$A177,'DB Costi-Ore YtD'!$E:$E,$C177)-SUM($D177:J177),0)</f>
        <v>0</v>
      </c>
      <c r="L177">
        <f>IF((L$1*1)&lt;=MAX('DB Costi-Ore YtD'!$A:$A),SUMIFS('DB Costi-Ore YtD'!$G:$G,'DB Costi-Ore YtD'!$A:$A,L$1,'DB Costi-Ore YtD'!$B:$B,$A177,'DB Costi-Ore YtD'!$E:$E,$C177)-SUM($D177:K177),0)</f>
        <v>0</v>
      </c>
      <c r="M177">
        <f>IF((M$1*1)&lt;=MAX('DB Costi-Ore YtD'!$A:$A),SUMIFS('DB Costi-Ore YtD'!$G:$G,'DB Costi-Ore YtD'!$A:$A,M$1,'DB Costi-Ore YtD'!$B:$B,$A177,'DB Costi-Ore YtD'!$E:$E,$C177)-SUM($D177:L177),0)</f>
        <v>0</v>
      </c>
      <c r="N177">
        <f>IF((N$1*1)&lt;=MAX('DB Costi-Ore YtD'!$A:$A),SUMIFS('DB Costi-Ore YtD'!$G:$G,'DB Costi-Ore YtD'!$A:$A,N$1,'DB Costi-Ore YtD'!$B:$B,$A177,'DB Costi-Ore YtD'!$E:$E,$C177)-SUM($D177:M177),0)</f>
        <v>0</v>
      </c>
      <c r="O177">
        <f>IF((O$1*1)&lt;=MAX('DB Costi-Ore YtD'!$A:$A),SUMIFS('DB Costi-Ore YtD'!$G:$G,'DB Costi-Ore YtD'!$A:$A,O$1,'DB Costi-Ore YtD'!$B:$B,$A177,'DB Costi-Ore YtD'!$E:$E,$C177)-SUM($D177:N177),0)</f>
        <v>0</v>
      </c>
    </row>
    <row r="178" spans="1:15" x14ac:dyDescent="0.3">
      <c r="A178" t="s">
        <v>375</v>
      </c>
      <c r="B178" t="s">
        <v>376</v>
      </c>
      <c r="C178" t="s">
        <v>13</v>
      </c>
      <c r="D178">
        <f>IF((D$1*1)&lt;=MAX('DB Costi-Ore YtD'!$A:$A),SUMIFS('DB Costi-Ore YtD'!$G:$G,'DB Costi-Ore YtD'!$A:$A,D$1,'DB Costi-Ore YtD'!$B:$B,$A178,'DB Costi-Ore YtD'!$E:$E,$C178),0)</f>
        <v>0</v>
      </c>
      <c r="E178">
        <f>IF((E$1*1)&lt;=MAX('DB Costi-Ore YtD'!$A:$A),SUMIFS('DB Costi-Ore YtD'!$G:$G,'DB Costi-Ore YtD'!$A:$A,E$1,'DB Costi-Ore YtD'!$B:$B,$A178,'DB Costi-Ore YtD'!$E:$E,$C178)-SUM($D178:D178),0)</f>
        <v>355.66</v>
      </c>
      <c r="F178">
        <f>IF((F$1*1)&lt;=MAX('DB Costi-Ore YtD'!$A:$A),SUMIFS('DB Costi-Ore YtD'!$G:$G,'DB Costi-Ore YtD'!$A:$A,F$1,'DB Costi-Ore YtD'!$B:$B,$A178,'DB Costi-Ore YtD'!$E:$E,$C178)-SUM($D178:E178),0)</f>
        <v>1282.6599999999999</v>
      </c>
      <c r="G178">
        <f>IF((G$1*1)&lt;=MAX('DB Costi-Ore YtD'!$A:$A),SUMIFS('DB Costi-Ore YtD'!$G:$G,'DB Costi-Ore YtD'!$A:$A,G$1,'DB Costi-Ore YtD'!$B:$B,$A178,'DB Costi-Ore YtD'!$E:$E,$C178)-SUM($D178:F178),0)</f>
        <v>0</v>
      </c>
      <c r="H178">
        <f>IF((H$1*1)&lt;=MAX('DB Costi-Ore YtD'!$A:$A),SUMIFS('DB Costi-Ore YtD'!$G:$G,'DB Costi-Ore YtD'!$A:$A,H$1,'DB Costi-Ore YtD'!$B:$B,$A178,'DB Costi-Ore YtD'!$E:$E,$C178)-SUM($D178:G178),0)</f>
        <v>0</v>
      </c>
      <c r="I178">
        <f>IF((I$1*1)&lt;=MAX('DB Costi-Ore YtD'!$A:$A),SUMIFS('DB Costi-Ore YtD'!$G:$G,'DB Costi-Ore YtD'!$A:$A,I$1,'DB Costi-Ore YtD'!$B:$B,$A178,'DB Costi-Ore YtD'!$E:$E,$C178)-SUM($D178:H178),0)</f>
        <v>0</v>
      </c>
      <c r="J178">
        <f>IF((J$1*1)&lt;=MAX('DB Costi-Ore YtD'!$A:$A),SUMIFS('DB Costi-Ore YtD'!$G:$G,'DB Costi-Ore YtD'!$A:$A,J$1,'DB Costi-Ore YtD'!$B:$B,$A178,'DB Costi-Ore YtD'!$E:$E,$C178)-SUM($D178:I178),0)</f>
        <v>0</v>
      </c>
      <c r="K178">
        <f>IF((K$1*1)&lt;=MAX('DB Costi-Ore YtD'!$A:$A),SUMIFS('DB Costi-Ore YtD'!$G:$G,'DB Costi-Ore YtD'!$A:$A,K$1,'DB Costi-Ore YtD'!$B:$B,$A178,'DB Costi-Ore YtD'!$E:$E,$C178)-SUM($D178:J178),0)</f>
        <v>0</v>
      </c>
      <c r="L178">
        <f>IF((L$1*1)&lt;=MAX('DB Costi-Ore YtD'!$A:$A),SUMIFS('DB Costi-Ore YtD'!$G:$G,'DB Costi-Ore YtD'!$A:$A,L$1,'DB Costi-Ore YtD'!$B:$B,$A178,'DB Costi-Ore YtD'!$E:$E,$C178)-SUM($D178:K178),0)</f>
        <v>0</v>
      </c>
      <c r="M178">
        <f>IF((M$1*1)&lt;=MAX('DB Costi-Ore YtD'!$A:$A),SUMIFS('DB Costi-Ore YtD'!$G:$G,'DB Costi-Ore YtD'!$A:$A,M$1,'DB Costi-Ore YtD'!$B:$B,$A178,'DB Costi-Ore YtD'!$E:$E,$C178)-SUM($D178:L178),0)</f>
        <v>0</v>
      </c>
      <c r="N178">
        <f>IF((N$1*1)&lt;=MAX('DB Costi-Ore YtD'!$A:$A),SUMIFS('DB Costi-Ore YtD'!$G:$G,'DB Costi-Ore YtD'!$A:$A,N$1,'DB Costi-Ore YtD'!$B:$B,$A178,'DB Costi-Ore YtD'!$E:$E,$C178)-SUM($D178:M178),0)</f>
        <v>0</v>
      </c>
      <c r="O178">
        <f>IF((O$1*1)&lt;=MAX('DB Costi-Ore YtD'!$A:$A),SUMIFS('DB Costi-Ore YtD'!$G:$G,'DB Costi-Ore YtD'!$A:$A,O$1,'DB Costi-Ore YtD'!$B:$B,$A178,'DB Costi-Ore YtD'!$E:$E,$C178)-SUM($D178:N178),0)</f>
        <v>0</v>
      </c>
    </row>
    <row r="179" spans="1:15" hidden="1" x14ac:dyDescent="0.3">
      <c r="A179" t="s">
        <v>377</v>
      </c>
      <c r="B179" t="s">
        <v>378</v>
      </c>
      <c r="C179" t="s">
        <v>2</v>
      </c>
      <c r="D179">
        <f>IF((D$1*1)&lt;=MAX('DB Costi-Ore YtD'!$A:$A),SUMIFS('DB Costi-Ore YtD'!$G:$G,'DB Costi-Ore YtD'!$A:$A,D$1,'DB Costi-Ore YtD'!$B:$B,$A179,'DB Costi-Ore YtD'!$E:$E,$C179),0)</f>
        <v>0</v>
      </c>
      <c r="E179">
        <f>IF((E$1*1)&lt;=MAX('DB Costi-Ore YtD'!$A:$A),SUMIFS('DB Costi-Ore YtD'!$G:$G,'DB Costi-Ore YtD'!$A:$A,E$1,'DB Costi-Ore YtD'!$B:$B,$A179,'DB Costi-Ore YtD'!$E:$E,$C179)-SUM($D179:D179),0)</f>
        <v>317.36</v>
      </c>
      <c r="F179">
        <f>IF((F$1*1)&lt;=MAX('DB Costi-Ore YtD'!$A:$A),SUMIFS('DB Costi-Ore YtD'!$G:$G,'DB Costi-Ore YtD'!$A:$A,F$1,'DB Costi-Ore YtD'!$B:$B,$A179,'DB Costi-Ore YtD'!$E:$E,$C179)-SUM($D179:E179),0)</f>
        <v>1272.3499999999999</v>
      </c>
      <c r="G179">
        <f>IF((G$1*1)&lt;=MAX('DB Costi-Ore YtD'!$A:$A),SUMIFS('DB Costi-Ore YtD'!$G:$G,'DB Costi-Ore YtD'!$A:$A,G$1,'DB Costi-Ore YtD'!$B:$B,$A179,'DB Costi-Ore YtD'!$E:$E,$C179)-SUM($D179:F179),0)</f>
        <v>1382.75</v>
      </c>
      <c r="H179">
        <f>IF((H$1*1)&lt;=MAX('DB Costi-Ore YtD'!$A:$A),SUMIFS('DB Costi-Ore YtD'!$G:$G,'DB Costi-Ore YtD'!$A:$A,H$1,'DB Costi-Ore YtD'!$B:$B,$A179,'DB Costi-Ore YtD'!$E:$E,$C179)-SUM($D179:G179),0)</f>
        <v>1197.6000000000004</v>
      </c>
      <c r="I179">
        <f>IF((I$1*1)&lt;=MAX('DB Costi-Ore YtD'!$A:$A),SUMIFS('DB Costi-Ore YtD'!$G:$G,'DB Costi-Ore YtD'!$A:$A,I$1,'DB Costi-Ore YtD'!$B:$B,$A179,'DB Costi-Ore YtD'!$E:$E,$C179)-SUM($D179:H179),0)</f>
        <v>1159.3599999999997</v>
      </c>
      <c r="J179">
        <f>IF((J$1*1)&lt;=MAX('DB Costi-Ore YtD'!$A:$A),SUMIFS('DB Costi-Ore YtD'!$G:$G,'DB Costi-Ore YtD'!$A:$A,J$1,'DB Costi-Ore YtD'!$B:$B,$A179,'DB Costi-Ore YtD'!$E:$E,$C179)-SUM($D179:I179),0)</f>
        <v>0</v>
      </c>
      <c r="K179">
        <f>IF((K$1*1)&lt;=MAX('DB Costi-Ore YtD'!$A:$A),SUMIFS('DB Costi-Ore YtD'!$G:$G,'DB Costi-Ore YtD'!$A:$A,K$1,'DB Costi-Ore YtD'!$B:$B,$A179,'DB Costi-Ore YtD'!$E:$E,$C179)-SUM($D179:J179),0)</f>
        <v>0</v>
      </c>
      <c r="L179">
        <f>IF((L$1*1)&lt;=MAX('DB Costi-Ore YtD'!$A:$A),SUMIFS('DB Costi-Ore YtD'!$G:$G,'DB Costi-Ore YtD'!$A:$A,L$1,'DB Costi-Ore YtD'!$B:$B,$A179,'DB Costi-Ore YtD'!$E:$E,$C179)-SUM($D179:K179),0)</f>
        <v>0</v>
      </c>
      <c r="M179">
        <f>IF((M$1*1)&lt;=MAX('DB Costi-Ore YtD'!$A:$A),SUMIFS('DB Costi-Ore YtD'!$G:$G,'DB Costi-Ore YtD'!$A:$A,M$1,'DB Costi-Ore YtD'!$B:$B,$A179,'DB Costi-Ore YtD'!$E:$E,$C179)-SUM($D179:L179),0)</f>
        <v>0</v>
      </c>
      <c r="N179">
        <f>IF((N$1*1)&lt;=MAX('DB Costi-Ore YtD'!$A:$A),SUMIFS('DB Costi-Ore YtD'!$G:$G,'DB Costi-Ore YtD'!$A:$A,N$1,'DB Costi-Ore YtD'!$B:$B,$A179,'DB Costi-Ore YtD'!$E:$E,$C179)-SUM($D179:M179),0)</f>
        <v>0</v>
      </c>
      <c r="O179">
        <f>IF((O$1*1)&lt;=MAX('DB Costi-Ore YtD'!$A:$A),SUMIFS('DB Costi-Ore YtD'!$G:$G,'DB Costi-Ore YtD'!$A:$A,O$1,'DB Costi-Ore YtD'!$B:$B,$A179,'DB Costi-Ore YtD'!$E:$E,$C179)-SUM($D179:N179),0)</f>
        <v>0</v>
      </c>
    </row>
    <row r="180" spans="1:15" hidden="1" x14ac:dyDescent="0.3">
      <c r="A180" t="s">
        <v>379</v>
      </c>
      <c r="B180" t="s">
        <v>352</v>
      </c>
      <c r="C180" t="s">
        <v>2</v>
      </c>
      <c r="D180">
        <f>IF((D$1*1)&lt;=MAX('DB Costi-Ore YtD'!$A:$A),SUMIFS('DB Costi-Ore YtD'!$G:$G,'DB Costi-Ore YtD'!$A:$A,D$1,'DB Costi-Ore YtD'!$B:$B,$A180,'DB Costi-Ore YtD'!$E:$E,$C180),0)</f>
        <v>0</v>
      </c>
      <c r="E180">
        <f>IF((E$1*1)&lt;=MAX('DB Costi-Ore YtD'!$A:$A),SUMIFS('DB Costi-Ore YtD'!$G:$G,'DB Costi-Ore YtD'!$A:$A,E$1,'DB Costi-Ore YtD'!$B:$B,$A180,'DB Costi-Ore YtD'!$E:$E,$C180)-SUM($D180:D180),0)</f>
        <v>272.04000000000002</v>
      </c>
      <c r="F180">
        <f>IF((F$1*1)&lt;=MAX('DB Costi-Ore YtD'!$A:$A),SUMIFS('DB Costi-Ore YtD'!$G:$G,'DB Costi-Ore YtD'!$A:$A,F$1,'DB Costi-Ore YtD'!$B:$B,$A180,'DB Costi-Ore YtD'!$E:$E,$C180)-SUM($D180:E180),0)</f>
        <v>1228.8500000000001</v>
      </c>
      <c r="G180">
        <f>IF((G$1*1)&lt;=MAX('DB Costi-Ore YtD'!$A:$A),SUMIFS('DB Costi-Ore YtD'!$G:$G,'DB Costi-Ore YtD'!$A:$A,G$1,'DB Costi-Ore YtD'!$B:$B,$A180,'DB Costi-Ore YtD'!$E:$E,$C180)-SUM($D180:F180),0)</f>
        <v>1315.95</v>
      </c>
      <c r="H180">
        <f>IF((H$1*1)&lt;=MAX('DB Costi-Ore YtD'!$A:$A),SUMIFS('DB Costi-Ore YtD'!$G:$G,'DB Costi-Ore YtD'!$A:$A,H$1,'DB Costi-Ore YtD'!$B:$B,$A180,'DB Costi-Ore YtD'!$E:$E,$C180)-SUM($D180:G180),0)</f>
        <v>1147.0300000000007</v>
      </c>
      <c r="I180">
        <f>IF((I$1*1)&lt;=MAX('DB Costi-Ore YtD'!$A:$A),SUMIFS('DB Costi-Ore YtD'!$G:$G,'DB Costi-Ore YtD'!$A:$A,I$1,'DB Costi-Ore YtD'!$B:$B,$A180,'DB Costi-Ore YtD'!$E:$E,$C180)-SUM($D180:H180),0)</f>
        <v>1214.0299999999988</v>
      </c>
      <c r="J180">
        <f>IF((J$1*1)&lt;=MAX('DB Costi-Ore YtD'!$A:$A),SUMIFS('DB Costi-Ore YtD'!$G:$G,'DB Costi-Ore YtD'!$A:$A,J$1,'DB Costi-Ore YtD'!$B:$B,$A180,'DB Costi-Ore YtD'!$E:$E,$C180)-SUM($D180:I180),0)</f>
        <v>0</v>
      </c>
      <c r="K180">
        <f>IF((K$1*1)&lt;=MAX('DB Costi-Ore YtD'!$A:$A),SUMIFS('DB Costi-Ore YtD'!$G:$G,'DB Costi-Ore YtD'!$A:$A,K$1,'DB Costi-Ore YtD'!$B:$B,$A180,'DB Costi-Ore YtD'!$E:$E,$C180)-SUM($D180:J180),0)</f>
        <v>0</v>
      </c>
      <c r="L180">
        <f>IF((L$1*1)&lt;=MAX('DB Costi-Ore YtD'!$A:$A),SUMIFS('DB Costi-Ore YtD'!$G:$G,'DB Costi-Ore YtD'!$A:$A,L$1,'DB Costi-Ore YtD'!$B:$B,$A180,'DB Costi-Ore YtD'!$E:$E,$C180)-SUM($D180:K180),0)</f>
        <v>0</v>
      </c>
      <c r="M180">
        <f>IF((M$1*1)&lt;=MAX('DB Costi-Ore YtD'!$A:$A),SUMIFS('DB Costi-Ore YtD'!$G:$G,'DB Costi-Ore YtD'!$A:$A,M$1,'DB Costi-Ore YtD'!$B:$B,$A180,'DB Costi-Ore YtD'!$E:$E,$C180)-SUM($D180:L180),0)</f>
        <v>0</v>
      </c>
      <c r="N180">
        <f>IF((N$1*1)&lt;=MAX('DB Costi-Ore YtD'!$A:$A),SUMIFS('DB Costi-Ore YtD'!$G:$G,'DB Costi-Ore YtD'!$A:$A,N$1,'DB Costi-Ore YtD'!$B:$B,$A180,'DB Costi-Ore YtD'!$E:$E,$C180)-SUM($D180:M180),0)</f>
        <v>0</v>
      </c>
      <c r="O180">
        <f>IF((O$1*1)&lt;=MAX('DB Costi-Ore YtD'!$A:$A),SUMIFS('DB Costi-Ore YtD'!$G:$G,'DB Costi-Ore YtD'!$A:$A,O$1,'DB Costi-Ore YtD'!$B:$B,$A180,'DB Costi-Ore YtD'!$E:$E,$C180)-SUM($D180:N180),0)</f>
        <v>0</v>
      </c>
    </row>
    <row r="181" spans="1:15" x14ac:dyDescent="0.3">
      <c r="A181" t="s">
        <v>380</v>
      </c>
      <c r="B181" t="s">
        <v>342</v>
      </c>
      <c r="C181" t="s">
        <v>13</v>
      </c>
      <c r="D181">
        <f>IF((D$1*1)&lt;=MAX('DB Costi-Ore YtD'!$A:$A),SUMIFS('DB Costi-Ore YtD'!$G:$G,'DB Costi-Ore YtD'!$A:$A,D$1,'DB Costi-Ore YtD'!$B:$B,$A181,'DB Costi-Ore YtD'!$E:$E,$C181),0)</f>
        <v>0</v>
      </c>
      <c r="E181">
        <f>IF((E$1*1)&lt;=MAX('DB Costi-Ore YtD'!$A:$A),SUMIFS('DB Costi-Ore YtD'!$G:$G,'DB Costi-Ore YtD'!$A:$A,E$1,'DB Costi-Ore YtD'!$B:$B,$A181,'DB Costi-Ore YtD'!$E:$E,$C181)-SUM($D181:D181),0)</f>
        <v>0</v>
      </c>
      <c r="F181">
        <f>IF((F$1*1)&lt;=MAX('DB Costi-Ore YtD'!$A:$A),SUMIFS('DB Costi-Ore YtD'!$G:$G,'DB Costi-Ore YtD'!$A:$A,F$1,'DB Costi-Ore YtD'!$B:$B,$A181,'DB Costi-Ore YtD'!$E:$E,$C181)-SUM($D181:E181),0)</f>
        <v>2044.67</v>
      </c>
      <c r="G181">
        <f>IF((G$1*1)&lt;=MAX('DB Costi-Ore YtD'!$A:$A),SUMIFS('DB Costi-Ore YtD'!$G:$G,'DB Costi-Ore YtD'!$A:$A,G$1,'DB Costi-Ore YtD'!$B:$B,$A181,'DB Costi-Ore YtD'!$E:$E,$C181)-SUM($D181:F181),0)</f>
        <v>2025.33</v>
      </c>
      <c r="H181">
        <f>IF((H$1*1)&lt;=MAX('DB Costi-Ore YtD'!$A:$A),SUMIFS('DB Costi-Ore YtD'!$G:$G,'DB Costi-Ore YtD'!$A:$A,H$1,'DB Costi-Ore YtD'!$B:$B,$A181,'DB Costi-Ore YtD'!$E:$E,$C181)-SUM($D181:G181),0)</f>
        <v>2358.37</v>
      </c>
      <c r="I181">
        <f>IF((I$1*1)&lt;=MAX('DB Costi-Ore YtD'!$A:$A),SUMIFS('DB Costi-Ore YtD'!$G:$G,'DB Costi-Ore YtD'!$A:$A,I$1,'DB Costi-Ore YtD'!$B:$B,$A181,'DB Costi-Ore YtD'!$E:$E,$C181)-SUM($D181:H181),0)</f>
        <v>2197.5099999999993</v>
      </c>
      <c r="J181">
        <f>IF((J$1*1)&lt;=MAX('DB Costi-Ore YtD'!$A:$A),SUMIFS('DB Costi-Ore YtD'!$G:$G,'DB Costi-Ore YtD'!$A:$A,J$1,'DB Costi-Ore YtD'!$B:$B,$A181,'DB Costi-Ore YtD'!$E:$E,$C181)-SUM($D181:I181),0)</f>
        <v>0</v>
      </c>
      <c r="K181">
        <f>IF((K$1*1)&lt;=MAX('DB Costi-Ore YtD'!$A:$A),SUMIFS('DB Costi-Ore YtD'!$G:$G,'DB Costi-Ore YtD'!$A:$A,K$1,'DB Costi-Ore YtD'!$B:$B,$A181,'DB Costi-Ore YtD'!$E:$E,$C181)-SUM($D181:J181),0)</f>
        <v>0</v>
      </c>
      <c r="L181">
        <f>IF((L$1*1)&lt;=MAX('DB Costi-Ore YtD'!$A:$A),SUMIFS('DB Costi-Ore YtD'!$G:$G,'DB Costi-Ore YtD'!$A:$A,L$1,'DB Costi-Ore YtD'!$B:$B,$A181,'DB Costi-Ore YtD'!$E:$E,$C181)-SUM($D181:K181),0)</f>
        <v>0</v>
      </c>
      <c r="M181">
        <f>IF((M$1*1)&lt;=MAX('DB Costi-Ore YtD'!$A:$A),SUMIFS('DB Costi-Ore YtD'!$G:$G,'DB Costi-Ore YtD'!$A:$A,M$1,'DB Costi-Ore YtD'!$B:$B,$A181,'DB Costi-Ore YtD'!$E:$E,$C181)-SUM($D181:L181),0)</f>
        <v>0</v>
      </c>
      <c r="N181">
        <f>IF((N$1*1)&lt;=MAX('DB Costi-Ore YtD'!$A:$A),SUMIFS('DB Costi-Ore YtD'!$G:$G,'DB Costi-Ore YtD'!$A:$A,N$1,'DB Costi-Ore YtD'!$B:$B,$A181,'DB Costi-Ore YtD'!$E:$E,$C181)-SUM($D181:M181),0)</f>
        <v>0</v>
      </c>
      <c r="O181">
        <f>IF((O$1*1)&lt;=MAX('DB Costi-Ore YtD'!$A:$A),SUMIFS('DB Costi-Ore YtD'!$G:$G,'DB Costi-Ore YtD'!$A:$A,O$1,'DB Costi-Ore YtD'!$B:$B,$A181,'DB Costi-Ore YtD'!$E:$E,$C181)-SUM($D181:N181),0)</f>
        <v>0</v>
      </c>
    </row>
    <row r="182" spans="1:15" hidden="1" x14ac:dyDescent="0.3">
      <c r="A182" t="s">
        <v>381</v>
      </c>
      <c r="B182" t="s">
        <v>382</v>
      </c>
      <c r="C182" t="s">
        <v>7</v>
      </c>
      <c r="D182">
        <f>IF((D$1*1)&lt;=MAX('DB Costi-Ore YtD'!$A:$A),SUMIFS('DB Costi-Ore YtD'!$G:$G,'DB Costi-Ore YtD'!$A:$A,D$1,'DB Costi-Ore YtD'!$B:$B,$A182,'DB Costi-Ore YtD'!$E:$E,$C182),0)</f>
        <v>0</v>
      </c>
      <c r="E182">
        <f>IF((E$1*1)&lt;=MAX('DB Costi-Ore YtD'!$A:$A),SUMIFS('DB Costi-Ore YtD'!$G:$G,'DB Costi-Ore YtD'!$A:$A,E$1,'DB Costi-Ore YtD'!$B:$B,$A182,'DB Costi-Ore YtD'!$E:$E,$C182)-SUM($D182:D182),0)</f>
        <v>0</v>
      </c>
      <c r="F182">
        <f>IF((F$1*1)&lt;=MAX('DB Costi-Ore YtD'!$A:$A),SUMIFS('DB Costi-Ore YtD'!$G:$G,'DB Costi-Ore YtD'!$A:$A,F$1,'DB Costi-Ore YtD'!$B:$B,$A182,'DB Costi-Ore YtD'!$E:$E,$C182)-SUM($D182:E182),0)</f>
        <v>3408.99</v>
      </c>
      <c r="G182">
        <f>IF((G$1*1)&lt;=MAX('DB Costi-Ore YtD'!$A:$A),SUMIFS('DB Costi-Ore YtD'!$G:$G,'DB Costi-Ore YtD'!$A:$A,G$1,'DB Costi-Ore YtD'!$B:$B,$A182,'DB Costi-Ore YtD'!$E:$E,$C182)-SUM($D182:F182),0)</f>
        <v>4367.16</v>
      </c>
      <c r="H182">
        <f>IF((H$1*1)&lt;=MAX('DB Costi-Ore YtD'!$A:$A),SUMIFS('DB Costi-Ore YtD'!$G:$G,'DB Costi-Ore YtD'!$A:$A,H$1,'DB Costi-Ore YtD'!$B:$B,$A182,'DB Costi-Ore YtD'!$E:$E,$C182)-SUM($D182:G182),0)</f>
        <v>4225.1700000000019</v>
      </c>
      <c r="I182">
        <f>IF((I$1*1)&lt;=MAX('DB Costi-Ore YtD'!$A:$A),SUMIFS('DB Costi-Ore YtD'!$G:$G,'DB Costi-Ore YtD'!$A:$A,I$1,'DB Costi-Ore YtD'!$B:$B,$A182,'DB Costi-Ore YtD'!$E:$E,$C182)-SUM($D182:H182),0)</f>
        <v>4327.9799999999977</v>
      </c>
      <c r="J182">
        <f>IF((J$1*1)&lt;=MAX('DB Costi-Ore YtD'!$A:$A),SUMIFS('DB Costi-Ore YtD'!$G:$G,'DB Costi-Ore YtD'!$A:$A,J$1,'DB Costi-Ore YtD'!$B:$B,$A182,'DB Costi-Ore YtD'!$E:$E,$C182)-SUM($D182:I182),0)</f>
        <v>0</v>
      </c>
      <c r="K182">
        <f>IF((K$1*1)&lt;=MAX('DB Costi-Ore YtD'!$A:$A),SUMIFS('DB Costi-Ore YtD'!$G:$G,'DB Costi-Ore YtD'!$A:$A,K$1,'DB Costi-Ore YtD'!$B:$B,$A182,'DB Costi-Ore YtD'!$E:$E,$C182)-SUM($D182:J182),0)</f>
        <v>0</v>
      </c>
      <c r="L182">
        <f>IF((L$1*1)&lt;=MAX('DB Costi-Ore YtD'!$A:$A),SUMIFS('DB Costi-Ore YtD'!$G:$G,'DB Costi-Ore YtD'!$A:$A,L$1,'DB Costi-Ore YtD'!$B:$B,$A182,'DB Costi-Ore YtD'!$E:$E,$C182)-SUM($D182:K182),0)</f>
        <v>0</v>
      </c>
      <c r="M182">
        <f>IF((M$1*1)&lt;=MAX('DB Costi-Ore YtD'!$A:$A),SUMIFS('DB Costi-Ore YtD'!$G:$G,'DB Costi-Ore YtD'!$A:$A,M$1,'DB Costi-Ore YtD'!$B:$B,$A182,'DB Costi-Ore YtD'!$E:$E,$C182)-SUM($D182:L182),0)</f>
        <v>0</v>
      </c>
      <c r="N182">
        <f>IF((N$1*1)&lt;=MAX('DB Costi-Ore YtD'!$A:$A),SUMIFS('DB Costi-Ore YtD'!$G:$G,'DB Costi-Ore YtD'!$A:$A,N$1,'DB Costi-Ore YtD'!$B:$B,$A182,'DB Costi-Ore YtD'!$E:$E,$C182)-SUM($D182:M182),0)</f>
        <v>0</v>
      </c>
      <c r="O182">
        <f>IF((O$1*1)&lt;=MAX('DB Costi-Ore YtD'!$A:$A),SUMIFS('DB Costi-Ore YtD'!$G:$G,'DB Costi-Ore YtD'!$A:$A,O$1,'DB Costi-Ore YtD'!$B:$B,$A182,'DB Costi-Ore YtD'!$E:$E,$C182)-SUM($D182:N182),0)</f>
        <v>0</v>
      </c>
    </row>
    <row r="183" spans="1:15" hidden="1" x14ac:dyDescent="0.3">
      <c r="A183" t="s">
        <v>383</v>
      </c>
      <c r="B183" t="s">
        <v>340</v>
      </c>
      <c r="C183" t="s">
        <v>8</v>
      </c>
      <c r="D183">
        <f>IF((D$1*1)&lt;=MAX('DB Costi-Ore YtD'!$A:$A),SUMIFS('DB Costi-Ore YtD'!$G:$G,'DB Costi-Ore YtD'!$A:$A,D$1,'DB Costi-Ore YtD'!$B:$B,$A183,'DB Costi-Ore YtD'!$E:$E,$C183),0)</f>
        <v>0</v>
      </c>
      <c r="E183">
        <f>IF((E$1*1)&lt;=MAX('DB Costi-Ore YtD'!$A:$A),SUMIFS('DB Costi-Ore YtD'!$G:$G,'DB Costi-Ore YtD'!$A:$A,E$1,'DB Costi-Ore YtD'!$B:$B,$A183,'DB Costi-Ore YtD'!$E:$E,$C183)-SUM($D183:D183),0)</f>
        <v>0</v>
      </c>
      <c r="F183">
        <f>IF((F$1*1)&lt;=MAX('DB Costi-Ore YtD'!$A:$A),SUMIFS('DB Costi-Ore YtD'!$G:$G,'DB Costi-Ore YtD'!$A:$A,F$1,'DB Costi-Ore YtD'!$B:$B,$A183,'DB Costi-Ore YtD'!$E:$E,$C183)-SUM($D183:E183),0)</f>
        <v>1633.9</v>
      </c>
      <c r="G183">
        <f>IF((G$1*1)&lt;=MAX('DB Costi-Ore YtD'!$A:$A),SUMIFS('DB Costi-Ore YtD'!$G:$G,'DB Costi-Ore YtD'!$A:$A,G$1,'DB Costi-Ore YtD'!$B:$B,$A183,'DB Costi-Ore YtD'!$E:$E,$C183)-SUM($D183:F183),0)</f>
        <v>2017.0100000000002</v>
      </c>
      <c r="H183">
        <f>IF((H$1*1)&lt;=MAX('DB Costi-Ore YtD'!$A:$A),SUMIFS('DB Costi-Ore YtD'!$G:$G,'DB Costi-Ore YtD'!$A:$A,H$1,'DB Costi-Ore YtD'!$B:$B,$A183,'DB Costi-Ore YtD'!$E:$E,$C183)-SUM($D183:G183),0)</f>
        <v>1780.8099999999981</v>
      </c>
      <c r="I183">
        <f>IF((I$1*1)&lt;=MAX('DB Costi-Ore YtD'!$A:$A),SUMIFS('DB Costi-Ore YtD'!$G:$G,'DB Costi-Ore YtD'!$A:$A,I$1,'DB Costi-Ore YtD'!$B:$B,$A183,'DB Costi-Ore YtD'!$E:$E,$C183)-SUM($D183:H183),0)</f>
        <v>2040.7200000000012</v>
      </c>
      <c r="J183">
        <f>IF((J$1*1)&lt;=MAX('DB Costi-Ore YtD'!$A:$A),SUMIFS('DB Costi-Ore YtD'!$G:$G,'DB Costi-Ore YtD'!$A:$A,J$1,'DB Costi-Ore YtD'!$B:$B,$A183,'DB Costi-Ore YtD'!$E:$E,$C183)-SUM($D183:I183),0)</f>
        <v>0</v>
      </c>
      <c r="K183">
        <f>IF((K$1*1)&lt;=MAX('DB Costi-Ore YtD'!$A:$A),SUMIFS('DB Costi-Ore YtD'!$G:$G,'DB Costi-Ore YtD'!$A:$A,K$1,'DB Costi-Ore YtD'!$B:$B,$A183,'DB Costi-Ore YtD'!$E:$E,$C183)-SUM($D183:J183),0)</f>
        <v>0</v>
      </c>
      <c r="L183">
        <f>IF((L$1*1)&lt;=MAX('DB Costi-Ore YtD'!$A:$A),SUMIFS('DB Costi-Ore YtD'!$G:$G,'DB Costi-Ore YtD'!$A:$A,L$1,'DB Costi-Ore YtD'!$B:$B,$A183,'DB Costi-Ore YtD'!$E:$E,$C183)-SUM($D183:K183),0)</f>
        <v>0</v>
      </c>
      <c r="M183">
        <f>IF((M$1*1)&lt;=MAX('DB Costi-Ore YtD'!$A:$A),SUMIFS('DB Costi-Ore YtD'!$G:$G,'DB Costi-Ore YtD'!$A:$A,M$1,'DB Costi-Ore YtD'!$B:$B,$A183,'DB Costi-Ore YtD'!$E:$E,$C183)-SUM($D183:L183),0)</f>
        <v>0</v>
      </c>
      <c r="N183">
        <f>IF((N$1*1)&lt;=MAX('DB Costi-Ore YtD'!$A:$A),SUMIFS('DB Costi-Ore YtD'!$G:$G,'DB Costi-Ore YtD'!$A:$A,N$1,'DB Costi-Ore YtD'!$B:$B,$A183,'DB Costi-Ore YtD'!$E:$E,$C183)-SUM($D183:M183),0)</f>
        <v>0</v>
      </c>
      <c r="O183">
        <f>IF((O$1*1)&lt;=MAX('DB Costi-Ore YtD'!$A:$A),SUMIFS('DB Costi-Ore YtD'!$G:$G,'DB Costi-Ore YtD'!$A:$A,O$1,'DB Costi-Ore YtD'!$B:$B,$A183,'DB Costi-Ore YtD'!$E:$E,$C183)-SUM($D183:N183),0)</f>
        <v>0</v>
      </c>
    </row>
    <row r="184" spans="1:15" hidden="1" x14ac:dyDescent="0.3">
      <c r="A184" t="s">
        <v>384</v>
      </c>
      <c r="B184" t="s">
        <v>385</v>
      </c>
      <c r="C184" t="s">
        <v>2</v>
      </c>
      <c r="D184">
        <f>IF((D$1*1)&lt;=MAX('DB Costi-Ore YtD'!$A:$A),SUMIFS('DB Costi-Ore YtD'!$G:$G,'DB Costi-Ore YtD'!$A:$A,D$1,'DB Costi-Ore YtD'!$B:$B,$A184,'DB Costi-Ore YtD'!$E:$E,$C184),0)</f>
        <v>0</v>
      </c>
      <c r="E184">
        <f>IF((E$1*1)&lt;=MAX('DB Costi-Ore YtD'!$A:$A),SUMIFS('DB Costi-Ore YtD'!$G:$G,'DB Costi-Ore YtD'!$A:$A,E$1,'DB Costi-Ore YtD'!$B:$B,$A184,'DB Costi-Ore YtD'!$E:$E,$C184)-SUM($D184:D184),0)</f>
        <v>0</v>
      </c>
      <c r="F184">
        <f>IF((F$1*1)&lt;=MAX('DB Costi-Ore YtD'!$A:$A),SUMIFS('DB Costi-Ore YtD'!$G:$G,'DB Costi-Ore YtD'!$A:$A,F$1,'DB Costi-Ore YtD'!$B:$B,$A184,'DB Costi-Ore YtD'!$E:$E,$C184)-SUM($D184:E184),0)</f>
        <v>1662.92</v>
      </c>
      <c r="G184">
        <f>IF((G$1*1)&lt;=MAX('DB Costi-Ore YtD'!$A:$A),SUMIFS('DB Costi-Ore YtD'!$G:$G,'DB Costi-Ore YtD'!$A:$A,G$1,'DB Costi-Ore YtD'!$B:$B,$A184,'DB Costi-Ore YtD'!$E:$E,$C184)-SUM($D184:F184),0)</f>
        <v>2484.4300000000003</v>
      </c>
      <c r="H184">
        <f>IF((H$1*1)&lt;=MAX('DB Costi-Ore YtD'!$A:$A),SUMIFS('DB Costi-Ore YtD'!$G:$G,'DB Costi-Ore YtD'!$A:$A,H$1,'DB Costi-Ore YtD'!$B:$B,$A184,'DB Costi-Ore YtD'!$E:$E,$C184)-SUM($D184:G184),0)</f>
        <v>2444.5200000000004</v>
      </c>
      <c r="I184">
        <f>IF((I$1*1)&lt;=MAX('DB Costi-Ore YtD'!$A:$A),SUMIFS('DB Costi-Ore YtD'!$G:$G,'DB Costi-Ore YtD'!$A:$A,I$1,'DB Costi-Ore YtD'!$B:$B,$A184,'DB Costi-Ore YtD'!$E:$E,$C184)-SUM($D184:H184),0)</f>
        <v>2212.0499999999993</v>
      </c>
      <c r="J184">
        <f>IF((J$1*1)&lt;=MAX('DB Costi-Ore YtD'!$A:$A),SUMIFS('DB Costi-Ore YtD'!$G:$G,'DB Costi-Ore YtD'!$A:$A,J$1,'DB Costi-Ore YtD'!$B:$B,$A184,'DB Costi-Ore YtD'!$E:$E,$C184)-SUM($D184:I184),0)</f>
        <v>0</v>
      </c>
      <c r="K184">
        <f>IF((K$1*1)&lt;=MAX('DB Costi-Ore YtD'!$A:$A),SUMIFS('DB Costi-Ore YtD'!$G:$G,'DB Costi-Ore YtD'!$A:$A,K$1,'DB Costi-Ore YtD'!$B:$B,$A184,'DB Costi-Ore YtD'!$E:$E,$C184)-SUM($D184:J184),0)</f>
        <v>0</v>
      </c>
      <c r="L184">
        <f>IF((L$1*1)&lt;=MAX('DB Costi-Ore YtD'!$A:$A),SUMIFS('DB Costi-Ore YtD'!$G:$G,'DB Costi-Ore YtD'!$A:$A,L$1,'DB Costi-Ore YtD'!$B:$B,$A184,'DB Costi-Ore YtD'!$E:$E,$C184)-SUM($D184:K184),0)</f>
        <v>0</v>
      </c>
      <c r="M184">
        <f>IF((M$1*1)&lt;=MAX('DB Costi-Ore YtD'!$A:$A),SUMIFS('DB Costi-Ore YtD'!$G:$G,'DB Costi-Ore YtD'!$A:$A,M$1,'DB Costi-Ore YtD'!$B:$B,$A184,'DB Costi-Ore YtD'!$E:$E,$C184)-SUM($D184:L184),0)</f>
        <v>0</v>
      </c>
      <c r="N184">
        <f>IF((N$1*1)&lt;=MAX('DB Costi-Ore YtD'!$A:$A),SUMIFS('DB Costi-Ore YtD'!$G:$G,'DB Costi-Ore YtD'!$A:$A,N$1,'DB Costi-Ore YtD'!$B:$B,$A184,'DB Costi-Ore YtD'!$E:$E,$C184)-SUM($D184:M184),0)</f>
        <v>0</v>
      </c>
      <c r="O184">
        <f>IF((O$1*1)&lt;=MAX('DB Costi-Ore YtD'!$A:$A),SUMIFS('DB Costi-Ore YtD'!$G:$G,'DB Costi-Ore YtD'!$A:$A,O$1,'DB Costi-Ore YtD'!$B:$B,$A184,'DB Costi-Ore YtD'!$E:$E,$C184)-SUM($D184:N184),0)</f>
        <v>0</v>
      </c>
    </row>
    <row r="185" spans="1:15" hidden="1" x14ac:dyDescent="0.3">
      <c r="A185" t="s">
        <v>386</v>
      </c>
      <c r="B185" t="s">
        <v>387</v>
      </c>
      <c r="C185" t="s">
        <v>2</v>
      </c>
      <c r="D185">
        <f>IF((D$1*1)&lt;=MAX('DB Costi-Ore YtD'!$A:$A),SUMIFS('DB Costi-Ore YtD'!$G:$G,'DB Costi-Ore YtD'!$A:$A,D$1,'DB Costi-Ore YtD'!$B:$B,$A185,'DB Costi-Ore YtD'!$E:$E,$C185),0)</f>
        <v>0</v>
      </c>
      <c r="E185">
        <f>IF((E$1*1)&lt;=MAX('DB Costi-Ore YtD'!$A:$A),SUMIFS('DB Costi-Ore YtD'!$G:$G,'DB Costi-Ore YtD'!$A:$A,E$1,'DB Costi-Ore YtD'!$B:$B,$A185,'DB Costi-Ore YtD'!$E:$E,$C185)-SUM($D185:D185),0)</f>
        <v>0</v>
      </c>
      <c r="F185">
        <f>IF((F$1*1)&lt;=MAX('DB Costi-Ore YtD'!$A:$A),SUMIFS('DB Costi-Ore YtD'!$G:$G,'DB Costi-Ore YtD'!$A:$A,F$1,'DB Costi-Ore YtD'!$B:$B,$A185,'DB Costi-Ore YtD'!$E:$E,$C185)-SUM($D185:E185),0)</f>
        <v>1101.54</v>
      </c>
      <c r="G185">
        <f>IF((G$1*1)&lt;=MAX('DB Costi-Ore YtD'!$A:$A),SUMIFS('DB Costi-Ore YtD'!$G:$G,'DB Costi-Ore YtD'!$A:$A,G$1,'DB Costi-Ore YtD'!$B:$B,$A185,'DB Costi-Ore YtD'!$E:$E,$C185)-SUM($D185:F185),0)</f>
        <v>2388.41</v>
      </c>
      <c r="H185">
        <f>IF((H$1*1)&lt;=MAX('DB Costi-Ore YtD'!$A:$A),SUMIFS('DB Costi-Ore YtD'!$G:$G,'DB Costi-Ore YtD'!$A:$A,H$1,'DB Costi-Ore YtD'!$B:$B,$A185,'DB Costi-Ore YtD'!$E:$E,$C185)-SUM($D185:G185),0)</f>
        <v>2390.2200000000003</v>
      </c>
      <c r="I185">
        <f>IF((I$1*1)&lt;=MAX('DB Costi-Ore YtD'!$A:$A),SUMIFS('DB Costi-Ore YtD'!$G:$G,'DB Costi-Ore YtD'!$A:$A,I$1,'DB Costi-Ore YtD'!$B:$B,$A185,'DB Costi-Ore YtD'!$E:$E,$C185)-SUM($D185:H185),0)</f>
        <v>2226.0099999999993</v>
      </c>
      <c r="J185">
        <f>IF((J$1*1)&lt;=MAX('DB Costi-Ore YtD'!$A:$A),SUMIFS('DB Costi-Ore YtD'!$G:$G,'DB Costi-Ore YtD'!$A:$A,J$1,'DB Costi-Ore YtD'!$B:$B,$A185,'DB Costi-Ore YtD'!$E:$E,$C185)-SUM($D185:I185),0)</f>
        <v>0</v>
      </c>
      <c r="K185">
        <f>IF((K$1*1)&lt;=MAX('DB Costi-Ore YtD'!$A:$A),SUMIFS('DB Costi-Ore YtD'!$G:$G,'DB Costi-Ore YtD'!$A:$A,K$1,'DB Costi-Ore YtD'!$B:$B,$A185,'DB Costi-Ore YtD'!$E:$E,$C185)-SUM($D185:J185),0)</f>
        <v>0</v>
      </c>
      <c r="L185">
        <f>IF((L$1*1)&lt;=MAX('DB Costi-Ore YtD'!$A:$A),SUMIFS('DB Costi-Ore YtD'!$G:$G,'DB Costi-Ore YtD'!$A:$A,L$1,'DB Costi-Ore YtD'!$B:$B,$A185,'DB Costi-Ore YtD'!$E:$E,$C185)-SUM($D185:K185),0)</f>
        <v>0</v>
      </c>
      <c r="M185">
        <f>IF((M$1*1)&lt;=MAX('DB Costi-Ore YtD'!$A:$A),SUMIFS('DB Costi-Ore YtD'!$G:$G,'DB Costi-Ore YtD'!$A:$A,M$1,'DB Costi-Ore YtD'!$B:$B,$A185,'DB Costi-Ore YtD'!$E:$E,$C185)-SUM($D185:L185),0)</f>
        <v>0</v>
      </c>
      <c r="N185">
        <f>IF((N$1*1)&lt;=MAX('DB Costi-Ore YtD'!$A:$A),SUMIFS('DB Costi-Ore YtD'!$G:$G,'DB Costi-Ore YtD'!$A:$A,N$1,'DB Costi-Ore YtD'!$B:$B,$A185,'DB Costi-Ore YtD'!$E:$E,$C185)-SUM($D185:M185),0)</f>
        <v>0</v>
      </c>
      <c r="O185">
        <f>IF((O$1*1)&lt;=MAX('DB Costi-Ore YtD'!$A:$A),SUMIFS('DB Costi-Ore YtD'!$G:$G,'DB Costi-Ore YtD'!$A:$A,O$1,'DB Costi-Ore YtD'!$B:$B,$A185,'DB Costi-Ore YtD'!$E:$E,$C185)-SUM($D185:N185),0)</f>
        <v>0</v>
      </c>
    </row>
    <row r="186" spans="1:15" hidden="1" x14ac:dyDescent="0.3">
      <c r="A186" t="s">
        <v>388</v>
      </c>
      <c r="B186" t="s">
        <v>389</v>
      </c>
      <c r="C186" t="s">
        <v>2</v>
      </c>
      <c r="D186">
        <f>IF((D$1*1)&lt;=MAX('DB Costi-Ore YtD'!$A:$A),SUMIFS('DB Costi-Ore YtD'!$G:$G,'DB Costi-Ore YtD'!$A:$A,D$1,'DB Costi-Ore YtD'!$B:$B,$A186,'DB Costi-Ore YtD'!$E:$E,$C186),0)</f>
        <v>0</v>
      </c>
      <c r="E186">
        <f>IF((E$1*1)&lt;=MAX('DB Costi-Ore YtD'!$A:$A),SUMIFS('DB Costi-Ore YtD'!$G:$G,'DB Costi-Ore YtD'!$A:$A,E$1,'DB Costi-Ore YtD'!$B:$B,$A186,'DB Costi-Ore YtD'!$E:$E,$C186)-SUM($D186:D186),0)</f>
        <v>0</v>
      </c>
      <c r="F186">
        <f>IF((F$1*1)&lt;=MAX('DB Costi-Ore YtD'!$A:$A),SUMIFS('DB Costi-Ore YtD'!$G:$G,'DB Costi-Ore YtD'!$A:$A,F$1,'DB Costi-Ore YtD'!$B:$B,$A186,'DB Costi-Ore YtD'!$E:$E,$C186)-SUM($D186:E186),0)</f>
        <v>386.23</v>
      </c>
      <c r="G186">
        <f>IF((G$1*1)&lt;=MAX('DB Costi-Ore YtD'!$A:$A),SUMIFS('DB Costi-Ore YtD'!$G:$G,'DB Costi-Ore YtD'!$A:$A,G$1,'DB Costi-Ore YtD'!$B:$B,$A186,'DB Costi-Ore YtD'!$E:$E,$C186)-SUM($D186:F186),0)</f>
        <v>1674.0700000000002</v>
      </c>
      <c r="H186">
        <f>IF((H$1*1)&lt;=MAX('DB Costi-Ore YtD'!$A:$A),SUMIFS('DB Costi-Ore YtD'!$G:$G,'DB Costi-Ore YtD'!$A:$A,H$1,'DB Costi-Ore YtD'!$B:$B,$A186,'DB Costi-Ore YtD'!$E:$E,$C186)-SUM($D186:G186),0)</f>
        <v>1743.9900000000002</v>
      </c>
      <c r="I186">
        <f>IF((I$1*1)&lt;=MAX('DB Costi-Ore YtD'!$A:$A),SUMIFS('DB Costi-Ore YtD'!$G:$G,'DB Costi-Ore YtD'!$A:$A,I$1,'DB Costi-Ore YtD'!$B:$B,$A186,'DB Costi-Ore YtD'!$E:$E,$C186)-SUM($D186:H186),0)</f>
        <v>1636.8700000000003</v>
      </c>
      <c r="J186">
        <f>IF((J$1*1)&lt;=MAX('DB Costi-Ore YtD'!$A:$A),SUMIFS('DB Costi-Ore YtD'!$G:$G,'DB Costi-Ore YtD'!$A:$A,J$1,'DB Costi-Ore YtD'!$B:$B,$A186,'DB Costi-Ore YtD'!$E:$E,$C186)-SUM($D186:I186),0)</f>
        <v>0</v>
      </c>
      <c r="K186">
        <f>IF((K$1*1)&lt;=MAX('DB Costi-Ore YtD'!$A:$A),SUMIFS('DB Costi-Ore YtD'!$G:$G,'DB Costi-Ore YtD'!$A:$A,K$1,'DB Costi-Ore YtD'!$B:$B,$A186,'DB Costi-Ore YtD'!$E:$E,$C186)-SUM($D186:J186),0)</f>
        <v>0</v>
      </c>
      <c r="L186">
        <f>IF((L$1*1)&lt;=MAX('DB Costi-Ore YtD'!$A:$A),SUMIFS('DB Costi-Ore YtD'!$G:$G,'DB Costi-Ore YtD'!$A:$A,L$1,'DB Costi-Ore YtD'!$B:$B,$A186,'DB Costi-Ore YtD'!$E:$E,$C186)-SUM($D186:K186),0)</f>
        <v>0</v>
      </c>
      <c r="M186">
        <f>IF((M$1*1)&lt;=MAX('DB Costi-Ore YtD'!$A:$A),SUMIFS('DB Costi-Ore YtD'!$G:$G,'DB Costi-Ore YtD'!$A:$A,M$1,'DB Costi-Ore YtD'!$B:$B,$A186,'DB Costi-Ore YtD'!$E:$E,$C186)-SUM($D186:L186),0)</f>
        <v>0</v>
      </c>
      <c r="N186">
        <f>IF((N$1*1)&lt;=MAX('DB Costi-Ore YtD'!$A:$A),SUMIFS('DB Costi-Ore YtD'!$G:$G,'DB Costi-Ore YtD'!$A:$A,N$1,'DB Costi-Ore YtD'!$B:$B,$A186,'DB Costi-Ore YtD'!$E:$E,$C186)-SUM($D186:M186),0)</f>
        <v>0</v>
      </c>
      <c r="O186">
        <f>IF((O$1*1)&lt;=MAX('DB Costi-Ore YtD'!$A:$A),SUMIFS('DB Costi-Ore YtD'!$G:$G,'DB Costi-Ore YtD'!$A:$A,O$1,'DB Costi-Ore YtD'!$B:$B,$A186,'DB Costi-Ore YtD'!$E:$E,$C186)-SUM($D186:N186),0)</f>
        <v>0</v>
      </c>
    </row>
    <row r="187" spans="1:15" hidden="1" x14ac:dyDescent="0.3">
      <c r="A187" t="s">
        <v>390</v>
      </c>
      <c r="B187" t="s">
        <v>391</v>
      </c>
      <c r="C187" t="s">
        <v>3</v>
      </c>
      <c r="D187">
        <f>IF((D$1*1)&lt;=MAX('DB Costi-Ore YtD'!$A:$A),SUMIFS('DB Costi-Ore YtD'!$G:$G,'DB Costi-Ore YtD'!$A:$A,D$1,'DB Costi-Ore YtD'!$B:$B,$A187,'DB Costi-Ore YtD'!$E:$E,$C187),0)</f>
        <v>0</v>
      </c>
      <c r="E187">
        <f>IF((E$1*1)&lt;=MAX('DB Costi-Ore YtD'!$A:$A),SUMIFS('DB Costi-Ore YtD'!$G:$G,'DB Costi-Ore YtD'!$A:$A,E$1,'DB Costi-Ore YtD'!$B:$B,$A187,'DB Costi-Ore YtD'!$E:$E,$C187)-SUM($D187:D187),0)</f>
        <v>0</v>
      </c>
      <c r="F187">
        <f>IF((F$1*1)&lt;=MAX('DB Costi-Ore YtD'!$A:$A),SUMIFS('DB Costi-Ore YtD'!$G:$G,'DB Costi-Ore YtD'!$A:$A,F$1,'DB Costi-Ore YtD'!$B:$B,$A187,'DB Costi-Ore YtD'!$E:$E,$C187)-SUM($D187:E187),0)</f>
        <v>256.95000000000005</v>
      </c>
      <c r="G187">
        <f>IF((G$1*1)&lt;=MAX('DB Costi-Ore YtD'!$A:$A),SUMIFS('DB Costi-Ore YtD'!$G:$G,'DB Costi-Ore YtD'!$A:$A,G$1,'DB Costi-Ore YtD'!$B:$B,$A187,'DB Costi-Ore YtD'!$E:$E,$C187)-SUM($D187:F187),0)</f>
        <v>1625.43</v>
      </c>
      <c r="H187">
        <f>IF((H$1*1)&lt;=MAX('DB Costi-Ore YtD'!$A:$A),SUMIFS('DB Costi-Ore YtD'!$G:$G,'DB Costi-Ore YtD'!$A:$A,H$1,'DB Costi-Ore YtD'!$B:$B,$A187,'DB Costi-Ore YtD'!$E:$E,$C187)-SUM($D187:G187),0)</f>
        <v>1724.56</v>
      </c>
      <c r="I187">
        <f>IF((I$1*1)&lt;=MAX('DB Costi-Ore YtD'!$A:$A),SUMIFS('DB Costi-Ore YtD'!$G:$G,'DB Costi-Ore YtD'!$A:$A,I$1,'DB Costi-Ore YtD'!$B:$B,$A187,'DB Costi-Ore YtD'!$E:$E,$C187)-SUM($D187:H187),0)</f>
        <v>1559.23</v>
      </c>
      <c r="J187">
        <f>IF((J$1*1)&lt;=MAX('DB Costi-Ore YtD'!$A:$A),SUMIFS('DB Costi-Ore YtD'!$G:$G,'DB Costi-Ore YtD'!$A:$A,J$1,'DB Costi-Ore YtD'!$B:$B,$A187,'DB Costi-Ore YtD'!$E:$E,$C187)-SUM($D187:I187),0)</f>
        <v>0</v>
      </c>
      <c r="K187">
        <f>IF((K$1*1)&lt;=MAX('DB Costi-Ore YtD'!$A:$A),SUMIFS('DB Costi-Ore YtD'!$G:$G,'DB Costi-Ore YtD'!$A:$A,K$1,'DB Costi-Ore YtD'!$B:$B,$A187,'DB Costi-Ore YtD'!$E:$E,$C187)-SUM($D187:J187),0)</f>
        <v>0</v>
      </c>
      <c r="L187">
        <f>IF((L$1*1)&lt;=MAX('DB Costi-Ore YtD'!$A:$A),SUMIFS('DB Costi-Ore YtD'!$G:$G,'DB Costi-Ore YtD'!$A:$A,L$1,'DB Costi-Ore YtD'!$B:$B,$A187,'DB Costi-Ore YtD'!$E:$E,$C187)-SUM($D187:K187),0)</f>
        <v>0</v>
      </c>
      <c r="M187">
        <f>IF((M$1*1)&lt;=MAX('DB Costi-Ore YtD'!$A:$A),SUMIFS('DB Costi-Ore YtD'!$G:$G,'DB Costi-Ore YtD'!$A:$A,M$1,'DB Costi-Ore YtD'!$B:$B,$A187,'DB Costi-Ore YtD'!$E:$E,$C187)-SUM($D187:L187),0)</f>
        <v>0</v>
      </c>
      <c r="N187">
        <f>IF((N$1*1)&lt;=MAX('DB Costi-Ore YtD'!$A:$A),SUMIFS('DB Costi-Ore YtD'!$G:$G,'DB Costi-Ore YtD'!$A:$A,N$1,'DB Costi-Ore YtD'!$B:$B,$A187,'DB Costi-Ore YtD'!$E:$E,$C187)-SUM($D187:M187),0)</f>
        <v>0</v>
      </c>
      <c r="O187">
        <f>IF((O$1*1)&lt;=MAX('DB Costi-Ore YtD'!$A:$A),SUMIFS('DB Costi-Ore YtD'!$G:$G,'DB Costi-Ore YtD'!$A:$A,O$1,'DB Costi-Ore YtD'!$B:$B,$A187,'DB Costi-Ore YtD'!$E:$E,$C187)-SUM($D187:N187),0)</f>
        <v>0</v>
      </c>
    </row>
    <row r="188" spans="1:15" hidden="1" x14ac:dyDescent="0.3">
      <c r="A188" t="s">
        <v>392</v>
      </c>
      <c r="B188" t="s">
        <v>393</v>
      </c>
      <c r="C188" t="s">
        <v>2</v>
      </c>
      <c r="D188">
        <f>IF((D$1*1)&lt;=MAX('DB Costi-Ore YtD'!$A:$A),SUMIFS('DB Costi-Ore YtD'!$G:$G,'DB Costi-Ore YtD'!$A:$A,D$1,'DB Costi-Ore YtD'!$B:$B,$A188,'DB Costi-Ore YtD'!$E:$E,$C188),0)</f>
        <v>0</v>
      </c>
      <c r="E188">
        <f>IF((E$1*1)&lt;=MAX('DB Costi-Ore YtD'!$A:$A),SUMIFS('DB Costi-Ore YtD'!$G:$G,'DB Costi-Ore YtD'!$A:$A,E$1,'DB Costi-Ore YtD'!$B:$B,$A188,'DB Costi-Ore YtD'!$E:$E,$C188)-SUM($D188:D188),0)</f>
        <v>0</v>
      </c>
      <c r="F188">
        <f>IF((F$1*1)&lt;=MAX('DB Costi-Ore YtD'!$A:$A),SUMIFS('DB Costi-Ore YtD'!$G:$G,'DB Costi-Ore YtD'!$A:$A,F$1,'DB Costi-Ore YtD'!$B:$B,$A188,'DB Costi-Ore YtD'!$E:$E,$C188)-SUM($D188:E188),0)</f>
        <v>210.20999999999998</v>
      </c>
      <c r="G188">
        <f>IF((G$1*1)&lt;=MAX('DB Costi-Ore YtD'!$A:$A),SUMIFS('DB Costi-Ore YtD'!$G:$G,'DB Costi-Ore YtD'!$A:$A,G$1,'DB Costi-Ore YtD'!$B:$B,$A188,'DB Costi-Ore YtD'!$E:$E,$C188)-SUM($D188:F188),0)</f>
        <v>993.75</v>
      </c>
      <c r="H188">
        <f>IF((H$1*1)&lt;=MAX('DB Costi-Ore YtD'!$A:$A),SUMIFS('DB Costi-Ore YtD'!$G:$G,'DB Costi-Ore YtD'!$A:$A,H$1,'DB Costi-Ore YtD'!$B:$B,$A188,'DB Costi-Ore YtD'!$E:$E,$C188)-SUM($D188:G188),0)</f>
        <v>907.00999999999976</v>
      </c>
      <c r="I188">
        <f>IF((I$1*1)&lt;=MAX('DB Costi-Ore YtD'!$A:$A),SUMIFS('DB Costi-Ore YtD'!$G:$G,'DB Costi-Ore YtD'!$A:$A,I$1,'DB Costi-Ore YtD'!$B:$B,$A188,'DB Costi-Ore YtD'!$E:$E,$C188)-SUM($D188:H188),0)</f>
        <v>908.08000000000038</v>
      </c>
      <c r="J188">
        <f>IF((J$1*1)&lt;=MAX('DB Costi-Ore YtD'!$A:$A),SUMIFS('DB Costi-Ore YtD'!$G:$G,'DB Costi-Ore YtD'!$A:$A,J$1,'DB Costi-Ore YtD'!$B:$B,$A188,'DB Costi-Ore YtD'!$E:$E,$C188)-SUM($D188:I188),0)</f>
        <v>0</v>
      </c>
      <c r="K188">
        <f>IF((K$1*1)&lt;=MAX('DB Costi-Ore YtD'!$A:$A),SUMIFS('DB Costi-Ore YtD'!$G:$G,'DB Costi-Ore YtD'!$A:$A,K$1,'DB Costi-Ore YtD'!$B:$B,$A188,'DB Costi-Ore YtD'!$E:$E,$C188)-SUM($D188:J188),0)</f>
        <v>0</v>
      </c>
      <c r="L188">
        <f>IF((L$1*1)&lt;=MAX('DB Costi-Ore YtD'!$A:$A),SUMIFS('DB Costi-Ore YtD'!$G:$G,'DB Costi-Ore YtD'!$A:$A,L$1,'DB Costi-Ore YtD'!$B:$B,$A188,'DB Costi-Ore YtD'!$E:$E,$C188)-SUM($D188:K188),0)</f>
        <v>0</v>
      </c>
      <c r="M188">
        <f>IF((M$1*1)&lt;=MAX('DB Costi-Ore YtD'!$A:$A),SUMIFS('DB Costi-Ore YtD'!$G:$G,'DB Costi-Ore YtD'!$A:$A,M$1,'DB Costi-Ore YtD'!$B:$B,$A188,'DB Costi-Ore YtD'!$E:$E,$C188)-SUM($D188:L188),0)</f>
        <v>0</v>
      </c>
      <c r="N188">
        <f>IF((N$1*1)&lt;=MAX('DB Costi-Ore YtD'!$A:$A),SUMIFS('DB Costi-Ore YtD'!$G:$G,'DB Costi-Ore YtD'!$A:$A,N$1,'DB Costi-Ore YtD'!$B:$B,$A188,'DB Costi-Ore YtD'!$E:$E,$C188)-SUM($D188:M188),0)</f>
        <v>0</v>
      </c>
      <c r="O188">
        <f>IF((O$1*1)&lt;=MAX('DB Costi-Ore YtD'!$A:$A),SUMIFS('DB Costi-Ore YtD'!$G:$G,'DB Costi-Ore YtD'!$A:$A,O$1,'DB Costi-Ore YtD'!$B:$B,$A188,'DB Costi-Ore YtD'!$E:$E,$C188)-SUM($D188:N188),0)</f>
        <v>0</v>
      </c>
    </row>
    <row r="189" spans="1:15" hidden="1" x14ac:dyDescent="0.3">
      <c r="A189" t="s">
        <v>394</v>
      </c>
      <c r="B189" t="s">
        <v>395</v>
      </c>
      <c r="C189" t="s">
        <v>2</v>
      </c>
      <c r="D189">
        <f>IF((D$1*1)&lt;=MAX('DB Costi-Ore YtD'!$A:$A),SUMIFS('DB Costi-Ore YtD'!$G:$G,'DB Costi-Ore YtD'!$A:$A,D$1,'DB Costi-Ore YtD'!$B:$B,$A189,'DB Costi-Ore YtD'!$E:$E,$C189),0)</f>
        <v>0</v>
      </c>
      <c r="E189">
        <f>IF((E$1*1)&lt;=MAX('DB Costi-Ore YtD'!$A:$A),SUMIFS('DB Costi-Ore YtD'!$G:$G,'DB Costi-Ore YtD'!$A:$A,E$1,'DB Costi-Ore YtD'!$B:$B,$A189,'DB Costi-Ore YtD'!$E:$E,$C189)-SUM($D189:D189),0)</f>
        <v>0</v>
      </c>
      <c r="F189">
        <f>IF((F$1*1)&lt;=MAX('DB Costi-Ore YtD'!$A:$A),SUMIFS('DB Costi-Ore YtD'!$G:$G,'DB Costi-Ore YtD'!$A:$A,F$1,'DB Costi-Ore YtD'!$B:$B,$A189,'DB Costi-Ore YtD'!$E:$E,$C189)-SUM($D189:E189),0)</f>
        <v>214.33</v>
      </c>
      <c r="G189">
        <f>IF((G$1*1)&lt;=MAX('DB Costi-Ore YtD'!$A:$A),SUMIFS('DB Costi-Ore YtD'!$G:$G,'DB Costi-Ore YtD'!$A:$A,G$1,'DB Costi-Ore YtD'!$B:$B,$A189,'DB Costi-Ore YtD'!$E:$E,$C189)-SUM($D189:F189),0)</f>
        <v>1576.48</v>
      </c>
      <c r="H189">
        <f>IF((H$1*1)&lt;=MAX('DB Costi-Ore YtD'!$A:$A),SUMIFS('DB Costi-Ore YtD'!$G:$G,'DB Costi-Ore YtD'!$A:$A,H$1,'DB Costi-Ore YtD'!$B:$B,$A189,'DB Costi-Ore YtD'!$E:$E,$C189)-SUM($D189:G189),0)</f>
        <v>1731.67</v>
      </c>
      <c r="I189">
        <f>IF((I$1*1)&lt;=MAX('DB Costi-Ore YtD'!$A:$A),SUMIFS('DB Costi-Ore YtD'!$G:$G,'DB Costi-Ore YtD'!$A:$A,I$1,'DB Costi-Ore YtD'!$B:$B,$A189,'DB Costi-Ore YtD'!$E:$E,$C189)-SUM($D189:H189),0)</f>
        <v>1723.3300000000004</v>
      </c>
      <c r="J189">
        <f>IF((J$1*1)&lt;=MAX('DB Costi-Ore YtD'!$A:$A),SUMIFS('DB Costi-Ore YtD'!$G:$G,'DB Costi-Ore YtD'!$A:$A,J$1,'DB Costi-Ore YtD'!$B:$B,$A189,'DB Costi-Ore YtD'!$E:$E,$C189)-SUM($D189:I189),0)</f>
        <v>0</v>
      </c>
      <c r="K189">
        <f>IF((K$1*1)&lt;=MAX('DB Costi-Ore YtD'!$A:$A),SUMIFS('DB Costi-Ore YtD'!$G:$G,'DB Costi-Ore YtD'!$A:$A,K$1,'DB Costi-Ore YtD'!$B:$B,$A189,'DB Costi-Ore YtD'!$E:$E,$C189)-SUM($D189:J189),0)</f>
        <v>0</v>
      </c>
      <c r="L189">
        <f>IF((L$1*1)&lt;=MAX('DB Costi-Ore YtD'!$A:$A),SUMIFS('DB Costi-Ore YtD'!$G:$G,'DB Costi-Ore YtD'!$A:$A,L$1,'DB Costi-Ore YtD'!$B:$B,$A189,'DB Costi-Ore YtD'!$E:$E,$C189)-SUM($D189:K189),0)</f>
        <v>0</v>
      </c>
      <c r="M189">
        <f>IF((M$1*1)&lt;=MAX('DB Costi-Ore YtD'!$A:$A),SUMIFS('DB Costi-Ore YtD'!$G:$G,'DB Costi-Ore YtD'!$A:$A,M$1,'DB Costi-Ore YtD'!$B:$B,$A189,'DB Costi-Ore YtD'!$E:$E,$C189)-SUM($D189:L189),0)</f>
        <v>0</v>
      </c>
      <c r="N189">
        <f>IF((N$1*1)&lt;=MAX('DB Costi-Ore YtD'!$A:$A),SUMIFS('DB Costi-Ore YtD'!$G:$G,'DB Costi-Ore YtD'!$A:$A,N$1,'DB Costi-Ore YtD'!$B:$B,$A189,'DB Costi-Ore YtD'!$E:$E,$C189)-SUM($D189:M189),0)</f>
        <v>0</v>
      </c>
      <c r="O189">
        <f>IF((O$1*1)&lt;=MAX('DB Costi-Ore YtD'!$A:$A),SUMIFS('DB Costi-Ore YtD'!$G:$G,'DB Costi-Ore YtD'!$A:$A,O$1,'DB Costi-Ore YtD'!$B:$B,$A189,'DB Costi-Ore YtD'!$E:$E,$C189)-SUM($D189:N189),0)</f>
        <v>0</v>
      </c>
    </row>
    <row r="190" spans="1:15" hidden="1" x14ac:dyDescent="0.3">
      <c r="A190" t="s">
        <v>396</v>
      </c>
      <c r="B190" t="s">
        <v>360</v>
      </c>
      <c r="C190" t="s">
        <v>3</v>
      </c>
      <c r="D190">
        <f>IF((D$1*1)&lt;=MAX('DB Costi-Ore YtD'!$A:$A),SUMIFS('DB Costi-Ore YtD'!$G:$G,'DB Costi-Ore YtD'!$A:$A,D$1,'DB Costi-Ore YtD'!$B:$B,$A190,'DB Costi-Ore YtD'!$E:$E,$C190),0)</f>
        <v>0</v>
      </c>
      <c r="E190">
        <f>IF((E$1*1)&lt;=MAX('DB Costi-Ore YtD'!$A:$A),SUMIFS('DB Costi-Ore YtD'!$G:$G,'DB Costi-Ore YtD'!$A:$A,E$1,'DB Costi-Ore YtD'!$B:$B,$A190,'DB Costi-Ore YtD'!$E:$E,$C190)-SUM($D190:D190),0)</f>
        <v>0</v>
      </c>
      <c r="F190">
        <f>IF((F$1*1)&lt;=MAX('DB Costi-Ore YtD'!$A:$A),SUMIFS('DB Costi-Ore YtD'!$G:$G,'DB Costi-Ore YtD'!$A:$A,F$1,'DB Costi-Ore YtD'!$B:$B,$A190,'DB Costi-Ore YtD'!$E:$E,$C190)-SUM($D190:E190),0)</f>
        <v>244.72</v>
      </c>
      <c r="G190">
        <f>IF((G$1*1)&lt;=MAX('DB Costi-Ore YtD'!$A:$A),SUMIFS('DB Costi-Ore YtD'!$G:$G,'DB Costi-Ore YtD'!$A:$A,G$1,'DB Costi-Ore YtD'!$B:$B,$A190,'DB Costi-Ore YtD'!$E:$E,$C190)-SUM($D190:F190),0)</f>
        <v>1259.94</v>
      </c>
      <c r="H190">
        <f>IF((H$1*1)&lt;=MAX('DB Costi-Ore YtD'!$A:$A),SUMIFS('DB Costi-Ore YtD'!$G:$G,'DB Costi-Ore YtD'!$A:$A,H$1,'DB Costi-Ore YtD'!$B:$B,$A190,'DB Costi-Ore YtD'!$E:$E,$C190)-SUM($D190:G190),0)</f>
        <v>1306.8500000000001</v>
      </c>
      <c r="I190">
        <f>IF((I$1*1)&lt;=MAX('DB Costi-Ore YtD'!$A:$A),SUMIFS('DB Costi-Ore YtD'!$G:$G,'DB Costi-Ore YtD'!$A:$A,I$1,'DB Costi-Ore YtD'!$B:$B,$A190,'DB Costi-Ore YtD'!$E:$E,$C190)-SUM($D190:H190),0)</f>
        <v>1352.1800000000003</v>
      </c>
      <c r="J190">
        <f>IF((J$1*1)&lt;=MAX('DB Costi-Ore YtD'!$A:$A),SUMIFS('DB Costi-Ore YtD'!$G:$G,'DB Costi-Ore YtD'!$A:$A,J$1,'DB Costi-Ore YtD'!$B:$B,$A190,'DB Costi-Ore YtD'!$E:$E,$C190)-SUM($D190:I190),0)</f>
        <v>0</v>
      </c>
      <c r="K190">
        <f>IF((K$1*1)&lt;=MAX('DB Costi-Ore YtD'!$A:$A),SUMIFS('DB Costi-Ore YtD'!$G:$G,'DB Costi-Ore YtD'!$A:$A,K$1,'DB Costi-Ore YtD'!$B:$B,$A190,'DB Costi-Ore YtD'!$E:$E,$C190)-SUM($D190:J190),0)</f>
        <v>0</v>
      </c>
      <c r="L190">
        <f>IF((L$1*1)&lt;=MAX('DB Costi-Ore YtD'!$A:$A),SUMIFS('DB Costi-Ore YtD'!$G:$G,'DB Costi-Ore YtD'!$A:$A,L$1,'DB Costi-Ore YtD'!$B:$B,$A190,'DB Costi-Ore YtD'!$E:$E,$C190)-SUM($D190:K190),0)</f>
        <v>0</v>
      </c>
      <c r="M190">
        <f>IF((M$1*1)&lt;=MAX('DB Costi-Ore YtD'!$A:$A),SUMIFS('DB Costi-Ore YtD'!$G:$G,'DB Costi-Ore YtD'!$A:$A,M$1,'DB Costi-Ore YtD'!$B:$B,$A190,'DB Costi-Ore YtD'!$E:$E,$C190)-SUM($D190:L190),0)</f>
        <v>0</v>
      </c>
      <c r="N190">
        <f>IF((N$1*1)&lt;=MAX('DB Costi-Ore YtD'!$A:$A),SUMIFS('DB Costi-Ore YtD'!$G:$G,'DB Costi-Ore YtD'!$A:$A,N$1,'DB Costi-Ore YtD'!$B:$B,$A190,'DB Costi-Ore YtD'!$E:$E,$C190)-SUM($D190:M190),0)</f>
        <v>0</v>
      </c>
      <c r="O190">
        <f>IF((O$1*1)&lt;=MAX('DB Costi-Ore YtD'!$A:$A),SUMIFS('DB Costi-Ore YtD'!$G:$G,'DB Costi-Ore YtD'!$A:$A,O$1,'DB Costi-Ore YtD'!$B:$B,$A190,'DB Costi-Ore YtD'!$E:$E,$C190)-SUM($D190:N190),0)</f>
        <v>0</v>
      </c>
    </row>
    <row r="191" spans="1:15" hidden="1" x14ac:dyDescent="0.3">
      <c r="A191" t="s">
        <v>397</v>
      </c>
      <c r="B191" t="s">
        <v>398</v>
      </c>
      <c r="C191" t="s">
        <v>12</v>
      </c>
      <c r="D191">
        <f>IF((D$1*1)&lt;=MAX('DB Costi-Ore YtD'!$A:$A),SUMIFS('DB Costi-Ore YtD'!$G:$G,'DB Costi-Ore YtD'!$A:$A,D$1,'DB Costi-Ore YtD'!$B:$B,$A191,'DB Costi-Ore YtD'!$E:$E,$C191),0)</f>
        <v>0</v>
      </c>
      <c r="E191">
        <f>IF((E$1*1)&lt;=MAX('DB Costi-Ore YtD'!$A:$A),SUMIFS('DB Costi-Ore YtD'!$G:$G,'DB Costi-Ore YtD'!$A:$A,E$1,'DB Costi-Ore YtD'!$B:$B,$A191,'DB Costi-Ore YtD'!$E:$E,$C191)-SUM($D191:D191),0)</f>
        <v>0</v>
      </c>
      <c r="F191">
        <f>IF((F$1*1)&lt;=MAX('DB Costi-Ore YtD'!$A:$A),SUMIFS('DB Costi-Ore YtD'!$G:$G,'DB Costi-Ore YtD'!$A:$A,F$1,'DB Costi-Ore YtD'!$B:$B,$A191,'DB Costi-Ore YtD'!$E:$E,$C191)-SUM($D191:E191),0)</f>
        <v>106.82</v>
      </c>
      <c r="G191">
        <f>IF((G$1*1)&lt;=MAX('DB Costi-Ore YtD'!$A:$A),SUMIFS('DB Costi-Ore YtD'!$G:$G,'DB Costi-Ore YtD'!$A:$A,G$1,'DB Costi-Ore YtD'!$B:$B,$A191,'DB Costi-Ore YtD'!$E:$E,$C191)-SUM($D191:F191),0)</f>
        <v>456.46999999999997</v>
      </c>
      <c r="H191">
        <f>IF((H$1*1)&lt;=MAX('DB Costi-Ore YtD'!$A:$A),SUMIFS('DB Costi-Ore YtD'!$G:$G,'DB Costi-Ore YtD'!$A:$A,H$1,'DB Costi-Ore YtD'!$B:$B,$A191,'DB Costi-Ore YtD'!$E:$E,$C191)-SUM($D191:G191),0)</f>
        <v>456.47</v>
      </c>
      <c r="I191">
        <f>IF((I$1*1)&lt;=MAX('DB Costi-Ore YtD'!$A:$A),SUMIFS('DB Costi-Ore YtD'!$G:$G,'DB Costi-Ore YtD'!$A:$A,I$1,'DB Costi-Ore YtD'!$B:$B,$A191,'DB Costi-Ore YtD'!$E:$E,$C191)-SUM($D191:H191),0)</f>
        <v>456.47</v>
      </c>
      <c r="J191">
        <f>IF((J$1*1)&lt;=MAX('DB Costi-Ore YtD'!$A:$A),SUMIFS('DB Costi-Ore YtD'!$G:$G,'DB Costi-Ore YtD'!$A:$A,J$1,'DB Costi-Ore YtD'!$B:$B,$A191,'DB Costi-Ore YtD'!$E:$E,$C191)-SUM($D191:I191),0)</f>
        <v>0</v>
      </c>
      <c r="K191">
        <f>IF((K$1*1)&lt;=MAX('DB Costi-Ore YtD'!$A:$A),SUMIFS('DB Costi-Ore YtD'!$G:$G,'DB Costi-Ore YtD'!$A:$A,K$1,'DB Costi-Ore YtD'!$B:$B,$A191,'DB Costi-Ore YtD'!$E:$E,$C191)-SUM($D191:J191),0)</f>
        <v>0</v>
      </c>
      <c r="L191">
        <f>IF((L$1*1)&lt;=MAX('DB Costi-Ore YtD'!$A:$A),SUMIFS('DB Costi-Ore YtD'!$G:$G,'DB Costi-Ore YtD'!$A:$A,L$1,'DB Costi-Ore YtD'!$B:$B,$A191,'DB Costi-Ore YtD'!$E:$E,$C191)-SUM($D191:K191),0)</f>
        <v>0</v>
      </c>
      <c r="M191">
        <f>IF((M$1*1)&lt;=MAX('DB Costi-Ore YtD'!$A:$A),SUMIFS('DB Costi-Ore YtD'!$G:$G,'DB Costi-Ore YtD'!$A:$A,M$1,'DB Costi-Ore YtD'!$B:$B,$A191,'DB Costi-Ore YtD'!$E:$E,$C191)-SUM($D191:L191),0)</f>
        <v>0</v>
      </c>
      <c r="N191">
        <f>IF((N$1*1)&lt;=MAX('DB Costi-Ore YtD'!$A:$A),SUMIFS('DB Costi-Ore YtD'!$G:$G,'DB Costi-Ore YtD'!$A:$A,N$1,'DB Costi-Ore YtD'!$B:$B,$A191,'DB Costi-Ore YtD'!$E:$E,$C191)-SUM($D191:M191),0)</f>
        <v>0</v>
      </c>
      <c r="O191">
        <f>IF((O$1*1)&lt;=MAX('DB Costi-Ore YtD'!$A:$A),SUMIFS('DB Costi-Ore YtD'!$G:$G,'DB Costi-Ore YtD'!$A:$A,O$1,'DB Costi-Ore YtD'!$B:$B,$A191,'DB Costi-Ore YtD'!$E:$E,$C191)-SUM($D191:N191),0)</f>
        <v>0</v>
      </c>
    </row>
    <row r="192" spans="1:15" hidden="1" x14ac:dyDescent="0.3">
      <c r="A192" t="s">
        <v>399</v>
      </c>
      <c r="B192" t="s">
        <v>400</v>
      </c>
      <c r="C192" t="s">
        <v>12</v>
      </c>
      <c r="D192">
        <f>IF((D$1*1)&lt;=MAX('DB Costi-Ore YtD'!$A:$A),SUMIFS('DB Costi-Ore YtD'!$G:$G,'DB Costi-Ore YtD'!$A:$A,D$1,'DB Costi-Ore YtD'!$B:$B,$A192,'DB Costi-Ore YtD'!$E:$E,$C192),0)</f>
        <v>0</v>
      </c>
      <c r="E192">
        <f>IF((E$1*1)&lt;=MAX('DB Costi-Ore YtD'!$A:$A),SUMIFS('DB Costi-Ore YtD'!$G:$G,'DB Costi-Ore YtD'!$A:$A,E$1,'DB Costi-Ore YtD'!$B:$B,$A192,'DB Costi-Ore YtD'!$E:$E,$C192)-SUM($D192:D192),0)</f>
        <v>0</v>
      </c>
      <c r="F192">
        <f>IF((F$1*1)&lt;=MAX('DB Costi-Ore YtD'!$A:$A),SUMIFS('DB Costi-Ore YtD'!$G:$G,'DB Costi-Ore YtD'!$A:$A,F$1,'DB Costi-Ore YtD'!$B:$B,$A192,'DB Costi-Ore YtD'!$E:$E,$C192)-SUM($D192:E192),0)</f>
        <v>0</v>
      </c>
      <c r="G192">
        <f>IF((G$1*1)&lt;=MAX('DB Costi-Ore YtD'!$A:$A),SUMIFS('DB Costi-Ore YtD'!$G:$G,'DB Costi-Ore YtD'!$A:$A,G$1,'DB Costi-Ore YtD'!$B:$B,$A192,'DB Costi-Ore YtD'!$E:$E,$C192)-SUM($D192:F192),0)</f>
        <v>2357.5099999999998</v>
      </c>
      <c r="H192">
        <f>IF((H$1*1)&lt;=MAX('DB Costi-Ore YtD'!$A:$A),SUMIFS('DB Costi-Ore YtD'!$G:$G,'DB Costi-Ore YtD'!$A:$A,H$1,'DB Costi-Ore YtD'!$B:$B,$A192,'DB Costi-Ore YtD'!$E:$E,$C192)-SUM($D192:G192),0)</f>
        <v>4573.630000000001</v>
      </c>
      <c r="I192">
        <f>IF((I$1*1)&lt;=MAX('DB Costi-Ore YtD'!$A:$A),SUMIFS('DB Costi-Ore YtD'!$G:$G,'DB Costi-Ore YtD'!$A:$A,I$1,'DB Costi-Ore YtD'!$B:$B,$A192,'DB Costi-Ore YtD'!$E:$E,$C192)-SUM($D192:H192),0)</f>
        <v>2809.9399999999987</v>
      </c>
      <c r="J192">
        <f>IF((J$1*1)&lt;=MAX('DB Costi-Ore YtD'!$A:$A),SUMIFS('DB Costi-Ore YtD'!$G:$G,'DB Costi-Ore YtD'!$A:$A,J$1,'DB Costi-Ore YtD'!$B:$B,$A192,'DB Costi-Ore YtD'!$E:$E,$C192)-SUM($D192:I192),0)</f>
        <v>0</v>
      </c>
      <c r="K192">
        <f>IF((K$1*1)&lt;=MAX('DB Costi-Ore YtD'!$A:$A),SUMIFS('DB Costi-Ore YtD'!$G:$G,'DB Costi-Ore YtD'!$A:$A,K$1,'DB Costi-Ore YtD'!$B:$B,$A192,'DB Costi-Ore YtD'!$E:$E,$C192)-SUM($D192:J192),0)</f>
        <v>0</v>
      </c>
      <c r="L192">
        <f>IF((L$1*1)&lt;=MAX('DB Costi-Ore YtD'!$A:$A),SUMIFS('DB Costi-Ore YtD'!$G:$G,'DB Costi-Ore YtD'!$A:$A,L$1,'DB Costi-Ore YtD'!$B:$B,$A192,'DB Costi-Ore YtD'!$E:$E,$C192)-SUM($D192:K192),0)</f>
        <v>0</v>
      </c>
      <c r="M192">
        <f>IF((M$1*1)&lt;=MAX('DB Costi-Ore YtD'!$A:$A),SUMIFS('DB Costi-Ore YtD'!$G:$G,'DB Costi-Ore YtD'!$A:$A,M$1,'DB Costi-Ore YtD'!$B:$B,$A192,'DB Costi-Ore YtD'!$E:$E,$C192)-SUM($D192:L192),0)</f>
        <v>0</v>
      </c>
      <c r="N192">
        <f>IF((N$1*1)&lt;=MAX('DB Costi-Ore YtD'!$A:$A),SUMIFS('DB Costi-Ore YtD'!$G:$G,'DB Costi-Ore YtD'!$A:$A,N$1,'DB Costi-Ore YtD'!$B:$B,$A192,'DB Costi-Ore YtD'!$E:$E,$C192)-SUM($D192:M192),0)</f>
        <v>0</v>
      </c>
      <c r="O192">
        <f>IF((O$1*1)&lt;=MAX('DB Costi-Ore YtD'!$A:$A),SUMIFS('DB Costi-Ore YtD'!$G:$G,'DB Costi-Ore YtD'!$A:$A,O$1,'DB Costi-Ore YtD'!$B:$B,$A192,'DB Costi-Ore YtD'!$E:$E,$C192)-SUM($D192:N192),0)</f>
        <v>0</v>
      </c>
    </row>
    <row r="193" spans="1:15" hidden="1" x14ac:dyDescent="0.3">
      <c r="A193" t="s">
        <v>401</v>
      </c>
      <c r="B193" t="s">
        <v>345</v>
      </c>
      <c r="C193" t="s">
        <v>5</v>
      </c>
      <c r="D193">
        <f>IF((D$1*1)&lt;=MAX('DB Costi-Ore YtD'!$A:$A),SUMIFS('DB Costi-Ore YtD'!$G:$G,'DB Costi-Ore YtD'!$A:$A,D$1,'DB Costi-Ore YtD'!$B:$B,$A193,'DB Costi-Ore YtD'!$E:$E,$C193),0)</f>
        <v>0</v>
      </c>
      <c r="E193">
        <f>IF((E$1*1)&lt;=MAX('DB Costi-Ore YtD'!$A:$A),SUMIFS('DB Costi-Ore YtD'!$G:$G,'DB Costi-Ore YtD'!$A:$A,E$1,'DB Costi-Ore YtD'!$B:$B,$A193,'DB Costi-Ore YtD'!$E:$E,$C193)-SUM($D193:D193),0)</f>
        <v>0</v>
      </c>
      <c r="F193">
        <f>IF((F$1*1)&lt;=MAX('DB Costi-Ore YtD'!$A:$A),SUMIFS('DB Costi-Ore YtD'!$G:$G,'DB Costi-Ore YtD'!$A:$A,F$1,'DB Costi-Ore YtD'!$B:$B,$A193,'DB Costi-Ore YtD'!$E:$E,$C193)-SUM($D193:E193),0)</f>
        <v>0</v>
      </c>
      <c r="G193">
        <f>IF((G$1*1)&lt;=MAX('DB Costi-Ore YtD'!$A:$A),SUMIFS('DB Costi-Ore YtD'!$G:$G,'DB Costi-Ore YtD'!$A:$A,G$1,'DB Costi-Ore YtD'!$B:$B,$A193,'DB Costi-Ore YtD'!$E:$E,$C193)-SUM($D193:F193),0)</f>
        <v>1029.93</v>
      </c>
      <c r="H193">
        <f>IF((H$1*1)&lt;=MAX('DB Costi-Ore YtD'!$A:$A),SUMIFS('DB Costi-Ore YtD'!$G:$G,'DB Costi-Ore YtD'!$A:$A,H$1,'DB Costi-Ore YtD'!$B:$B,$A193,'DB Costi-Ore YtD'!$E:$E,$C193)-SUM($D193:G193),0)</f>
        <v>0</v>
      </c>
      <c r="I193">
        <f>IF((I$1*1)&lt;=MAX('DB Costi-Ore YtD'!$A:$A),SUMIFS('DB Costi-Ore YtD'!$G:$G,'DB Costi-Ore YtD'!$A:$A,I$1,'DB Costi-Ore YtD'!$B:$B,$A193,'DB Costi-Ore YtD'!$E:$E,$C193)-SUM($D193:H193),0)</f>
        <v>0.49000000000000909</v>
      </c>
      <c r="J193">
        <f>IF((J$1*1)&lt;=MAX('DB Costi-Ore YtD'!$A:$A),SUMIFS('DB Costi-Ore YtD'!$G:$G,'DB Costi-Ore YtD'!$A:$A,J$1,'DB Costi-Ore YtD'!$B:$B,$A193,'DB Costi-Ore YtD'!$E:$E,$C193)-SUM($D193:I193),0)</f>
        <v>0</v>
      </c>
      <c r="K193">
        <f>IF((K$1*1)&lt;=MAX('DB Costi-Ore YtD'!$A:$A),SUMIFS('DB Costi-Ore YtD'!$G:$G,'DB Costi-Ore YtD'!$A:$A,K$1,'DB Costi-Ore YtD'!$B:$B,$A193,'DB Costi-Ore YtD'!$E:$E,$C193)-SUM($D193:J193),0)</f>
        <v>0</v>
      </c>
      <c r="L193">
        <f>IF((L$1*1)&lt;=MAX('DB Costi-Ore YtD'!$A:$A),SUMIFS('DB Costi-Ore YtD'!$G:$G,'DB Costi-Ore YtD'!$A:$A,L$1,'DB Costi-Ore YtD'!$B:$B,$A193,'DB Costi-Ore YtD'!$E:$E,$C193)-SUM($D193:K193),0)</f>
        <v>0</v>
      </c>
      <c r="M193">
        <f>IF((M$1*1)&lt;=MAX('DB Costi-Ore YtD'!$A:$A),SUMIFS('DB Costi-Ore YtD'!$G:$G,'DB Costi-Ore YtD'!$A:$A,M$1,'DB Costi-Ore YtD'!$B:$B,$A193,'DB Costi-Ore YtD'!$E:$E,$C193)-SUM($D193:L193),0)</f>
        <v>0</v>
      </c>
      <c r="N193">
        <f>IF((N$1*1)&lt;=MAX('DB Costi-Ore YtD'!$A:$A),SUMIFS('DB Costi-Ore YtD'!$G:$G,'DB Costi-Ore YtD'!$A:$A,N$1,'DB Costi-Ore YtD'!$B:$B,$A193,'DB Costi-Ore YtD'!$E:$E,$C193)-SUM($D193:M193),0)</f>
        <v>0</v>
      </c>
      <c r="O193">
        <f>IF((O$1*1)&lt;=MAX('DB Costi-Ore YtD'!$A:$A),SUMIFS('DB Costi-Ore YtD'!$G:$G,'DB Costi-Ore YtD'!$A:$A,O$1,'DB Costi-Ore YtD'!$B:$B,$A193,'DB Costi-Ore YtD'!$E:$E,$C193)-SUM($D193:N193),0)</f>
        <v>0</v>
      </c>
    </row>
    <row r="194" spans="1:15" hidden="1" x14ac:dyDescent="0.3">
      <c r="A194" t="s">
        <v>402</v>
      </c>
      <c r="B194" t="s">
        <v>347</v>
      </c>
      <c r="C194" t="s">
        <v>5</v>
      </c>
      <c r="D194">
        <f>IF((D$1*1)&lt;=MAX('DB Costi-Ore YtD'!$A:$A),SUMIFS('DB Costi-Ore YtD'!$G:$G,'DB Costi-Ore YtD'!$A:$A,D$1,'DB Costi-Ore YtD'!$B:$B,$A194,'DB Costi-Ore YtD'!$E:$E,$C194),0)</f>
        <v>0</v>
      </c>
      <c r="E194">
        <f>IF((E$1*1)&lt;=MAX('DB Costi-Ore YtD'!$A:$A),SUMIFS('DB Costi-Ore YtD'!$G:$G,'DB Costi-Ore YtD'!$A:$A,E$1,'DB Costi-Ore YtD'!$B:$B,$A194,'DB Costi-Ore YtD'!$E:$E,$C194)-SUM($D194:D194),0)</f>
        <v>0</v>
      </c>
      <c r="F194">
        <f>IF((F$1*1)&lt;=MAX('DB Costi-Ore YtD'!$A:$A),SUMIFS('DB Costi-Ore YtD'!$G:$G,'DB Costi-Ore YtD'!$A:$A,F$1,'DB Costi-Ore YtD'!$B:$B,$A194,'DB Costi-Ore YtD'!$E:$E,$C194)-SUM($D194:E194),0)</f>
        <v>0</v>
      </c>
      <c r="G194">
        <f>IF((G$1*1)&lt;=MAX('DB Costi-Ore YtD'!$A:$A),SUMIFS('DB Costi-Ore YtD'!$G:$G,'DB Costi-Ore YtD'!$A:$A,G$1,'DB Costi-Ore YtD'!$B:$B,$A194,'DB Costi-Ore YtD'!$E:$E,$C194)-SUM($D194:F194),0)</f>
        <v>1580.22</v>
      </c>
      <c r="H194">
        <f>IF((H$1*1)&lt;=MAX('DB Costi-Ore YtD'!$A:$A),SUMIFS('DB Costi-Ore YtD'!$G:$G,'DB Costi-Ore YtD'!$A:$A,H$1,'DB Costi-Ore YtD'!$B:$B,$A194,'DB Costi-Ore YtD'!$E:$E,$C194)-SUM($D194:G194),0)</f>
        <v>1567.7900000000002</v>
      </c>
      <c r="I194">
        <f>IF((I$1*1)&lt;=MAX('DB Costi-Ore YtD'!$A:$A),SUMIFS('DB Costi-Ore YtD'!$G:$G,'DB Costi-Ore YtD'!$A:$A,I$1,'DB Costi-Ore YtD'!$B:$B,$A194,'DB Costi-Ore YtD'!$E:$E,$C194)-SUM($D194:H194),0)</f>
        <v>1567.54</v>
      </c>
      <c r="J194">
        <f>IF((J$1*1)&lt;=MAX('DB Costi-Ore YtD'!$A:$A),SUMIFS('DB Costi-Ore YtD'!$G:$G,'DB Costi-Ore YtD'!$A:$A,J$1,'DB Costi-Ore YtD'!$B:$B,$A194,'DB Costi-Ore YtD'!$E:$E,$C194)-SUM($D194:I194),0)</f>
        <v>0</v>
      </c>
      <c r="K194">
        <f>IF((K$1*1)&lt;=MAX('DB Costi-Ore YtD'!$A:$A),SUMIFS('DB Costi-Ore YtD'!$G:$G,'DB Costi-Ore YtD'!$A:$A,K$1,'DB Costi-Ore YtD'!$B:$B,$A194,'DB Costi-Ore YtD'!$E:$E,$C194)-SUM($D194:J194),0)</f>
        <v>0</v>
      </c>
      <c r="L194">
        <f>IF((L$1*1)&lt;=MAX('DB Costi-Ore YtD'!$A:$A),SUMIFS('DB Costi-Ore YtD'!$G:$G,'DB Costi-Ore YtD'!$A:$A,L$1,'DB Costi-Ore YtD'!$B:$B,$A194,'DB Costi-Ore YtD'!$E:$E,$C194)-SUM($D194:K194),0)</f>
        <v>0</v>
      </c>
      <c r="M194">
        <f>IF((M$1*1)&lt;=MAX('DB Costi-Ore YtD'!$A:$A),SUMIFS('DB Costi-Ore YtD'!$G:$G,'DB Costi-Ore YtD'!$A:$A,M$1,'DB Costi-Ore YtD'!$B:$B,$A194,'DB Costi-Ore YtD'!$E:$E,$C194)-SUM($D194:L194),0)</f>
        <v>0</v>
      </c>
      <c r="N194">
        <f>IF((N$1*1)&lt;=MAX('DB Costi-Ore YtD'!$A:$A),SUMIFS('DB Costi-Ore YtD'!$G:$G,'DB Costi-Ore YtD'!$A:$A,N$1,'DB Costi-Ore YtD'!$B:$B,$A194,'DB Costi-Ore YtD'!$E:$E,$C194)-SUM($D194:M194),0)</f>
        <v>0</v>
      </c>
      <c r="O194">
        <f>IF((O$1*1)&lt;=MAX('DB Costi-Ore YtD'!$A:$A),SUMIFS('DB Costi-Ore YtD'!$G:$G,'DB Costi-Ore YtD'!$A:$A,O$1,'DB Costi-Ore YtD'!$B:$B,$A194,'DB Costi-Ore YtD'!$E:$E,$C194)-SUM($D194:N194),0)</f>
        <v>0</v>
      </c>
    </row>
    <row r="195" spans="1:15" hidden="1" x14ac:dyDescent="0.3">
      <c r="A195" t="s">
        <v>403</v>
      </c>
      <c r="B195" t="s">
        <v>404</v>
      </c>
      <c r="C195" t="s">
        <v>3</v>
      </c>
      <c r="D195">
        <f>IF((D$1*1)&lt;=MAX('DB Costi-Ore YtD'!$A:$A),SUMIFS('DB Costi-Ore YtD'!$G:$G,'DB Costi-Ore YtD'!$A:$A,D$1,'DB Costi-Ore YtD'!$B:$B,$A195,'DB Costi-Ore YtD'!$E:$E,$C195),0)</f>
        <v>0</v>
      </c>
      <c r="E195">
        <f>IF((E$1*1)&lt;=MAX('DB Costi-Ore YtD'!$A:$A),SUMIFS('DB Costi-Ore YtD'!$G:$G,'DB Costi-Ore YtD'!$A:$A,E$1,'DB Costi-Ore YtD'!$B:$B,$A195,'DB Costi-Ore YtD'!$E:$E,$C195)-SUM($D195:D195),0)</f>
        <v>0</v>
      </c>
      <c r="F195">
        <f>IF((F$1*1)&lt;=MAX('DB Costi-Ore YtD'!$A:$A),SUMIFS('DB Costi-Ore YtD'!$G:$G,'DB Costi-Ore YtD'!$A:$A,F$1,'DB Costi-Ore YtD'!$B:$B,$A195,'DB Costi-Ore YtD'!$E:$E,$C195)-SUM($D195:E195),0)</f>
        <v>0</v>
      </c>
      <c r="G195">
        <f>IF((G$1*1)&lt;=MAX('DB Costi-Ore YtD'!$A:$A),SUMIFS('DB Costi-Ore YtD'!$G:$G,'DB Costi-Ore YtD'!$A:$A,G$1,'DB Costi-Ore YtD'!$B:$B,$A195,'DB Costi-Ore YtD'!$E:$E,$C195)-SUM($D195:F195),0)</f>
        <v>15.44</v>
      </c>
      <c r="H195">
        <f>IF((H$1*1)&lt;=MAX('DB Costi-Ore YtD'!$A:$A),SUMIFS('DB Costi-Ore YtD'!$G:$G,'DB Costi-Ore YtD'!$A:$A,H$1,'DB Costi-Ore YtD'!$B:$B,$A195,'DB Costi-Ore YtD'!$E:$E,$C195)-SUM($D195:G195),0)</f>
        <v>16.079999999999998</v>
      </c>
      <c r="I195">
        <f>IF((I$1*1)&lt;=MAX('DB Costi-Ore YtD'!$A:$A),SUMIFS('DB Costi-Ore YtD'!$G:$G,'DB Costi-Ore YtD'!$A:$A,I$1,'DB Costi-Ore YtD'!$B:$B,$A195,'DB Costi-Ore YtD'!$E:$E,$C195)-SUM($D195:H195),0)</f>
        <v>16.080000000000005</v>
      </c>
      <c r="J195">
        <f>IF((J$1*1)&lt;=MAX('DB Costi-Ore YtD'!$A:$A),SUMIFS('DB Costi-Ore YtD'!$G:$G,'DB Costi-Ore YtD'!$A:$A,J$1,'DB Costi-Ore YtD'!$B:$B,$A195,'DB Costi-Ore YtD'!$E:$E,$C195)-SUM($D195:I195),0)</f>
        <v>0</v>
      </c>
      <c r="K195">
        <f>IF((K$1*1)&lt;=MAX('DB Costi-Ore YtD'!$A:$A),SUMIFS('DB Costi-Ore YtD'!$G:$G,'DB Costi-Ore YtD'!$A:$A,K$1,'DB Costi-Ore YtD'!$B:$B,$A195,'DB Costi-Ore YtD'!$E:$E,$C195)-SUM($D195:J195),0)</f>
        <v>0</v>
      </c>
      <c r="L195">
        <f>IF((L$1*1)&lt;=MAX('DB Costi-Ore YtD'!$A:$A),SUMIFS('DB Costi-Ore YtD'!$G:$G,'DB Costi-Ore YtD'!$A:$A,L$1,'DB Costi-Ore YtD'!$B:$B,$A195,'DB Costi-Ore YtD'!$E:$E,$C195)-SUM($D195:K195),0)</f>
        <v>0</v>
      </c>
      <c r="M195">
        <f>IF((M$1*1)&lt;=MAX('DB Costi-Ore YtD'!$A:$A),SUMIFS('DB Costi-Ore YtD'!$G:$G,'DB Costi-Ore YtD'!$A:$A,M$1,'DB Costi-Ore YtD'!$B:$B,$A195,'DB Costi-Ore YtD'!$E:$E,$C195)-SUM($D195:L195),0)</f>
        <v>0</v>
      </c>
      <c r="N195">
        <f>IF((N$1*1)&lt;=MAX('DB Costi-Ore YtD'!$A:$A),SUMIFS('DB Costi-Ore YtD'!$G:$G,'DB Costi-Ore YtD'!$A:$A,N$1,'DB Costi-Ore YtD'!$B:$B,$A195,'DB Costi-Ore YtD'!$E:$E,$C195)-SUM($D195:M195),0)</f>
        <v>0</v>
      </c>
      <c r="O195">
        <f>IF((O$1*1)&lt;=MAX('DB Costi-Ore YtD'!$A:$A),SUMIFS('DB Costi-Ore YtD'!$G:$G,'DB Costi-Ore YtD'!$A:$A,O$1,'DB Costi-Ore YtD'!$B:$B,$A195,'DB Costi-Ore YtD'!$E:$E,$C195)-SUM($D195:N195),0)</f>
        <v>0</v>
      </c>
    </row>
    <row r="196" spans="1:15" hidden="1" x14ac:dyDescent="0.3">
      <c r="A196" t="s">
        <v>405</v>
      </c>
      <c r="B196" t="s">
        <v>406</v>
      </c>
      <c r="C196" t="s">
        <v>5</v>
      </c>
      <c r="D196">
        <f>IF((D$1*1)&lt;=MAX('DB Costi-Ore YtD'!$A:$A),SUMIFS('DB Costi-Ore YtD'!$G:$G,'DB Costi-Ore YtD'!$A:$A,D$1,'DB Costi-Ore YtD'!$B:$B,$A196,'DB Costi-Ore YtD'!$E:$E,$C196),0)</f>
        <v>0</v>
      </c>
      <c r="E196">
        <f>IF((E$1*1)&lt;=MAX('DB Costi-Ore YtD'!$A:$A),SUMIFS('DB Costi-Ore YtD'!$G:$G,'DB Costi-Ore YtD'!$A:$A,E$1,'DB Costi-Ore YtD'!$B:$B,$A196,'DB Costi-Ore YtD'!$E:$E,$C196)-SUM($D196:D196),0)</f>
        <v>0</v>
      </c>
      <c r="F196">
        <f>IF((F$1*1)&lt;=MAX('DB Costi-Ore YtD'!$A:$A),SUMIFS('DB Costi-Ore YtD'!$G:$G,'DB Costi-Ore YtD'!$A:$A,F$1,'DB Costi-Ore YtD'!$B:$B,$A196,'DB Costi-Ore YtD'!$E:$E,$C196)-SUM($D196:E196),0)</f>
        <v>0</v>
      </c>
      <c r="G196">
        <f>IF((G$1*1)&lt;=MAX('DB Costi-Ore YtD'!$A:$A),SUMIFS('DB Costi-Ore YtD'!$G:$G,'DB Costi-Ore YtD'!$A:$A,G$1,'DB Costi-Ore YtD'!$B:$B,$A196,'DB Costi-Ore YtD'!$E:$E,$C196)-SUM($D196:F196),0)</f>
        <v>1012.87</v>
      </c>
      <c r="H196">
        <f>IF((H$1*1)&lt;=MAX('DB Costi-Ore YtD'!$A:$A),SUMIFS('DB Costi-Ore YtD'!$G:$G,'DB Costi-Ore YtD'!$A:$A,H$1,'DB Costi-Ore YtD'!$B:$B,$A196,'DB Costi-Ore YtD'!$E:$E,$C196)-SUM($D196:G196),0)</f>
        <v>516.08000000000004</v>
      </c>
      <c r="I196">
        <f>IF((I$1*1)&lt;=MAX('DB Costi-Ore YtD'!$A:$A),SUMIFS('DB Costi-Ore YtD'!$G:$G,'DB Costi-Ore YtD'!$A:$A,I$1,'DB Costi-Ore YtD'!$B:$B,$A196,'DB Costi-Ore YtD'!$E:$E,$C196)-SUM($D196:H196),0)</f>
        <v>516.07999999999993</v>
      </c>
      <c r="J196">
        <f>IF((J$1*1)&lt;=MAX('DB Costi-Ore YtD'!$A:$A),SUMIFS('DB Costi-Ore YtD'!$G:$G,'DB Costi-Ore YtD'!$A:$A,J$1,'DB Costi-Ore YtD'!$B:$B,$A196,'DB Costi-Ore YtD'!$E:$E,$C196)-SUM($D196:I196),0)</f>
        <v>0</v>
      </c>
      <c r="K196">
        <f>IF((K$1*1)&lt;=MAX('DB Costi-Ore YtD'!$A:$A),SUMIFS('DB Costi-Ore YtD'!$G:$G,'DB Costi-Ore YtD'!$A:$A,K$1,'DB Costi-Ore YtD'!$B:$B,$A196,'DB Costi-Ore YtD'!$E:$E,$C196)-SUM($D196:J196),0)</f>
        <v>0</v>
      </c>
      <c r="L196">
        <f>IF((L$1*1)&lt;=MAX('DB Costi-Ore YtD'!$A:$A),SUMIFS('DB Costi-Ore YtD'!$G:$G,'DB Costi-Ore YtD'!$A:$A,L$1,'DB Costi-Ore YtD'!$B:$B,$A196,'DB Costi-Ore YtD'!$E:$E,$C196)-SUM($D196:K196),0)</f>
        <v>0</v>
      </c>
      <c r="M196">
        <f>IF((M$1*1)&lt;=MAX('DB Costi-Ore YtD'!$A:$A),SUMIFS('DB Costi-Ore YtD'!$G:$G,'DB Costi-Ore YtD'!$A:$A,M$1,'DB Costi-Ore YtD'!$B:$B,$A196,'DB Costi-Ore YtD'!$E:$E,$C196)-SUM($D196:L196),0)</f>
        <v>0</v>
      </c>
      <c r="N196">
        <f>IF((N$1*1)&lt;=MAX('DB Costi-Ore YtD'!$A:$A),SUMIFS('DB Costi-Ore YtD'!$G:$G,'DB Costi-Ore YtD'!$A:$A,N$1,'DB Costi-Ore YtD'!$B:$B,$A196,'DB Costi-Ore YtD'!$E:$E,$C196)-SUM($D196:M196),0)</f>
        <v>0</v>
      </c>
      <c r="O196">
        <f>IF((O$1*1)&lt;=MAX('DB Costi-Ore YtD'!$A:$A),SUMIFS('DB Costi-Ore YtD'!$G:$G,'DB Costi-Ore YtD'!$A:$A,O$1,'DB Costi-Ore YtD'!$B:$B,$A196,'DB Costi-Ore YtD'!$E:$E,$C196)-SUM($D196:N196),0)</f>
        <v>0</v>
      </c>
    </row>
    <row r="197" spans="1:15" hidden="1" x14ac:dyDescent="0.3">
      <c r="A197" t="s">
        <v>407</v>
      </c>
      <c r="B197" t="s">
        <v>408</v>
      </c>
      <c r="C197" t="s">
        <v>5</v>
      </c>
      <c r="D197">
        <f>IF((D$1*1)&lt;=MAX('DB Costi-Ore YtD'!$A:$A),SUMIFS('DB Costi-Ore YtD'!$G:$G,'DB Costi-Ore YtD'!$A:$A,D$1,'DB Costi-Ore YtD'!$B:$B,$A197,'DB Costi-Ore YtD'!$E:$E,$C197),0)</f>
        <v>0</v>
      </c>
      <c r="E197">
        <f>IF((E$1*1)&lt;=MAX('DB Costi-Ore YtD'!$A:$A),SUMIFS('DB Costi-Ore YtD'!$G:$G,'DB Costi-Ore YtD'!$A:$A,E$1,'DB Costi-Ore YtD'!$B:$B,$A197,'DB Costi-Ore YtD'!$E:$E,$C197)-SUM($D197:D197),0)</f>
        <v>0</v>
      </c>
      <c r="F197">
        <f>IF((F$1*1)&lt;=MAX('DB Costi-Ore YtD'!$A:$A),SUMIFS('DB Costi-Ore YtD'!$G:$G,'DB Costi-Ore YtD'!$A:$A,F$1,'DB Costi-Ore YtD'!$B:$B,$A197,'DB Costi-Ore YtD'!$E:$E,$C197)-SUM($D197:E197),0)</f>
        <v>0</v>
      </c>
      <c r="G197">
        <f>IF((G$1*1)&lt;=MAX('DB Costi-Ore YtD'!$A:$A),SUMIFS('DB Costi-Ore YtD'!$G:$G,'DB Costi-Ore YtD'!$A:$A,G$1,'DB Costi-Ore YtD'!$B:$B,$A197,'DB Costi-Ore YtD'!$E:$E,$C197)-SUM($D197:F197),0)</f>
        <v>124.5</v>
      </c>
      <c r="H197">
        <f>IF((H$1*1)&lt;=MAX('DB Costi-Ore YtD'!$A:$A),SUMIFS('DB Costi-Ore YtD'!$G:$G,'DB Costi-Ore YtD'!$A:$A,H$1,'DB Costi-Ore YtD'!$B:$B,$A197,'DB Costi-Ore YtD'!$E:$E,$C197)-SUM($D197:G197),0)</f>
        <v>466.08000000000004</v>
      </c>
      <c r="I197">
        <f>IF((I$1*1)&lt;=MAX('DB Costi-Ore YtD'!$A:$A),SUMIFS('DB Costi-Ore YtD'!$G:$G,'DB Costi-Ore YtD'!$A:$A,I$1,'DB Costi-Ore YtD'!$B:$B,$A197,'DB Costi-Ore YtD'!$E:$E,$C197)-SUM($D197:H197),0)</f>
        <v>466.08000000000004</v>
      </c>
      <c r="J197">
        <f>IF((J$1*1)&lt;=MAX('DB Costi-Ore YtD'!$A:$A),SUMIFS('DB Costi-Ore YtD'!$G:$G,'DB Costi-Ore YtD'!$A:$A,J$1,'DB Costi-Ore YtD'!$B:$B,$A197,'DB Costi-Ore YtD'!$E:$E,$C197)-SUM($D197:I197),0)</f>
        <v>0</v>
      </c>
      <c r="K197">
        <f>IF((K$1*1)&lt;=MAX('DB Costi-Ore YtD'!$A:$A),SUMIFS('DB Costi-Ore YtD'!$G:$G,'DB Costi-Ore YtD'!$A:$A,K$1,'DB Costi-Ore YtD'!$B:$B,$A197,'DB Costi-Ore YtD'!$E:$E,$C197)-SUM($D197:J197),0)</f>
        <v>0</v>
      </c>
      <c r="L197">
        <f>IF((L$1*1)&lt;=MAX('DB Costi-Ore YtD'!$A:$A),SUMIFS('DB Costi-Ore YtD'!$G:$G,'DB Costi-Ore YtD'!$A:$A,L$1,'DB Costi-Ore YtD'!$B:$B,$A197,'DB Costi-Ore YtD'!$E:$E,$C197)-SUM($D197:K197),0)</f>
        <v>0</v>
      </c>
      <c r="M197">
        <f>IF((M$1*1)&lt;=MAX('DB Costi-Ore YtD'!$A:$A),SUMIFS('DB Costi-Ore YtD'!$G:$G,'DB Costi-Ore YtD'!$A:$A,M$1,'DB Costi-Ore YtD'!$B:$B,$A197,'DB Costi-Ore YtD'!$E:$E,$C197)-SUM($D197:L197),0)</f>
        <v>0</v>
      </c>
      <c r="N197">
        <f>IF((N$1*1)&lt;=MAX('DB Costi-Ore YtD'!$A:$A),SUMIFS('DB Costi-Ore YtD'!$G:$G,'DB Costi-Ore YtD'!$A:$A,N$1,'DB Costi-Ore YtD'!$B:$B,$A197,'DB Costi-Ore YtD'!$E:$E,$C197)-SUM($D197:M197),0)</f>
        <v>0</v>
      </c>
      <c r="O197">
        <f>IF((O$1*1)&lt;=MAX('DB Costi-Ore YtD'!$A:$A),SUMIFS('DB Costi-Ore YtD'!$G:$G,'DB Costi-Ore YtD'!$A:$A,O$1,'DB Costi-Ore YtD'!$B:$B,$A197,'DB Costi-Ore YtD'!$E:$E,$C197)-SUM($D197:N197),0)</f>
        <v>0</v>
      </c>
    </row>
    <row r="198" spans="1:15" hidden="1" x14ac:dyDescent="0.3">
      <c r="A198" t="s">
        <v>409</v>
      </c>
      <c r="B198" t="s">
        <v>410</v>
      </c>
      <c r="C198" t="s">
        <v>5</v>
      </c>
      <c r="D198">
        <f>IF((D$1*1)&lt;=MAX('DB Costi-Ore YtD'!$A:$A),SUMIFS('DB Costi-Ore YtD'!$G:$G,'DB Costi-Ore YtD'!$A:$A,D$1,'DB Costi-Ore YtD'!$B:$B,$A198,'DB Costi-Ore YtD'!$E:$E,$C198),0)</f>
        <v>0</v>
      </c>
      <c r="E198">
        <f>IF((E$1*1)&lt;=MAX('DB Costi-Ore YtD'!$A:$A),SUMIFS('DB Costi-Ore YtD'!$G:$G,'DB Costi-Ore YtD'!$A:$A,E$1,'DB Costi-Ore YtD'!$B:$B,$A198,'DB Costi-Ore YtD'!$E:$E,$C198)-SUM($D198:D198),0)</f>
        <v>0</v>
      </c>
      <c r="F198">
        <f>IF((F$1*1)&lt;=MAX('DB Costi-Ore YtD'!$A:$A),SUMIFS('DB Costi-Ore YtD'!$G:$G,'DB Costi-Ore YtD'!$A:$A,F$1,'DB Costi-Ore YtD'!$B:$B,$A198,'DB Costi-Ore YtD'!$E:$E,$C198)-SUM($D198:E198),0)</f>
        <v>0</v>
      </c>
      <c r="G198">
        <f>IF((G$1*1)&lt;=MAX('DB Costi-Ore YtD'!$A:$A),SUMIFS('DB Costi-Ore YtD'!$G:$G,'DB Costi-Ore YtD'!$A:$A,G$1,'DB Costi-Ore YtD'!$B:$B,$A198,'DB Costi-Ore YtD'!$E:$E,$C198)-SUM($D198:F198),0)</f>
        <v>124.5</v>
      </c>
      <c r="H198">
        <f>IF((H$1*1)&lt;=MAX('DB Costi-Ore YtD'!$A:$A),SUMIFS('DB Costi-Ore YtD'!$G:$G,'DB Costi-Ore YtD'!$A:$A,H$1,'DB Costi-Ore YtD'!$B:$B,$A198,'DB Costi-Ore YtD'!$E:$E,$C198)-SUM($D198:G198),0)</f>
        <v>466.08000000000004</v>
      </c>
      <c r="I198">
        <f>IF((I$1*1)&lt;=MAX('DB Costi-Ore YtD'!$A:$A),SUMIFS('DB Costi-Ore YtD'!$G:$G,'DB Costi-Ore YtD'!$A:$A,I$1,'DB Costi-Ore YtD'!$B:$B,$A198,'DB Costi-Ore YtD'!$E:$E,$C198)-SUM($D198:H198),0)</f>
        <v>466.08000000000004</v>
      </c>
      <c r="J198">
        <f>IF((J$1*1)&lt;=MAX('DB Costi-Ore YtD'!$A:$A),SUMIFS('DB Costi-Ore YtD'!$G:$G,'DB Costi-Ore YtD'!$A:$A,J$1,'DB Costi-Ore YtD'!$B:$B,$A198,'DB Costi-Ore YtD'!$E:$E,$C198)-SUM($D198:I198),0)</f>
        <v>0</v>
      </c>
      <c r="K198">
        <f>IF((K$1*1)&lt;=MAX('DB Costi-Ore YtD'!$A:$A),SUMIFS('DB Costi-Ore YtD'!$G:$G,'DB Costi-Ore YtD'!$A:$A,K$1,'DB Costi-Ore YtD'!$B:$B,$A198,'DB Costi-Ore YtD'!$E:$E,$C198)-SUM($D198:J198),0)</f>
        <v>0</v>
      </c>
      <c r="L198">
        <f>IF((L$1*1)&lt;=MAX('DB Costi-Ore YtD'!$A:$A),SUMIFS('DB Costi-Ore YtD'!$G:$G,'DB Costi-Ore YtD'!$A:$A,L$1,'DB Costi-Ore YtD'!$B:$B,$A198,'DB Costi-Ore YtD'!$E:$E,$C198)-SUM($D198:K198),0)</f>
        <v>0</v>
      </c>
      <c r="M198">
        <f>IF((M$1*1)&lt;=MAX('DB Costi-Ore YtD'!$A:$A),SUMIFS('DB Costi-Ore YtD'!$G:$G,'DB Costi-Ore YtD'!$A:$A,M$1,'DB Costi-Ore YtD'!$B:$B,$A198,'DB Costi-Ore YtD'!$E:$E,$C198)-SUM($D198:L198),0)</f>
        <v>0</v>
      </c>
      <c r="N198">
        <f>IF((N$1*1)&lt;=MAX('DB Costi-Ore YtD'!$A:$A),SUMIFS('DB Costi-Ore YtD'!$G:$G,'DB Costi-Ore YtD'!$A:$A,N$1,'DB Costi-Ore YtD'!$B:$B,$A198,'DB Costi-Ore YtD'!$E:$E,$C198)-SUM($D198:M198),0)</f>
        <v>0</v>
      </c>
      <c r="O198">
        <f>IF((O$1*1)&lt;=MAX('DB Costi-Ore YtD'!$A:$A),SUMIFS('DB Costi-Ore YtD'!$G:$G,'DB Costi-Ore YtD'!$A:$A,O$1,'DB Costi-Ore YtD'!$B:$B,$A198,'DB Costi-Ore YtD'!$E:$E,$C198)-SUM($D198:N198),0)</f>
        <v>0</v>
      </c>
    </row>
    <row r="199" spans="1:15" hidden="1" x14ac:dyDescent="0.3">
      <c r="A199" t="s">
        <v>411</v>
      </c>
      <c r="B199" t="s">
        <v>412</v>
      </c>
      <c r="C199" t="s">
        <v>5</v>
      </c>
      <c r="D199">
        <f>IF((D$1*1)&lt;=MAX('DB Costi-Ore YtD'!$A:$A),SUMIFS('DB Costi-Ore YtD'!$G:$G,'DB Costi-Ore YtD'!$A:$A,D$1,'DB Costi-Ore YtD'!$B:$B,$A199,'DB Costi-Ore YtD'!$E:$E,$C199),0)</f>
        <v>0</v>
      </c>
      <c r="E199">
        <f>IF((E$1*1)&lt;=MAX('DB Costi-Ore YtD'!$A:$A),SUMIFS('DB Costi-Ore YtD'!$G:$G,'DB Costi-Ore YtD'!$A:$A,E$1,'DB Costi-Ore YtD'!$B:$B,$A199,'DB Costi-Ore YtD'!$E:$E,$C199)-SUM($D199:D199),0)</f>
        <v>0</v>
      </c>
      <c r="F199">
        <f>IF((F$1*1)&lt;=MAX('DB Costi-Ore YtD'!$A:$A),SUMIFS('DB Costi-Ore YtD'!$G:$G,'DB Costi-Ore YtD'!$A:$A,F$1,'DB Costi-Ore YtD'!$B:$B,$A199,'DB Costi-Ore YtD'!$E:$E,$C199)-SUM($D199:E199),0)</f>
        <v>0</v>
      </c>
      <c r="G199">
        <f>IF((G$1*1)&lt;=MAX('DB Costi-Ore YtD'!$A:$A),SUMIFS('DB Costi-Ore YtD'!$G:$G,'DB Costi-Ore YtD'!$A:$A,G$1,'DB Costi-Ore YtD'!$B:$B,$A199,'DB Costi-Ore YtD'!$E:$E,$C199)-SUM($D199:F199),0)</f>
        <v>687.87</v>
      </c>
      <c r="H199">
        <f>IF((H$1*1)&lt;=MAX('DB Costi-Ore YtD'!$A:$A),SUMIFS('DB Costi-Ore YtD'!$G:$G,'DB Costi-Ore YtD'!$A:$A,H$1,'DB Costi-Ore YtD'!$B:$B,$A199,'DB Costi-Ore YtD'!$E:$E,$C199)-SUM($D199:G199),0)</f>
        <v>466.08000000000004</v>
      </c>
      <c r="I199">
        <f>IF((I$1*1)&lt;=MAX('DB Costi-Ore YtD'!$A:$A),SUMIFS('DB Costi-Ore YtD'!$G:$G,'DB Costi-Ore YtD'!$A:$A,I$1,'DB Costi-Ore YtD'!$B:$B,$A199,'DB Costi-Ore YtD'!$E:$E,$C199)-SUM($D199:H199),0)</f>
        <v>466.07999999999993</v>
      </c>
      <c r="J199">
        <f>IF((J$1*1)&lt;=MAX('DB Costi-Ore YtD'!$A:$A),SUMIFS('DB Costi-Ore YtD'!$G:$G,'DB Costi-Ore YtD'!$A:$A,J$1,'DB Costi-Ore YtD'!$B:$B,$A199,'DB Costi-Ore YtD'!$E:$E,$C199)-SUM($D199:I199),0)</f>
        <v>0</v>
      </c>
      <c r="K199">
        <f>IF((K$1*1)&lt;=MAX('DB Costi-Ore YtD'!$A:$A),SUMIFS('DB Costi-Ore YtD'!$G:$G,'DB Costi-Ore YtD'!$A:$A,K$1,'DB Costi-Ore YtD'!$B:$B,$A199,'DB Costi-Ore YtD'!$E:$E,$C199)-SUM($D199:J199),0)</f>
        <v>0</v>
      </c>
      <c r="L199">
        <f>IF((L$1*1)&lt;=MAX('DB Costi-Ore YtD'!$A:$A),SUMIFS('DB Costi-Ore YtD'!$G:$G,'DB Costi-Ore YtD'!$A:$A,L$1,'DB Costi-Ore YtD'!$B:$B,$A199,'DB Costi-Ore YtD'!$E:$E,$C199)-SUM($D199:K199),0)</f>
        <v>0</v>
      </c>
      <c r="M199">
        <f>IF((M$1*1)&lt;=MAX('DB Costi-Ore YtD'!$A:$A),SUMIFS('DB Costi-Ore YtD'!$G:$G,'DB Costi-Ore YtD'!$A:$A,M$1,'DB Costi-Ore YtD'!$B:$B,$A199,'DB Costi-Ore YtD'!$E:$E,$C199)-SUM($D199:L199),0)</f>
        <v>0</v>
      </c>
      <c r="N199">
        <f>IF((N$1*1)&lt;=MAX('DB Costi-Ore YtD'!$A:$A),SUMIFS('DB Costi-Ore YtD'!$G:$G,'DB Costi-Ore YtD'!$A:$A,N$1,'DB Costi-Ore YtD'!$B:$B,$A199,'DB Costi-Ore YtD'!$E:$E,$C199)-SUM($D199:M199),0)</f>
        <v>0</v>
      </c>
      <c r="O199">
        <f>IF((O$1*1)&lt;=MAX('DB Costi-Ore YtD'!$A:$A),SUMIFS('DB Costi-Ore YtD'!$G:$G,'DB Costi-Ore YtD'!$A:$A,O$1,'DB Costi-Ore YtD'!$B:$B,$A199,'DB Costi-Ore YtD'!$E:$E,$C199)-SUM($D199:N199),0)</f>
        <v>0</v>
      </c>
    </row>
    <row r="200" spans="1:15" hidden="1" x14ac:dyDescent="0.3">
      <c r="A200" t="s">
        <v>413</v>
      </c>
      <c r="B200" t="s">
        <v>414</v>
      </c>
      <c r="C200" t="s">
        <v>5</v>
      </c>
      <c r="D200">
        <f>IF((D$1*1)&lt;=MAX('DB Costi-Ore YtD'!$A:$A),SUMIFS('DB Costi-Ore YtD'!$G:$G,'DB Costi-Ore YtD'!$A:$A,D$1,'DB Costi-Ore YtD'!$B:$B,$A200,'DB Costi-Ore YtD'!$E:$E,$C200),0)</f>
        <v>0</v>
      </c>
      <c r="E200">
        <f>IF((E$1*1)&lt;=MAX('DB Costi-Ore YtD'!$A:$A),SUMIFS('DB Costi-Ore YtD'!$G:$G,'DB Costi-Ore YtD'!$A:$A,E$1,'DB Costi-Ore YtD'!$B:$B,$A200,'DB Costi-Ore YtD'!$E:$E,$C200)-SUM($D200:D200),0)</f>
        <v>0</v>
      </c>
      <c r="F200">
        <f>IF((F$1*1)&lt;=MAX('DB Costi-Ore YtD'!$A:$A),SUMIFS('DB Costi-Ore YtD'!$G:$G,'DB Costi-Ore YtD'!$A:$A,F$1,'DB Costi-Ore YtD'!$B:$B,$A200,'DB Costi-Ore YtD'!$E:$E,$C200)-SUM($D200:E200),0)</f>
        <v>0</v>
      </c>
      <c r="G200">
        <f>IF((G$1*1)&lt;=MAX('DB Costi-Ore YtD'!$A:$A),SUMIFS('DB Costi-Ore YtD'!$G:$G,'DB Costi-Ore YtD'!$A:$A,G$1,'DB Costi-Ore YtD'!$B:$B,$A200,'DB Costi-Ore YtD'!$E:$E,$C200)-SUM($D200:F200),0)</f>
        <v>373.5</v>
      </c>
      <c r="H200">
        <f>IF((H$1*1)&lt;=MAX('DB Costi-Ore YtD'!$A:$A),SUMIFS('DB Costi-Ore YtD'!$G:$G,'DB Costi-Ore YtD'!$A:$A,H$1,'DB Costi-Ore YtD'!$B:$B,$A200,'DB Costi-Ore YtD'!$E:$E,$C200)-SUM($D200:G200),0)</f>
        <v>466.08000000000004</v>
      </c>
      <c r="I200">
        <f>IF((I$1*1)&lt;=MAX('DB Costi-Ore YtD'!$A:$A),SUMIFS('DB Costi-Ore YtD'!$G:$G,'DB Costi-Ore YtD'!$A:$A,I$1,'DB Costi-Ore YtD'!$B:$B,$A200,'DB Costi-Ore YtD'!$E:$E,$C200)-SUM($D200:H200),0)</f>
        <v>466.08000000000004</v>
      </c>
      <c r="J200">
        <f>IF((J$1*1)&lt;=MAX('DB Costi-Ore YtD'!$A:$A),SUMIFS('DB Costi-Ore YtD'!$G:$G,'DB Costi-Ore YtD'!$A:$A,J$1,'DB Costi-Ore YtD'!$B:$B,$A200,'DB Costi-Ore YtD'!$E:$E,$C200)-SUM($D200:I200),0)</f>
        <v>0</v>
      </c>
      <c r="K200">
        <f>IF((K$1*1)&lt;=MAX('DB Costi-Ore YtD'!$A:$A),SUMIFS('DB Costi-Ore YtD'!$G:$G,'DB Costi-Ore YtD'!$A:$A,K$1,'DB Costi-Ore YtD'!$B:$B,$A200,'DB Costi-Ore YtD'!$E:$E,$C200)-SUM($D200:J200),0)</f>
        <v>0</v>
      </c>
      <c r="L200">
        <f>IF((L$1*1)&lt;=MAX('DB Costi-Ore YtD'!$A:$A),SUMIFS('DB Costi-Ore YtD'!$G:$G,'DB Costi-Ore YtD'!$A:$A,L$1,'DB Costi-Ore YtD'!$B:$B,$A200,'DB Costi-Ore YtD'!$E:$E,$C200)-SUM($D200:K200),0)</f>
        <v>0</v>
      </c>
      <c r="M200">
        <f>IF((M$1*1)&lt;=MAX('DB Costi-Ore YtD'!$A:$A),SUMIFS('DB Costi-Ore YtD'!$G:$G,'DB Costi-Ore YtD'!$A:$A,M$1,'DB Costi-Ore YtD'!$B:$B,$A200,'DB Costi-Ore YtD'!$E:$E,$C200)-SUM($D200:L200),0)</f>
        <v>0</v>
      </c>
      <c r="N200">
        <f>IF((N$1*1)&lt;=MAX('DB Costi-Ore YtD'!$A:$A),SUMIFS('DB Costi-Ore YtD'!$G:$G,'DB Costi-Ore YtD'!$A:$A,N$1,'DB Costi-Ore YtD'!$B:$B,$A200,'DB Costi-Ore YtD'!$E:$E,$C200)-SUM($D200:M200),0)</f>
        <v>0</v>
      </c>
      <c r="O200">
        <f>IF((O$1*1)&lt;=MAX('DB Costi-Ore YtD'!$A:$A),SUMIFS('DB Costi-Ore YtD'!$G:$G,'DB Costi-Ore YtD'!$A:$A,O$1,'DB Costi-Ore YtD'!$B:$B,$A200,'DB Costi-Ore YtD'!$E:$E,$C200)-SUM($D200:N200),0)</f>
        <v>0</v>
      </c>
    </row>
    <row r="201" spans="1:15" hidden="1" x14ac:dyDescent="0.3">
      <c r="A201" t="s">
        <v>415</v>
      </c>
      <c r="B201" t="s">
        <v>416</v>
      </c>
      <c r="C201" t="s">
        <v>5</v>
      </c>
      <c r="D201">
        <f>IF((D$1*1)&lt;=MAX('DB Costi-Ore YtD'!$A:$A),SUMIFS('DB Costi-Ore YtD'!$G:$G,'DB Costi-Ore YtD'!$A:$A,D$1,'DB Costi-Ore YtD'!$B:$B,$A201,'DB Costi-Ore YtD'!$E:$E,$C201),0)</f>
        <v>0</v>
      </c>
      <c r="E201">
        <f>IF((E$1*1)&lt;=MAX('DB Costi-Ore YtD'!$A:$A),SUMIFS('DB Costi-Ore YtD'!$G:$G,'DB Costi-Ore YtD'!$A:$A,E$1,'DB Costi-Ore YtD'!$B:$B,$A201,'DB Costi-Ore YtD'!$E:$E,$C201)-SUM($D201:D201),0)</f>
        <v>0</v>
      </c>
      <c r="F201">
        <f>IF((F$1*1)&lt;=MAX('DB Costi-Ore YtD'!$A:$A),SUMIFS('DB Costi-Ore YtD'!$G:$G,'DB Costi-Ore YtD'!$A:$A,F$1,'DB Costi-Ore YtD'!$B:$B,$A201,'DB Costi-Ore YtD'!$E:$E,$C201)-SUM($D201:E201),0)</f>
        <v>0</v>
      </c>
      <c r="G201">
        <f>IF((G$1*1)&lt;=MAX('DB Costi-Ore YtD'!$A:$A),SUMIFS('DB Costi-Ore YtD'!$G:$G,'DB Costi-Ore YtD'!$A:$A,G$1,'DB Costi-Ore YtD'!$B:$B,$A201,'DB Costi-Ore YtD'!$E:$E,$C201)-SUM($D201:F201),0)</f>
        <v>327.22000000000003</v>
      </c>
      <c r="H201">
        <f>IF((H$1*1)&lt;=MAX('DB Costi-Ore YtD'!$A:$A),SUMIFS('DB Costi-Ore YtD'!$G:$G,'DB Costi-Ore YtD'!$A:$A,H$1,'DB Costi-Ore YtD'!$B:$B,$A201,'DB Costi-Ore YtD'!$E:$E,$C201)-SUM($D201:G201),0)</f>
        <v>466.07999999999993</v>
      </c>
      <c r="I201">
        <f>IF((I$1*1)&lt;=MAX('DB Costi-Ore YtD'!$A:$A),SUMIFS('DB Costi-Ore YtD'!$G:$G,'DB Costi-Ore YtD'!$A:$A,I$1,'DB Costi-Ore YtD'!$B:$B,$A201,'DB Costi-Ore YtD'!$E:$E,$C201)-SUM($D201:H201),0)</f>
        <v>466.08000000000015</v>
      </c>
      <c r="J201">
        <f>IF((J$1*1)&lt;=MAX('DB Costi-Ore YtD'!$A:$A),SUMIFS('DB Costi-Ore YtD'!$G:$G,'DB Costi-Ore YtD'!$A:$A,J$1,'DB Costi-Ore YtD'!$B:$B,$A201,'DB Costi-Ore YtD'!$E:$E,$C201)-SUM($D201:I201),0)</f>
        <v>0</v>
      </c>
      <c r="K201">
        <f>IF((K$1*1)&lt;=MAX('DB Costi-Ore YtD'!$A:$A),SUMIFS('DB Costi-Ore YtD'!$G:$G,'DB Costi-Ore YtD'!$A:$A,K$1,'DB Costi-Ore YtD'!$B:$B,$A201,'DB Costi-Ore YtD'!$E:$E,$C201)-SUM($D201:J201),0)</f>
        <v>0</v>
      </c>
      <c r="L201">
        <f>IF((L$1*1)&lt;=MAX('DB Costi-Ore YtD'!$A:$A),SUMIFS('DB Costi-Ore YtD'!$G:$G,'DB Costi-Ore YtD'!$A:$A,L$1,'DB Costi-Ore YtD'!$B:$B,$A201,'DB Costi-Ore YtD'!$E:$E,$C201)-SUM($D201:K201),0)</f>
        <v>0</v>
      </c>
      <c r="M201">
        <f>IF((M$1*1)&lt;=MAX('DB Costi-Ore YtD'!$A:$A),SUMIFS('DB Costi-Ore YtD'!$G:$G,'DB Costi-Ore YtD'!$A:$A,M$1,'DB Costi-Ore YtD'!$B:$B,$A201,'DB Costi-Ore YtD'!$E:$E,$C201)-SUM($D201:L201),0)</f>
        <v>0</v>
      </c>
      <c r="N201">
        <f>IF((N$1*1)&lt;=MAX('DB Costi-Ore YtD'!$A:$A),SUMIFS('DB Costi-Ore YtD'!$G:$G,'DB Costi-Ore YtD'!$A:$A,N$1,'DB Costi-Ore YtD'!$B:$B,$A201,'DB Costi-Ore YtD'!$E:$E,$C201)-SUM($D201:M201),0)</f>
        <v>0</v>
      </c>
      <c r="O201">
        <f>IF((O$1*1)&lt;=MAX('DB Costi-Ore YtD'!$A:$A),SUMIFS('DB Costi-Ore YtD'!$G:$G,'DB Costi-Ore YtD'!$A:$A,O$1,'DB Costi-Ore YtD'!$B:$B,$A201,'DB Costi-Ore YtD'!$E:$E,$C201)-SUM($D201:N201),0)</f>
        <v>0</v>
      </c>
    </row>
    <row r="202" spans="1:15" hidden="1" x14ac:dyDescent="0.3">
      <c r="A202" t="s">
        <v>31</v>
      </c>
      <c r="B202" t="s">
        <v>32</v>
      </c>
      <c r="C202" t="s">
        <v>7</v>
      </c>
      <c r="D202">
        <f>IF((D$1*1)&lt;=MAX('DB Costi-Ore YtD'!$A:$A),SUMIFS('DB Costi-Ore YtD'!$G:$G,'DB Costi-Ore YtD'!$A:$A,D$1,'DB Costi-Ore YtD'!$B:$B,$A202,'DB Costi-Ore YtD'!$E:$E,$C202),0)</f>
        <v>0</v>
      </c>
      <c r="E202">
        <f>IF((E$1*1)&lt;=MAX('DB Costi-Ore YtD'!$A:$A),SUMIFS('DB Costi-Ore YtD'!$G:$G,'DB Costi-Ore YtD'!$A:$A,E$1,'DB Costi-Ore YtD'!$B:$B,$A202,'DB Costi-Ore YtD'!$E:$E,$C202)-SUM($D202:D202),0)</f>
        <v>0</v>
      </c>
      <c r="F202">
        <f>IF((F$1*1)&lt;=MAX('DB Costi-Ore YtD'!$A:$A),SUMIFS('DB Costi-Ore YtD'!$G:$G,'DB Costi-Ore YtD'!$A:$A,F$1,'DB Costi-Ore YtD'!$B:$B,$A202,'DB Costi-Ore YtD'!$E:$E,$C202)-SUM($D202:E202),0)</f>
        <v>0</v>
      </c>
      <c r="G202">
        <f>IF((G$1*1)&lt;=MAX('DB Costi-Ore YtD'!$A:$A),SUMIFS('DB Costi-Ore YtD'!$G:$G,'DB Costi-Ore YtD'!$A:$A,G$1,'DB Costi-Ore YtD'!$B:$B,$A202,'DB Costi-Ore YtD'!$E:$E,$C202)-SUM($D202:F202),0)</f>
        <v>0</v>
      </c>
      <c r="H202">
        <f>IF((H$1*1)&lt;=MAX('DB Costi-Ore YtD'!$A:$A),SUMIFS('DB Costi-Ore YtD'!$G:$G,'DB Costi-Ore YtD'!$A:$A,H$1,'DB Costi-Ore YtD'!$B:$B,$A202,'DB Costi-Ore YtD'!$E:$E,$C202)-SUM($D202:G202),0)</f>
        <v>6880.3</v>
      </c>
      <c r="I202">
        <f>IF((I$1*1)&lt;=MAX('DB Costi-Ore YtD'!$A:$A),SUMIFS('DB Costi-Ore YtD'!$G:$G,'DB Costi-Ore YtD'!$A:$A,I$1,'DB Costi-Ore YtD'!$B:$B,$A202,'DB Costi-Ore YtD'!$E:$E,$C202)-SUM($D202:H202),0)</f>
        <v>434.8199999999988</v>
      </c>
      <c r="J202">
        <f>IF((J$1*1)&lt;=MAX('DB Costi-Ore YtD'!$A:$A),SUMIFS('DB Costi-Ore YtD'!$G:$G,'DB Costi-Ore YtD'!$A:$A,J$1,'DB Costi-Ore YtD'!$B:$B,$A202,'DB Costi-Ore YtD'!$E:$E,$C202)-SUM($D202:I202),0)</f>
        <v>0</v>
      </c>
      <c r="K202">
        <f>IF((K$1*1)&lt;=MAX('DB Costi-Ore YtD'!$A:$A),SUMIFS('DB Costi-Ore YtD'!$G:$G,'DB Costi-Ore YtD'!$A:$A,K$1,'DB Costi-Ore YtD'!$B:$B,$A202,'DB Costi-Ore YtD'!$E:$E,$C202)-SUM($D202:J202),0)</f>
        <v>0</v>
      </c>
      <c r="L202">
        <f>IF((L$1*1)&lt;=MAX('DB Costi-Ore YtD'!$A:$A),SUMIFS('DB Costi-Ore YtD'!$G:$G,'DB Costi-Ore YtD'!$A:$A,L$1,'DB Costi-Ore YtD'!$B:$B,$A202,'DB Costi-Ore YtD'!$E:$E,$C202)-SUM($D202:K202),0)</f>
        <v>0</v>
      </c>
      <c r="M202">
        <f>IF((M$1*1)&lt;=MAX('DB Costi-Ore YtD'!$A:$A),SUMIFS('DB Costi-Ore YtD'!$G:$G,'DB Costi-Ore YtD'!$A:$A,M$1,'DB Costi-Ore YtD'!$B:$B,$A202,'DB Costi-Ore YtD'!$E:$E,$C202)-SUM($D202:L202),0)</f>
        <v>0</v>
      </c>
      <c r="N202">
        <f>IF((N$1*1)&lt;=MAX('DB Costi-Ore YtD'!$A:$A),SUMIFS('DB Costi-Ore YtD'!$G:$G,'DB Costi-Ore YtD'!$A:$A,N$1,'DB Costi-Ore YtD'!$B:$B,$A202,'DB Costi-Ore YtD'!$E:$E,$C202)-SUM($D202:M202),0)</f>
        <v>0</v>
      </c>
      <c r="O202">
        <f>IF((O$1*1)&lt;=MAX('DB Costi-Ore YtD'!$A:$A),SUMIFS('DB Costi-Ore YtD'!$G:$G,'DB Costi-Ore YtD'!$A:$A,O$1,'DB Costi-Ore YtD'!$B:$B,$A202,'DB Costi-Ore YtD'!$E:$E,$C202)-SUM($D202:N202),0)</f>
        <v>0</v>
      </c>
    </row>
    <row r="203" spans="1:15" hidden="1" x14ac:dyDescent="0.3">
      <c r="A203" t="s">
        <v>55</v>
      </c>
      <c r="B203" t="s">
        <v>56</v>
      </c>
      <c r="C203" t="s">
        <v>12</v>
      </c>
      <c r="D203">
        <f>IF((D$1*1)&lt;=MAX('DB Costi-Ore YtD'!$A:$A),SUMIFS('DB Costi-Ore YtD'!$G:$G,'DB Costi-Ore YtD'!$A:$A,D$1,'DB Costi-Ore YtD'!$B:$B,$A203,'DB Costi-Ore YtD'!$E:$E,$C203),0)</f>
        <v>0</v>
      </c>
      <c r="E203">
        <f>IF((E$1*1)&lt;=MAX('DB Costi-Ore YtD'!$A:$A),SUMIFS('DB Costi-Ore YtD'!$G:$G,'DB Costi-Ore YtD'!$A:$A,E$1,'DB Costi-Ore YtD'!$B:$B,$A203,'DB Costi-Ore YtD'!$E:$E,$C203)-SUM($D203:D203),0)</f>
        <v>0</v>
      </c>
      <c r="F203">
        <f>IF((F$1*1)&lt;=MAX('DB Costi-Ore YtD'!$A:$A),SUMIFS('DB Costi-Ore YtD'!$G:$G,'DB Costi-Ore YtD'!$A:$A,F$1,'DB Costi-Ore YtD'!$B:$B,$A203,'DB Costi-Ore YtD'!$E:$E,$C203)-SUM($D203:E203),0)</f>
        <v>0</v>
      </c>
      <c r="G203">
        <f>IF((G$1*1)&lt;=MAX('DB Costi-Ore YtD'!$A:$A),SUMIFS('DB Costi-Ore YtD'!$G:$G,'DB Costi-Ore YtD'!$A:$A,G$1,'DB Costi-Ore YtD'!$B:$B,$A203,'DB Costi-Ore YtD'!$E:$E,$C203)-SUM($D203:F203),0)</f>
        <v>0</v>
      </c>
      <c r="H203">
        <f>IF((H$1*1)&lt;=MAX('DB Costi-Ore YtD'!$A:$A),SUMIFS('DB Costi-Ore YtD'!$G:$G,'DB Costi-Ore YtD'!$A:$A,H$1,'DB Costi-Ore YtD'!$B:$B,$A203,'DB Costi-Ore YtD'!$E:$E,$C203)-SUM($D203:G203),0)</f>
        <v>17426.440000000002</v>
      </c>
      <c r="I203">
        <f>IF((I$1*1)&lt;=MAX('DB Costi-Ore YtD'!$A:$A),SUMIFS('DB Costi-Ore YtD'!$G:$G,'DB Costi-Ore YtD'!$A:$A,I$1,'DB Costi-Ore YtD'!$B:$B,$A203,'DB Costi-Ore YtD'!$E:$E,$C203)-SUM($D203:H203),0)</f>
        <v>2839.6799999999894</v>
      </c>
      <c r="J203">
        <f>IF((J$1*1)&lt;=MAX('DB Costi-Ore YtD'!$A:$A),SUMIFS('DB Costi-Ore YtD'!$G:$G,'DB Costi-Ore YtD'!$A:$A,J$1,'DB Costi-Ore YtD'!$B:$B,$A203,'DB Costi-Ore YtD'!$E:$E,$C203)-SUM($D203:I203),0)</f>
        <v>0</v>
      </c>
      <c r="K203">
        <f>IF((K$1*1)&lt;=MAX('DB Costi-Ore YtD'!$A:$A),SUMIFS('DB Costi-Ore YtD'!$G:$G,'DB Costi-Ore YtD'!$A:$A,K$1,'DB Costi-Ore YtD'!$B:$B,$A203,'DB Costi-Ore YtD'!$E:$E,$C203)-SUM($D203:J203),0)</f>
        <v>0</v>
      </c>
      <c r="L203">
        <f>IF((L$1*1)&lt;=MAX('DB Costi-Ore YtD'!$A:$A),SUMIFS('DB Costi-Ore YtD'!$G:$G,'DB Costi-Ore YtD'!$A:$A,L$1,'DB Costi-Ore YtD'!$B:$B,$A203,'DB Costi-Ore YtD'!$E:$E,$C203)-SUM($D203:K203),0)</f>
        <v>0</v>
      </c>
      <c r="M203">
        <f>IF((M$1*1)&lt;=MAX('DB Costi-Ore YtD'!$A:$A),SUMIFS('DB Costi-Ore YtD'!$G:$G,'DB Costi-Ore YtD'!$A:$A,M$1,'DB Costi-Ore YtD'!$B:$B,$A203,'DB Costi-Ore YtD'!$E:$E,$C203)-SUM($D203:L203),0)</f>
        <v>0</v>
      </c>
      <c r="N203">
        <f>IF((N$1*1)&lt;=MAX('DB Costi-Ore YtD'!$A:$A),SUMIFS('DB Costi-Ore YtD'!$G:$G,'DB Costi-Ore YtD'!$A:$A,N$1,'DB Costi-Ore YtD'!$B:$B,$A203,'DB Costi-Ore YtD'!$E:$E,$C203)-SUM($D203:M203),0)</f>
        <v>0</v>
      </c>
      <c r="O203">
        <f>IF((O$1*1)&lt;=MAX('DB Costi-Ore YtD'!$A:$A),SUMIFS('DB Costi-Ore YtD'!$G:$G,'DB Costi-Ore YtD'!$A:$A,O$1,'DB Costi-Ore YtD'!$B:$B,$A203,'DB Costi-Ore YtD'!$E:$E,$C203)-SUM($D203:N203),0)</f>
        <v>0</v>
      </c>
    </row>
    <row r="204" spans="1:15" hidden="1" x14ac:dyDescent="0.3">
      <c r="A204" t="s">
        <v>103</v>
      </c>
      <c r="B204" t="s">
        <v>104</v>
      </c>
      <c r="C204" t="s">
        <v>3</v>
      </c>
      <c r="D204">
        <f>IF((D$1*1)&lt;=MAX('DB Costi-Ore YtD'!$A:$A),SUMIFS('DB Costi-Ore YtD'!$G:$G,'DB Costi-Ore YtD'!$A:$A,D$1,'DB Costi-Ore YtD'!$B:$B,$A204,'DB Costi-Ore YtD'!$E:$E,$C204),0)</f>
        <v>0</v>
      </c>
      <c r="E204">
        <f>IF((E$1*1)&lt;=MAX('DB Costi-Ore YtD'!$A:$A),SUMIFS('DB Costi-Ore YtD'!$G:$G,'DB Costi-Ore YtD'!$A:$A,E$1,'DB Costi-Ore YtD'!$B:$B,$A204,'DB Costi-Ore YtD'!$E:$E,$C204)-SUM($D204:D204),0)</f>
        <v>0</v>
      </c>
      <c r="F204">
        <f>IF((F$1*1)&lt;=MAX('DB Costi-Ore YtD'!$A:$A),SUMIFS('DB Costi-Ore YtD'!$G:$G,'DB Costi-Ore YtD'!$A:$A,F$1,'DB Costi-Ore YtD'!$B:$B,$A204,'DB Costi-Ore YtD'!$E:$E,$C204)-SUM($D204:E204),0)</f>
        <v>0</v>
      </c>
      <c r="G204">
        <f>IF((G$1*1)&lt;=MAX('DB Costi-Ore YtD'!$A:$A),SUMIFS('DB Costi-Ore YtD'!$G:$G,'DB Costi-Ore YtD'!$A:$A,G$1,'DB Costi-Ore YtD'!$B:$B,$A204,'DB Costi-Ore YtD'!$E:$E,$C204)-SUM($D204:F204),0)</f>
        <v>0</v>
      </c>
      <c r="H204">
        <f>IF((H$1*1)&lt;=MAX('DB Costi-Ore YtD'!$A:$A),SUMIFS('DB Costi-Ore YtD'!$G:$G,'DB Costi-Ore YtD'!$A:$A,H$1,'DB Costi-Ore YtD'!$B:$B,$A204,'DB Costi-Ore YtD'!$E:$E,$C204)-SUM($D204:G204),0)</f>
        <v>4962.0200000000004</v>
      </c>
      <c r="I204">
        <f>IF((I$1*1)&lt;=MAX('DB Costi-Ore YtD'!$A:$A),SUMIFS('DB Costi-Ore YtD'!$G:$G,'DB Costi-Ore YtD'!$A:$A,I$1,'DB Costi-Ore YtD'!$B:$B,$A204,'DB Costi-Ore YtD'!$E:$E,$C204)-SUM($D204:H204),0)</f>
        <v>1108.8899999999994</v>
      </c>
      <c r="J204">
        <f>IF((J$1*1)&lt;=MAX('DB Costi-Ore YtD'!$A:$A),SUMIFS('DB Costi-Ore YtD'!$G:$G,'DB Costi-Ore YtD'!$A:$A,J$1,'DB Costi-Ore YtD'!$B:$B,$A204,'DB Costi-Ore YtD'!$E:$E,$C204)-SUM($D204:I204),0)</f>
        <v>0</v>
      </c>
      <c r="K204">
        <f>IF((K$1*1)&lt;=MAX('DB Costi-Ore YtD'!$A:$A),SUMIFS('DB Costi-Ore YtD'!$G:$G,'DB Costi-Ore YtD'!$A:$A,K$1,'DB Costi-Ore YtD'!$B:$B,$A204,'DB Costi-Ore YtD'!$E:$E,$C204)-SUM($D204:J204),0)</f>
        <v>0</v>
      </c>
      <c r="L204">
        <f>IF((L$1*1)&lt;=MAX('DB Costi-Ore YtD'!$A:$A),SUMIFS('DB Costi-Ore YtD'!$G:$G,'DB Costi-Ore YtD'!$A:$A,L$1,'DB Costi-Ore YtD'!$B:$B,$A204,'DB Costi-Ore YtD'!$E:$E,$C204)-SUM($D204:K204),0)</f>
        <v>0</v>
      </c>
      <c r="M204">
        <f>IF((M$1*1)&lt;=MAX('DB Costi-Ore YtD'!$A:$A),SUMIFS('DB Costi-Ore YtD'!$G:$G,'DB Costi-Ore YtD'!$A:$A,M$1,'DB Costi-Ore YtD'!$B:$B,$A204,'DB Costi-Ore YtD'!$E:$E,$C204)-SUM($D204:L204),0)</f>
        <v>0</v>
      </c>
      <c r="N204">
        <f>IF((N$1*1)&lt;=MAX('DB Costi-Ore YtD'!$A:$A),SUMIFS('DB Costi-Ore YtD'!$G:$G,'DB Costi-Ore YtD'!$A:$A,N$1,'DB Costi-Ore YtD'!$B:$B,$A204,'DB Costi-Ore YtD'!$E:$E,$C204)-SUM($D204:M204),0)</f>
        <v>0</v>
      </c>
      <c r="O204">
        <f>IF((O$1*1)&lt;=MAX('DB Costi-Ore YtD'!$A:$A),SUMIFS('DB Costi-Ore YtD'!$G:$G,'DB Costi-Ore YtD'!$A:$A,O$1,'DB Costi-Ore YtD'!$B:$B,$A204,'DB Costi-Ore YtD'!$E:$E,$C204)-SUM($D204:N204),0)</f>
        <v>0</v>
      </c>
    </row>
    <row r="205" spans="1:15" hidden="1" x14ac:dyDescent="0.3">
      <c r="A205" t="s">
        <v>157</v>
      </c>
      <c r="B205" t="s">
        <v>158</v>
      </c>
      <c r="C205" t="s">
        <v>2</v>
      </c>
      <c r="D205">
        <f>IF((D$1*1)&lt;=MAX('DB Costi-Ore YtD'!$A:$A),SUMIFS('DB Costi-Ore YtD'!$G:$G,'DB Costi-Ore YtD'!$A:$A,D$1,'DB Costi-Ore YtD'!$B:$B,$A205,'DB Costi-Ore YtD'!$E:$E,$C205),0)</f>
        <v>0</v>
      </c>
      <c r="E205">
        <f>IF((E$1*1)&lt;=MAX('DB Costi-Ore YtD'!$A:$A),SUMIFS('DB Costi-Ore YtD'!$G:$G,'DB Costi-Ore YtD'!$A:$A,E$1,'DB Costi-Ore YtD'!$B:$B,$A205,'DB Costi-Ore YtD'!$E:$E,$C205)-SUM($D205:D205),0)</f>
        <v>0</v>
      </c>
      <c r="F205">
        <f>IF((F$1*1)&lt;=MAX('DB Costi-Ore YtD'!$A:$A),SUMIFS('DB Costi-Ore YtD'!$G:$G,'DB Costi-Ore YtD'!$A:$A,F$1,'DB Costi-Ore YtD'!$B:$B,$A205,'DB Costi-Ore YtD'!$E:$E,$C205)-SUM($D205:E205),0)</f>
        <v>0</v>
      </c>
      <c r="G205">
        <f>IF((G$1*1)&lt;=MAX('DB Costi-Ore YtD'!$A:$A),SUMIFS('DB Costi-Ore YtD'!$G:$G,'DB Costi-Ore YtD'!$A:$A,G$1,'DB Costi-Ore YtD'!$B:$B,$A205,'DB Costi-Ore YtD'!$E:$E,$C205)-SUM($D205:F205),0)</f>
        <v>0</v>
      </c>
      <c r="H205">
        <f>IF((H$1*1)&lt;=MAX('DB Costi-Ore YtD'!$A:$A),SUMIFS('DB Costi-Ore YtD'!$G:$G,'DB Costi-Ore YtD'!$A:$A,H$1,'DB Costi-Ore YtD'!$B:$B,$A205,'DB Costi-Ore YtD'!$E:$E,$C205)-SUM($D205:G205),0)</f>
        <v>10651.640000000001</v>
      </c>
      <c r="I205">
        <f>IF((I$1*1)&lt;=MAX('DB Costi-Ore YtD'!$A:$A),SUMIFS('DB Costi-Ore YtD'!$G:$G,'DB Costi-Ore YtD'!$A:$A,I$1,'DB Costi-Ore YtD'!$B:$B,$A205,'DB Costi-Ore YtD'!$E:$E,$C205)-SUM($D205:H205),0)</f>
        <v>2137.1399999999994</v>
      </c>
      <c r="J205">
        <f>IF((J$1*1)&lt;=MAX('DB Costi-Ore YtD'!$A:$A),SUMIFS('DB Costi-Ore YtD'!$G:$G,'DB Costi-Ore YtD'!$A:$A,J$1,'DB Costi-Ore YtD'!$B:$B,$A205,'DB Costi-Ore YtD'!$E:$E,$C205)-SUM($D205:I205),0)</f>
        <v>0</v>
      </c>
      <c r="K205">
        <f>IF((K$1*1)&lt;=MAX('DB Costi-Ore YtD'!$A:$A),SUMIFS('DB Costi-Ore YtD'!$G:$G,'DB Costi-Ore YtD'!$A:$A,K$1,'DB Costi-Ore YtD'!$B:$B,$A205,'DB Costi-Ore YtD'!$E:$E,$C205)-SUM($D205:J205),0)</f>
        <v>0</v>
      </c>
      <c r="L205">
        <f>IF((L$1*1)&lt;=MAX('DB Costi-Ore YtD'!$A:$A),SUMIFS('DB Costi-Ore YtD'!$G:$G,'DB Costi-Ore YtD'!$A:$A,L$1,'DB Costi-Ore YtD'!$B:$B,$A205,'DB Costi-Ore YtD'!$E:$E,$C205)-SUM($D205:K205),0)</f>
        <v>0</v>
      </c>
      <c r="M205">
        <f>IF((M$1*1)&lt;=MAX('DB Costi-Ore YtD'!$A:$A),SUMIFS('DB Costi-Ore YtD'!$G:$G,'DB Costi-Ore YtD'!$A:$A,M$1,'DB Costi-Ore YtD'!$B:$B,$A205,'DB Costi-Ore YtD'!$E:$E,$C205)-SUM($D205:L205),0)</f>
        <v>0</v>
      </c>
      <c r="N205">
        <f>IF((N$1*1)&lt;=MAX('DB Costi-Ore YtD'!$A:$A),SUMIFS('DB Costi-Ore YtD'!$G:$G,'DB Costi-Ore YtD'!$A:$A,N$1,'DB Costi-Ore YtD'!$B:$B,$A205,'DB Costi-Ore YtD'!$E:$E,$C205)-SUM($D205:M205),0)</f>
        <v>0</v>
      </c>
      <c r="O205">
        <f>IF((O$1*1)&lt;=MAX('DB Costi-Ore YtD'!$A:$A),SUMIFS('DB Costi-Ore YtD'!$G:$G,'DB Costi-Ore YtD'!$A:$A,O$1,'DB Costi-Ore YtD'!$B:$B,$A205,'DB Costi-Ore YtD'!$E:$E,$C205)-SUM($D205:N205),0)</f>
        <v>0</v>
      </c>
    </row>
    <row r="206" spans="1:15" hidden="1" x14ac:dyDescent="0.3">
      <c r="A206" t="s">
        <v>193</v>
      </c>
      <c r="B206" t="s">
        <v>194</v>
      </c>
      <c r="C206" t="s">
        <v>2</v>
      </c>
      <c r="D206">
        <f>IF((D$1*1)&lt;=MAX('DB Costi-Ore YtD'!$A:$A),SUMIFS('DB Costi-Ore YtD'!$G:$G,'DB Costi-Ore YtD'!$A:$A,D$1,'DB Costi-Ore YtD'!$B:$B,$A206,'DB Costi-Ore YtD'!$E:$E,$C206),0)</f>
        <v>0</v>
      </c>
      <c r="E206">
        <f>IF((E$1*1)&lt;=MAX('DB Costi-Ore YtD'!$A:$A),SUMIFS('DB Costi-Ore YtD'!$G:$G,'DB Costi-Ore YtD'!$A:$A,E$1,'DB Costi-Ore YtD'!$B:$B,$A206,'DB Costi-Ore YtD'!$E:$E,$C206)-SUM($D206:D206),0)</f>
        <v>0</v>
      </c>
      <c r="F206">
        <f>IF((F$1*1)&lt;=MAX('DB Costi-Ore YtD'!$A:$A),SUMIFS('DB Costi-Ore YtD'!$G:$G,'DB Costi-Ore YtD'!$A:$A,F$1,'DB Costi-Ore YtD'!$B:$B,$A206,'DB Costi-Ore YtD'!$E:$E,$C206)-SUM($D206:E206),0)</f>
        <v>0</v>
      </c>
      <c r="G206">
        <f>IF((G$1*1)&lt;=MAX('DB Costi-Ore YtD'!$A:$A),SUMIFS('DB Costi-Ore YtD'!$G:$G,'DB Costi-Ore YtD'!$A:$A,G$1,'DB Costi-Ore YtD'!$B:$B,$A206,'DB Costi-Ore YtD'!$E:$E,$C206)-SUM($D206:F206),0)</f>
        <v>0</v>
      </c>
      <c r="H206">
        <f>IF((H$1*1)&lt;=MAX('DB Costi-Ore YtD'!$A:$A),SUMIFS('DB Costi-Ore YtD'!$G:$G,'DB Costi-Ore YtD'!$A:$A,H$1,'DB Costi-Ore YtD'!$B:$B,$A206,'DB Costi-Ore YtD'!$E:$E,$C206)-SUM($D206:G206),0)</f>
        <v>10440.85</v>
      </c>
      <c r="I206">
        <f>IF((I$1*1)&lt;=MAX('DB Costi-Ore YtD'!$A:$A),SUMIFS('DB Costi-Ore YtD'!$G:$G,'DB Costi-Ore YtD'!$A:$A,I$1,'DB Costi-Ore YtD'!$B:$B,$A206,'DB Costi-Ore YtD'!$E:$E,$C206)-SUM($D206:H206),0)</f>
        <v>2271.9699999999975</v>
      </c>
      <c r="J206">
        <f>IF((J$1*1)&lt;=MAX('DB Costi-Ore YtD'!$A:$A),SUMIFS('DB Costi-Ore YtD'!$G:$G,'DB Costi-Ore YtD'!$A:$A,J$1,'DB Costi-Ore YtD'!$B:$B,$A206,'DB Costi-Ore YtD'!$E:$E,$C206)-SUM($D206:I206),0)</f>
        <v>0</v>
      </c>
      <c r="K206">
        <f>IF((K$1*1)&lt;=MAX('DB Costi-Ore YtD'!$A:$A),SUMIFS('DB Costi-Ore YtD'!$G:$G,'DB Costi-Ore YtD'!$A:$A,K$1,'DB Costi-Ore YtD'!$B:$B,$A206,'DB Costi-Ore YtD'!$E:$E,$C206)-SUM($D206:J206),0)</f>
        <v>0</v>
      </c>
      <c r="L206">
        <f>IF((L$1*1)&lt;=MAX('DB Costi-Ore YtD'!$A:$A),SUMIFS('DB Costi-Ore YtD'!$G:$G,'DB Costi-Ore YtD'!$A:$A,L$1,'DB Costi-Ore YtD'!$B:$B,$A206,'DB Costi-Ore YtD'!$E:$E,$C206)-SUM($D206:K206),0)</f>
        <v>0</v>
      </c>
      <c r="M206">
        <f>IF((M$1*1)&lt;=MAX('DB Costi-Ore YtD'!$A:$A),SUMIFS('DB Costi-Ore YtD'!$G:$G,'DB Costi-Ore YtD'!$A:$A,M$1,'DB Costi-Ore YtD'!$B:$B,$A206,'DB Costi-Ore YtD'!$E:$E,$C206)-SUM($D206:L206),0)</f>
        <v>0</v>
      </c>
      <c r="N206">
        <f>IF((N$1*1)&lt;=MAX('DB Costi-Ore YtD'!$A:$A),SUMIFS('DB Costi-Ore YtD'!$G:$G,'DB Costi-Ore YtD'!$A:$A,N$1,'DB Costi-Ore YtD'!$B:$B,$A206,'DB Costi-Ore YtD'!$E:$E,$C206)-SUM($D206:M206),0)</f>
        <v>0</v>
      </c>
      <c r="O206">
        <f>IF((O$1*1)&lt;=MAX('DB Costi-Ore YtD'!$A:$A),SUMIFS('DB Costi-Ore YtD'!$G:$G,'DB Costi-Ore YtD'!$A:$A,O$1,'DB Costi-Ore YtD'!$B:$B,$A206,'DB Costi-Ore YtD'!$E:$E,$C206)-SUM($D206:N206),0)</f>
        <v>0</v>
      </c>
    </row>
    <row r="207" spans="1:15" hidden="1" x14ac:dyDescent="0.3">
      <c r="A207" t="s">
        <v>227</v>
      </c>
      <c r="B207" t="s">
        <v>228</v>
      </c>
      <c r="C207" t="s">
        <v>12</v>
      </c>
      <c r="D207">
        <f>IF((D$1*1)&lt;=MAX('DB Costi-Ore YtD'!$A:$A),SUMIFS('DB Costi-Ore YtD'!$G:$G,'DB Costi-Ore YtD'!$A:$A,D$1,'DB Costi-Ore YtD'!$B:$B,$A207,'DB Costi-Ore YtD'!$E:$E,$C207),0)</f>
        <v>0</v>
      </c>
      <c r="E207">
        <f>IF((E$1*1)&lt;=MAX('DB Costi-Ore YtD'!$A:$A),SUMIFS('DB Costi-Ore YtD'!$G:$G,'DB Costi-Ore YtD'!$A:$A,E$1,'DB Costi-Ore YtD'!$B:$B,$A207,'DB Costi-Ore YtD'!$E:$E,$C207)-SUM($D207:D207),0)</f>
        <v>0</v>
      </c>
      <c r="F207">
        <f>IF((F$1*1)&lt;=MAX('DB Costi-Ore YtD'!$A:$A),SUMIFS('DB Costi-Ore YtD'!$G:$G,'DB Costi-Ore YtD'!$A:$A,F$1,'DB Costi-Ore YtD'!$B:$B,$A207,'DB Costi-Ore YtD'!$E:$E,$C207)-SUM($D207:E207),0)</f>
        <v>0</v>
      </c>
      <c r="G207">
        <f>IF((G$1*1)&lt;=MAX('DB Costi-Ore YtD'!$A:$A),SUMIFS('DB Costi-Ore YtD'!$G:$G,'DB Costi-Ore YtD'!$A:$A,G$1,'DB Costi-Ore YtD'!$B:$B,$A207,'DB Costi-Ore YtD'!$E:$E,$C207)-SUM($D207:F207),0)</f>
        <v>0</v>
      </c>
      <c r="H207">
        <f>IF((H$1*1)&lt;=MAX('DB Costi-Ore YtD'!$A:$A),SUMIFS('DB Costi-Ore YtD'!$G:$G,'DB Costi-Ore YtD'!$A:$A,H$1,'DB Costi-Ore YtD'!$B:$B,$A207,'DB Costi-Ore YtD'!$E:$E,$C207)-SUM($D207:G207),0)</f>
        <v>17894.71</v>
      </c>
      <c r="I207">
        <f>IF((I$1*1)&lt;=MAX('DB Costi-Ore YtD'!$A:$A),SUMIFS('DB Costi-Ore YtD'!$G:$G,'DB Costi-Ore YtD'!$A:$A,I$1,'DB Costi-Ore YtD'!$B:$B,$A207,'DB Costi-Ore YtD'!$E:$E,$C207)-SUM($D207:H207),0)</f>
        <v>3166.8899999999994</v>
      </c>
      <c r="J207">
        <f>IF((J$1*1)&lt;=MAX('DB Costi-Ore YtD'!$A:$A),SUMIFS('DB Costi-Ore YtD'!$G:$G,'DB Costi-Ore YtD'!$A:$A,J$1,'DB Costi-Ore YtD'!$B:$B,$A207,'DB Costi-Ore YtD'!$E:$E,$C207)-SUM($D207:I207),0)</f>
        <v>0</v>
      </c>
      <c r="K207">
        <f>IF((K$1*1)&lt;=MAX('DB Costi-Ore YtD'!$A:$A),SUMIFS('DB Costi-Ore YtD'!$G:$G,'DB Costi-Ore YtD'!$A:$A,K$1,'DB Costi-Ore YtD'!$B:$B,$A207,'DB Costi-Ore YtD'!$E:$E,$C207)-SUM($D207:J207),0)</f>
        <v>0</v>
      </c>
      <c r="L207">
        <f>IF((L$1*1)&lt;=MAX('DB Costi-Ore YtD'!$A:$A),SUMIFS('DB Costi-Ore YtD'!$G:$G,'DB Costi-Ore YtD'!$A:$A,L$1,'DB Costi-Ore YtD'!$B:$B,$A207,'DB Costi-Ore YtD'!$E:$E,$C207)-SUM($D207:K207),0)</f>
        <v>0</v>
      </c>
      <c r="M207">
        <f>IF((M$1*1)&lt;=MAX('DB Costi-Ore YtD'!$A:$A),SUMIFS('DB Costi-Ore YtD'!$G:$G,'DB Costi-Ore YtD'!$A:$A,M$1,'DB Costi-Ore YtD'!$B:$B,$A207,'DB Costi-Ore YtD'!$E:$E,$C207)-SUM($D207:L207),0)</f>
        <v>0</v>
      </c>
      <c r="N207">
        <f>IF((N$1*1)&lt;=MAX('DB Costi-Ore YtD'!$A:$A),SUMIFS('DB Costi-Ore YtD'!$G:$G,'DB Costi-Ore YtD'!$A:$A,N$1,'DB Costi-Ore YtD'!$B:$B,$A207,'DB Costi-Ore YtD'!$E:$E,$C207)-SUM($D207:M207),0)</f>
        <v>0</v>
      </c>
      <c r="O207">
        <f>IF((O$1*1)&lt;=MAX('DB Costi-Ore YtD'!$A:$A),SUMIFS('DB Costi-Ore YtD'!$G:$G,'DB Costi-Ore YtD'!$A:$A,O$1,'DB Costi-Ore YtD'!$B:$B,$A207,'DB Costi-Ore YtD'!$E:$E,$C207)-SUM($D207:N207),0)</f>
        <v>0</v>
      </c>
    </row>
    <row r="208" spans="1:15" hidden="1" x14ac:dyDescent="0.3">
      <c r="A208" t="s">
        <v>417</v>
      </c>
      <c r="B208" t="s">
        <v>232</v>
      </c>
      <c r="C208" t="s">
        <v>2</v>
      </c>
      <c r="D208">
        <f>IF((D$1*1)&lt;=MAX('DB Costi-Ore YtD'!$A:$A),SUMIFS('DB Costi-Ore YtD'!$G:$G,'DB Costi-Ore YtD'!$A:$A,D$1,'DB Costi-Ore YtD'!$B:$B,$A208,'DB Costi-Ore YtD'!$E:$E,$C208),0)</f>
        <v>0</v>
      </c>
      <c r="E208">
        <f>IF((E$1*1)&lt;=MAX('DB Costi-Ore YtD'!$A:$A),SUMIFS('DB Costi-Ore YtD'!$G:$G,'DB Costi-Ore YtD'!$A:$A,E$1,'DB Costi-Ore YtD'!$B:$B,$A208,'DB Costi-Ore YtD'!$E:$E,$C208)-SUM($D208:D208),0)</f>
        <v>0</v>
      </c>
      <c r="F208">
        <f>IF((F$1*1)&lt;=MAX('DB Costi-Ore YtD'!$A:$A),SUMIFS('DB Costi-Ore YtD'!$G:$G,'DB Costi-Ore YtD'!$A:$A,F$1,'DB Costi-Ore YtD'!$B:$B,$A208,'DB Costi-Ore YtD'!$E:$E,$C208)-SUM($D208:E208),0)</f>
        <v>0</v>
      </c>
      <c r="G208">
        <f>IF((G$1*1)&lt;=MAX('DB Costi-Ore YtD'!$A:$A),SUMIFS('DB Costi-Ore YtD'!$G:$G,'DB Costi-Ore YtD'!$A:$A,G$1,'DB Costi-Ore YtD'!$B:$B,$A208,'DB Costi-Ore YtD'!$E:$E,$C208)-SUM($D208:F208),0)</f>
        <v>0</v>
      </c>
      <c r="H208">
        <f>IF((H$1*1)&lt;=MAX('DB Costi-Ore YtD'!$A:$A),SUMIFS('DB Costi-Ore YtD'!$G:$G,'DB Costi-Ore YtD'!$A:$A,H$1,'DB Costi-Ore YtD'!$B:$B,$A208,'DB Costi-Ore YtD'!$E:$E,$C208)-SUM($D208:G208),0)</f>
        <v>1644.61</v>
      </c>
      <c r="I208">
        <f>IF((I$1*1)&lt;=MAX('DB Costi-Ore YtD'!$A:$A),SUMIFS('DB Costi-Ore YtD'!$G:$G,'DB Costi-Ore YtD'!$A:$A,I$1,'DB Costi-Ore YtD'!$B:$B,$A208,'DB Costi-Ore YtD'!$E:$E,$C208)-SUM($D208:H208),0)</f>
        <v>-1644.61</v>
      </c>
      <c r="J208">
        <f>IF((J$1*1)&lt;=MAX('DB Costi-Ore YtD'!$A:$A),SUMIFS('DB Costi-Ore YtD'!$G:$G,'DB Costi-Ore YtD'!$A:$A,J$1,'DB Costi-Ore YtD'!$B:$B,$A208,'DB Costi-Ore YtD'!$E:$E,$C208)-SUM($D208:I208),0)</f>
        <v>0</v>
      </c>
      <c r="K208">
        <f>IF((K$1*1)&lt;=MAX('DB Costi-Ore YtD'!$A:$A),SUMIFS('DB Costi-Ore YtD'!$G:$G,'DB Costi-Ore YtD'!$A:$A,K$1,'DB Costi-Ore YtD'!$B:$B,$A208,'DB Costi-Ore YtD'!$E:$E,$C208)-SUM($D208:J208),0)</f>
        <v>0</v>
      </c>
      <c r="L208">
        <f>IF((L$1*1)&lt;=MAX('DB Costi-Ore YtD'!$A:$A),SUMIFS('DB Costi-Ore YtD'!$G:$G,'DB Costi-Ore YtD'!$A:$A,L$1,'DB Costi-Ore YtD'!$B:$B,$A208,'DB Costi-Ore YtD'!$E:$E,$C208)-SUM($D208:K208),0)</f>
        <v>0</v>
      </c>
      <c r="M208">
        <f>IF((M$1*1)&lt;=MAX('DB Costi-Ore YtD'!$A:$A),SUMIFS('DB Costi-Ore YtD'!$G:$G,'DB Costi-Ore YtD'!$A:$A,M$1,'DB Costi-Ore YtD'!$B:$B,$A208,'DB Costi-Ore YtD'!$E:$E,$C208)-SUM($D208:L208),0)</f>
        <v>0</v>
      </c>
      <c r="N208">
        <f>IF((N$1*1)&lt;=MAX('DB Costi-Ore YtD'!$A:$A),SUMIFS('DB Costi-Ore YtD'!$G:$G,'DB Costi-Ore YtD'!$A:$A,N$1,'DB Costi-Ore YtD'!$B:$B,$A208,'DB Costi-Ore YtD'!$E:$E,$C208)-SUM($D208:M208),0)</f>
        <v>0</v>
      </c>
      <c r="O208">
        <f>IF((O$1*1)&lt;=MAX('DB Costi-Ore YtD'!$A:$A),SUMIFS('DB Costi-Ore YtD'!$G:$G,'DB Costi-Ore YtD'!$A:$A,O$1,'DB Costi-Ore YtD'!$B:$B,$A208,'DB Costi-Ore YtD'!$E:$E,$C208)-SUM($D208:N208),0)</f>
        <v>0</v>
      </c>
    </row>
    <row r="209" spans="1:15" hidden="1" x14ac:dyDescent="0.3">
      <c r="A209" t="s">
        <v>233</v>
      </c>
      <c r="B209" t="s">
        <v>234</v>
      </c>
      <c r="C209" t="s">
        <v>3</v>
      </c>
      <c r="D209">
        <f>IF((D$1*1)&lt;=MAX('DB Costi-Ore YtD'!$A:$A),SUMIFS('DB Costi-Ore YtD'!$G:$G,'DB Costi-Ore YtD'!$A:$A,D$1,'DB Costi-Ore YtD'!$B:$B,$A209,'DB Costi-Ore YtD'!$E:$E,$C209),0)</f>
        <v>0</v>
      </c>
      <c r="E209">
        <f>IF((E$1*1)&lt;=MAX('DB Costi-Ore YtD'!$A:$A),SUMIFS('DB Costi-Ore YtD'!$G:$G,'DB Costi-Ore YtD'!$A:$A,E$1,'DB Costi-Ore YtD'!$B:$B,$A209,'DB Costi-Ore YtD'!$E:$E,$C209)-SUM($D209:D209),0)</f>
        <v>0</v>
      </c>
      <c r="F209">
        <f>IF((F$1*1)&lt;=MAX('DB Costi-Ore YtD'!$A:$A),SUMIFS('DB Costi-Ore YtD'!$G:$G,'DB Costi-Ore YtD'!$A:$A,F$1,'DB Costi-Ore YtD'!$B:$B,$A209,'DB Costi-Ore YtD'!$E:$E,$C209)-SUM($D209:E209),0)</f>
        <v>0</v>
      </c>
      <c r="G209">
        <f>IF((G$1*1)&lt;=MAX('DB Costi-Ore YtD'!$A:$A),SUMIFS('DB Costi-Ore YtD'!$G:$G,'DB Costi-Ore YtD'!$A:$A,G$1,'DB Costi-Ore YtD'!$B:$B,$A209,'DB Costi-Ore YtD'!$E:$E,$C209)-SUM($D209:F209),0)</f>
        <v>0</v>
      </c>
      <c r="H209">
        <f>IF((H$1*1)&lt;=MAX('DB Costi-Ore YtD'!$A:$A),SUMIFS('DB Costi-Ore YtD'!$G:$G,'DB Costi-Ore YtD'!$A:$A,H$1,'DB Costi-Ore YtD'!$B:$B,$A209,'DB Costi-Ore YtD'!$E:$E,$C209)-SUM($D209:G209),0)</f>
        <v>6525.3000000000011</v>
      </c>
      <c r="I209">
        <f>IF((I$1*1)&lt;=MAX('DB Costi-Ore YtD'!$A:$A),SUMIFS('DB Costi-Ore YtD'!$G:$G,'DB Costi-Ore YtD'!$A:$A,I$1,'DB Costi-Ore YtD'!$B:$B,$A209,'DB Costi-Ore YtD'!$E:$E,$C209)-SUM($D209:H209),0)</f>
        <v>1187.9400000000005</v>
      </c>
      <c r="J209">
        <f>IF((J$1*1)&lt;=MAX('DB Costi-Ore YtD'!$A:$A),SUMIFS('DB Costi-Ore YtD'!$G:$G,'DB Costi-Ore YtD'!$A:$A,J$1,'DB Costi-Ore YtD'!$B:$B,$A209,'DB Costi-Ore YtD'!$E:$E,$C209)-SUM($D209:I209),0)</f>
        <v>0</v>
      </c>
      <c r="K209">
        <f>IF((K$1*1)&lt;=MAX('DB Costi-Ore YtD'!$A:$A),SUMIFS('DB Costi-Ore YtD'!$G:$G,'DB Costi-Ore YtD'!$A:$A,K$1,'DB Costi-Ore YtD'!$B:$B,$A209,'DB Costi-Ore YtD'!$E:$E,$C209)-SUM($D209:J209),0)</f>
        <v>0</v>
      </c>
      <c r="L209">
        <f>IF((L$1*1)&lt;=MAX('DB Costi-Ore YtD'!$A:$A),SUMIFS('DB Costi-Ore YtD'!$G:$G,'DB Costi-Ore YtD'!$A:$A,L$1,'DB Costi-Ore YtD'!$B:$B,$A209,'DB Costi-Ore YtD'!$E:$E,$C209)-SUM($D209:K209),0)</f>
        <v>0</v>
      </c>
      <c r="M209">
        <f>IF((M$1*1)&lt;=MAX('DB Costi-Ore YtD'!$A:$A),SUMIFS('DB Costi-Ore YtD'!$G:$G,'DB Costi-Ore YtD'!$A:$A,M$1,'DB Costi-Ore YtD'!$B:$B,$A209,'DB Costi-Ore YtD'!$E:$E,$C209)-SUM($D209:L209),0)</f>
        <v>0</v>
      </c>
      <c r="N209">
        <f>IF((N$1*1)&lt;=MAX('DB Costi-Ore YtD'!$A:$A),SUMIFS('DB Costi-Ore YtD'!$G:$G,'DB Costi-Ore YtD'!$A:$A,N$1,'DB Costi-Ore YtD'!$B:$B,$A209,'DB Costi-Ore YtD'!$E:$E,$C209)-SUM($D209:M209),0)</f>
        <v>0</v>
      </c>
      <c r="O209">
        <f>IF((O$1*1)&lt;=MAX('DB Costi-Ore YtD'!$A:$A),SUMIFS('DB Costi-Ore YtD'!$G:$G,'DB Costi-Ore YtD'!$A:$A,O$1,'DB Costi-Ore YtD'!$B:$B,$A209,'DB Costi-Ore YtD'!$E:$E,$C209)-SUM($D209:N209),0)</f>
        <v>0</v>
      </c>
    </row>
    <row r="210" spans="1:15" hidden="1" x14ac:dyDescent="0.3">
      <c r="A210" t="s">
        <v>279</v>
      </c>
      <c r="B210" t="s">
        <v>280</v>
      </c>
      <c r="C210" t="s">
        <v>8</v>
      </c>
      <c r="D210">
        <f>IF((D$1*1)&lt;=MAX('DB Costi-Ore YtD'!$A:$A),SUMIFS('DB Costi-Ore YtD'!$G:$G,'DB Costi-Ore YtD'!$A:$A,D$1,'DB Costi-Ore YtD'!$B:$B,$A210,'DB Costi-Ore YtD'!$E:$E,$C210),0)</f>
        <v>0</v>
      </c>
      <c r="E210">
        <f>IF((E$1*1)&lt;=MAX('DB Costi-Ore YtD'!$A:$A),SUMIFS('DB Costi-Ore YtD'!$G:$G,'DB Costi-Ore YtD'!$A:$A,E$1,'DB Costi-Ore YtD'!$B:$B,$A210,'DB Costi-Ore YtD'!$E:$E,$C210)-SUM($D210:D210),0)</f>
        <v>0</v>
      </c>
      <c r="F210">
        <f>IF((F$1*1)&lt;=MAX('DB Costi-Ore YtD'!$A:$A),SUMIFS('DB Costi-Ore YtD'!$G:$G,'DB Costi-Ore YtD'!$A:$A,F$1,'DB Costi-Ore YtD'!$B:$B,$A210,'DB Costi-Ore YtD'!$E:$E,$C210)-SUM($D210:E210),0)</f>
        <v>0</v>
      </c>
      <c r="G210">
        <f>IF((G$1*1)&lt;=MAX('DB Costi-Ore YtD'!$A:$A),SUMIFS('DB Costi-Ore YtD'!$G:$G,'DB Costi-Ore YtD'!$A:$A,G$1,'DB Costi-Ore YtD'!$B:$B,$A210,'DB Costi-Ore YtD'!$E:$E,$C210)-SUM($D210:F210),0)</f>
        <v>0</v>
      </c>
      <c r="H210">
        <f>IF((H$1*1)&lt;=MAX('DB Costi-Ore YtD'!$A:$A),SUMIFS('DB Costi-Ore YtD'!$G:$G,'DB Costi-Ore YtD'!$A:$A,H$1,'DB Costi-Ore YtD'!$B:$B,$A210,'DB Costi-Ore YtD'!$E:$E,$C210)-SUM($D210:G210),0)</f>
        <v>9848.5199999999986</v>
      </c>
      <c r="I210">
        <f>IF((I$1*1)&lt;=MAX('DB Costi-Ore YtD'!$A:$A),SUMIFS('DB Costi-Ore YtD'!$G:$G,'DB Costi-Ore YtD'!$A:$A,I$1,'DB Costi-Ore YtD'!$B:$B,$A210,'DB Costi-Ore YtD'!$E:$E,$C210)-SUM($D210:H210),0)</f>
        <v>2111.2500000000018</v>
      </c>
      <c r="J210">
        <f>IF((J$1*1)&lt;=MAX('DB Costi-Ore YtD'!$A:$A),SUMIFS('DB Costi-Ore YtD'!$G:$G,'DB Costi-Ore YtD'!$A:$A,J$1,'DB Costi-Ore YtD'!$B:$B,$A210,'DB Costi-Ore YtD'!$E:$E,$C210)-SUM($D210:I210),0)</f>
        <v>0</v>
      </c>
      <c r="K210">
        <f>IF((K$1*1)&lt;=MAX('DB Costi-Ore YtD'!$A:$A),SUMIFS('DB Costi-Ore YtD'!$G:$G,'DB Costi-Ore YtD'!$A:$A,K$1,'DB Costi-Ore YtD'!$B:$B,$A210,'DB Costi-Ore YtD'!$E:$E,$C210)-SUM($D210:J210),0)</f>
        <v>0</v>
      </c>
      <c r="L210">
        <f>IF((L$1*1)&lt;=MAX('DB Costi-Ore YtD'!$A:$A),SUMIFS('DB Costi-Ore YtD'!$G:$G,'DB Costi-Ore YtD'!$A:$A,L$1,'DB Costi-Ore YtD'!$B:$B,$A210,'DB Costi-Ore YtD'!$E:$E,$C210)-SUM($D210:K210),0)</f>
        <v>0</v>
      </c>
      <c r="M210">
        <f>IF((M$1*1)&lt;=MAX('DB Costi-Ore YtD'!$A:$A),SUMIFS('DB Costi-Ore YtD'!$G:$G,'DB Costi-Ore YtD'!$A:$A,M$1,'DB Costi-Ore YtD'!$B:$B,$A210,'DB Costi-Ore YtD'!$E:$E,$C210)-SUM($D210:L210),0)</f>
        <v>0</v>
      </c>
      <c r="N210">
        <f>IF((N$1*1)&lt;=MAX('DB Costi-Ore YtD'!$A:$A),SUMIFS('DB Costi-Ore YtD'!$G:$G,'DB Costi-Ore YtD'!$A:$A,N$1,'DB Costi-Ore YtD'!$B:$B,$A210,'DB Costi-Ore YtD'!$E:$E,$C210)-SUM($D210:M210),0)</f>
        <v>0</v>
      </c>
      <c r="O210">
        <f>IF((O$1*1)&lt;=MAX('DB Costi-Ore YtD'!$A:$A),SUMIFS('DB Costi-Ore YtD'!$G:$G,'DB Costi-Ore YtD'!$A:$A,O$1,'DB Costi-Ore YtD'!$B:$B,$A210,'DB Costi-Ore YtD'!$E:$E,$C210)-SUM($D210:N210),0)</f>
        <v>0</v>
      </c>
    </row>
    <row r="211" spans="1:15" hidden="1" x14ac:dyDescent="0.3">
      <c r="A211" t="s">
        <v>418</v>
      </c>
      <c r="B211" t="s">
        <v>238</v>
      </c>
      <c r="C211" t="s">
        <v>5</v>
      </c>
      <c r="D211">
        <f>IF((D$1*1)&lt;=MAX('DB Costi-Ore YtD'!$A:$A),SUMIFS('DB Costi-Ore YtD'!$G:$G,'DB Costi-Ore YtD'!$A:$A,D$1,'DB Costi-Ore YtD'!$B:$B,$A211,'DB Costi-Ore YtD'!$E:$E,$C211),0)</f>
        <v>0</v>
      </c>
      <c r="E211">
        <f>IF((E$1*1)&lt;=MAX('DB Costi-Ore YtD'!$A:$A),SUMIFS('DB Costi-Ore YtD'!$G:$G,'DB Costi-Ore YtD'!$A:$A,E$1,'DB Costi-Ore YtD'!$B:$B,$A211,'DB Costi-Ore YtD'!$E:$E,$C211)-SUM($D211:D211),0)</f>
        <v>0</v>
      </c>
      <c r="F211">
        <f>IF((F$1*1)&lt;=MAX('DB Costi-Ore YtD'!$A:$A),SUMIFS('DB Costi-Ore YtD'!$G:$G,'DB Costi-Ore YtD'!$A:$A,F$1,'DB Costi-Ore YtD'!$B:$B,$A211,'DB Costi-Ore YtD'!$E:$E,$C211)-SUM($D211:E211),0)</f>
        <v>0</v>
      </c>
      <c r="G211">
        <f>IF((G$1*1)&lt;=MAX('DB Costi-Ore YtD'!$A:$A),SUMIFS('DB Costi-Ore YtD'!$G:$G,'DB Costi-Ore YtD'!$A:$A,G$1,'DB Costi-Ore YtD'!$B:$B,$A211,'DB Costi-Ore YtD'!$E:$E,$C211)-SUM($D211:F211),0)</f>
        <v>0</v>
      </c>
      <c r="H211">
        <f>IF((H$1*1)&lt;=MAX('DB Costi-Ore YtD'!$A:$A),SUMIFS('DB Costi-Ore YtD'!$G:$G,'DB Costi-Ore YtD'!$A:$A,H$1,'DB Costi-Ore YtD'!$B:$B,$A211,'DB Costi-Ore YtD'!$E:$E,$C211)-SUM($D211:G211),0)</f>
        <v>1115.03</v>
      </c>
      <c r="I211">
        <f>IF((I$1*1)&lt;=MAX('DB Costi-Ore YtD'!$A:$A),SUMIFS('DB Costi-Ore YtD'!$G:$G,'DB Costi-Ore YtD'!$A:$A,I$1,'DB Costi-Ore YtD'!$B:$B,$A211,'DB Costi-Ore YtD'!$E:$E,$C211)-SUM($D211:H211),0)</f>
        <v>1648.7500000000007</v>
      </c>
      <c r="J211">
        <f>IF((J$1*1)&lt;=MAX('DB Costi-Ore YtD'!$A:$A),SUMIFS('DB Costi-Ore YtD'!$G:$G,'DB Costi-Ore YtD'!$A:$A,J$1,'DB Costi-Ore YtD'!$B:$B,$A211,'DB Costi-Ore YtD'!$E:$E,$C211)-SUM($D211:I211),0)</f>
        <v>0</v>
      </c>
      <c r="K211">
        <f>IF((K$1*1)&lt;=MAX('DB Costi-Ore YtD'!$A:$A),SUMIFS('DB Costi-Ore YtD'!$G:$G,'DB Costi-Ore YtD'!$A:$A,K$1,'DB Costi-Ore YtD'!$B:$B,$A211,'DB Costi-Ore YtD'!$E:$E,$C211)-SUM($D211:J211),0)</f>
        <v>0</v>
      </c>
      <c r="L211">
        <f>IF((L$1*1)&lt;=MAX('DB Costi-Ore YtD'!$A:$A),SUMIFS('DB Costi-Ore YtD'!$G:$G,'DB Costi-Ore YtD'!$A:$A,L$1,'DB Costi-Ore YtD'!$B:$B,$A211,'DB Costi-Ore YtD'!$E:$E,$C211)-SUM($D211:K211),0)</f>
        <v>0</v>
      </c>
      <c r="M211">
        <f>IF((M$1*1)&lt;=MAX('DB Costi-Ore YtD'!$A:$A),SUMIFS('DB Costi-Ore YtD'!$G:$G,'DB Costi-Ore YtD'!$A:$A,M$1,'DB Costi-Ore YtD'!$B:$B,$A211,'DB Costi-Ore YtD'!$E:$E,$C211)-SUM($D211:L211),0)</f>
        <v>0</v>
      </c>
      <c r="N211">
        <f>IF((N$1*1)&lt;=MAX('DB Costi-Ore YtD'!$A:$A),SUMIFS('DB Costi-Ore YtD'!$G:$G,'DB Costi-Ore YtD'!$A:$A,N$1,'DB Costi-Ore YtD'!$B:$B,$A211,'DB Costi-Ore YtD'!$E:$E,$C211)-SUM($D211:M211),0)</f>
        <v>0</v>
      </c>
      <c r="O211">
        <f>IF((O$1*1)&lt;=MAX('DB Costi-Ore YtD'!$A:$A),SUMIFS('DB Costi-Ore YtD'!$G:$G,'DB Costi-Ore YtD'!$A:$A,O$1,'DB Costi-Ore YtD'!$B:$B,$A211,'DB Costi-Ore YtD'!$E:$E,$C211)-SUM($D211:N211),0)</f>
        <v>0</v>
      </c>
    </row>
    <row r="212" spans="1:15" hidden="1" x14ac:dyDescent="0.3">
      <c r="A212" t="s">
        <v>419</v>
      </c>
      <c r="B212" t="s">
        <v>420</v>
      </c>
      <c r="C212" t="s">
        <v>5</v>
      </c>
      <c r="D212">
        <f>IF((D$1*1)&lt;=MAX('DB Costi-Ore YtD'!$A:$A),SUMIFS('DB Costi-Ore YtD'!$G:$G,'DB Costi-Ore YtD'!$A:$A,D$1,'DB Costi-Ore YtD'!$B:$B,$A212,'DB Costi-Ore YtD'!$E:$E,$C212),0)</f>
        <v>0</v>
      </c>
      <c r="E212">
        <f>IF((E$1*1)&lt;=MAX('DB Costi-Ore YtD'!$A:$A),SUMIFS('DB Costi-Ore YtD'!$G:$G,'DB Costi-Ore YtD'!$A:$A,E$1,'DB Costi-Ore YtD'!$B:$B,$A212,'DB Costi-Ore YtD'!$E:$E,$C212)-SUM($D212:D212),0)</f>
        <v>0</v>
      </c>
      <c r="F212">
        <f>IF((F$1*1)&lt;=MAX('DB Costi-Ore YtD'!$A:$A),SUMIFS('DB Costi-Ore YtD'!$G:$G,'DB Costi-Ore YtD'!$A:$A,F$1,'DB Costi-Ore YtD'!$B:$B,$A212,'DB Costi-Ore YtD'!$E:$E,$C212)-SUM($D212:E212),0)</f>
        <v>0</v>
      </c>
      <c r="G212">
        <f>IF((G$1*1)&lt;=MAX('DB Costi-Ore YtD'!$A:$A),SUMIFS('DB Costi-Ore YtD'!$G:$G,'DB Costi-Ore YtD'!$A:$A,G$1,'DB Costi-Ore YtD'!$B:$B,$A212,'DB Costi-Ore YtD'!$E:$E,$C212)-SUM($D212:F212),0)</f>
        <v>0</v>
      </c>
      <c r="H212">
        <f>IF((H$1*1)&lt;=MAX('DB Costi-Ore YtD'!$A:$A),SUMIFS('DB Costi-Ore YtD'!$G:$G,'DB Costi-Ore YtD'!$A:$A,H$1,'DB Costi-Ore YtD'!$B:$B,$A212,'DB Costi-Ore YtD'!$E:$E,$C212)-SUM($D212:G212),0)</f>
        <v>296.58</v>
      </c>
      <c r="I212">
        <f>IF((I$1*1)&lt;=MAX('DB Costi-Ore YtD'!$A:$A),SUMIFS('DB Costi-Ore YtD'!$G:$G,'DB Costi-Ore YtD'!$A:$A,I$1,'DB Costi-Ore YtD'!$B:$B,$A212,'DB Costi-Ore YtD'!$E:$E,$C212)-SUM($D212:H212),0)</f>
        <v>466.08</v>
      </c>
      <c r="J212">
        <f>IF((J$1*1)&lt;=MAX('DB Costi-Ore YtD'!$A:$A),SUMIFS('DB Costi-Ore YtD'!$G:$G,'DB Costi-Ore YtD'!$A:$A,J$1,'DB Costi-Ore YtD'!$B:$B,$A212,'DB Costi-Ore YtD'!$E:$E,$C212)-SUM($D212:I212),0)</f>
        <v>0</v>
      </c>
      <c r="K212">
        <f>IF((K$1*1)&lt;=MAX('DB Costi-Ore YtD'!$A:$A),SUMIFS('DB Costi-Ore YtD'!$G:$G,'DB Costi-Ore YtD'!$A:$A,K$1,'DB Costi-Ore YtD'!$B:$B,$A212,'DB Costi-Ore YtD'!$E:$E,$C212)-SUM($D212:J212),0)</f>
        <v>0</v>
      </c>
      <c r="L212">
        <f>IF((L$1*1)&lt;=MAX('DB Costi-Ore YtD'!$A:$A),SUMIFS('DB Costi-Ore YtD'!$G:$G,'DB Costi-Ore YtD'!$A:$A,L$1,'DB Costi-Ore YtD'!$B:$B,$A212,'DB Costi-Ore YtD'!$E:$E,$C212)-SUM($D212:K212),0)</f>
        <v>0</v>
      </c>
      <c r="M212">
        <f>IF((M$1*1)&lt;=MAX('DB Costi-Ore YtD'!$A:$A),SUMIFS('DB Costi-Ore YtD'!$G:$G,'DB Costi-Ore YtD'!$A:$A,M$1,'DB Costi-Ore YtD'!$B:$B,$A212,'DB Costi-Ore YtD'!$E:$E,$C212)-SUM($D212:L212),0)</f>
        <v>0</v>
      </c>
      <c r="N212">
        <f>IF((N$1*1)&lt;=MAX('DB Costi-Ore YtD'!$A:$A),SUMIFS('DB Costi-Ore YtD'!$G:$G,'DB Costi-Ore YtD'!$A:$A,N$1,'DB Costi-Ore YtD'!$B:$B,$A212,'DB Costi-Ore YtD'!$E:$E,$C212)-SUM($D212:M212),0)</f>
        <v>0</v>
      </c>
      <c r="O212">
        <f>IF((O$1*1)&lt;=MAX('DB Costi-Ore YtD'!$A:$A),SUMIFS('DB Costi-Ore YtD'!$G:$G,'DB Costi-Ore YtD'!$A:$A,O$1,'DB Costi-Ore YtD'!$B:$B,$A212,'DB Costi-Ore YtD'!$E:$E,$C212)-SUM($D212:N212),0)</f>
        <v>0</v>
      </c>
    </row>
    <row r="213" spans="1:15" hidden="1" x14ac:dyDescent="0.3">
      <c r="A213" t="s">
        <v>421</v>
      </c>
      <c r="B213" t="s">
        <v>422</v>
      </c>
      <c r="C213" t="s">
        <v>5</v>
      </c>
      <c r="D213">
        <f>IF((D$1*1)&lt;=MAX('DB Costi-Ore YtD'!$A:$A),SUMIFS('DB Costi-Ore YtD'!$G:$G,'DB Costi-Ore YtD'!$A:$A,D$1,'DB Costi-Ore YtD'!$B:$B,$A213,'DB Costi-Ore YtD'!$E:$E,$C213),0)</f>
        <v>0</v>
      </c>
      <c r="E213">
        <f>IF((E$1*1)&lt;=MAX('DB Costi-Ore YtD'!$A:$A),SUMIFS('DB Costi-Ore YtD'!$G:$G,'DB Costi-Ore YtD'!$A:$A,E$1,'DB Costi-Ore YtD'!$B:$B,$A213,'DB Costi-Ore YtD'!$E:$E,$C213)-SUM($D213:D213),0)</f>
        <v>0</v>
      </c>
      <c r="F213">
        <f>IF((F$1*1)&lt;=MAX('DB Costi-Ore YtD'!$A:$A),SUMIFS('DB Costi-Ore YtD'!$G:$G,'DB Costi-Ore YtD'!$A:$A,F$1,'DB Costi-Ore YtD'!$B:$B,$A213,'DB Costi-Ore YtD'!$E:$E,$C213)-SUM($D213:E213),0)</f>
        <v>0</v>
      </c>
      <c r="G213">
        <f>IF((G$1*1)&lt;=MAX('DB Costi-Ore YtD'!$A:$A),SUMIFS('DB Costi-Ore YtD'!$G:$G,'DB Costi-Ore YtD'!$A:$A,G$1,'DB Costi-Ore YtD'!$B:$B,$A213,'DB Costi-Ore YtD'!$E:$E,$C213)-SUM($D213:F213),0)</f>
        <v>0</v>
      </c>
      <c r="H213">
        <f>IF((H$1*1)&lt;=MAX('DB Costi-Ore YtD'!$A:$A),SUMIFS('DB Costi-Ore YtD'!$G:$G,'DB Costi-Ore YtD'!$A:$A,H$1,'DB Costi-Ore YtD'!$B:$B,$A213,'DB Costi-Ore YtD'!$E:$E,$C213)-SUM($D213:G213),0)</f>
        <v>0</v>
      </c>
      <c r="I213">
        <f>IF((I$1*1)&lt;=MAX('DB Costi-Ore YtD'!$A:$A),SUMIFS('DB Costi-Ore YtD'!$G:$G,'DB Costi-Ore YtD'!$A:$A,I$1,'DB Costi-Ore YtD'!$B:$B,$A213,'DB Costi-Ore YtD'!$E:$E,$C213)-SUM($D213:H213),0)</f>
        <v>466.08</v>
      </c>
      <c r="J213">
        <f>IF((J$1*1)&lt;=MAX('DB Costi-Ore YtD'!$A:$A),SUMIFS('DB Costi-Ore YtD'!$G:$G,'DB Costi-Ore YtD'!$A:$A,J$1,'DB Costi-Ore YtD'!$B:$B,$A213,'DB Costi-Ore YtD'!$E:$E,$C213)-SUM($D213:I213),0)</f>
        <v>0</v>
      </c>
      <c r="K213">
        <f>IF((K$1*1)&lt;=MAX('DB Costi-Ore YtD'!$A:$A),SUMIFS('DB Costi-Ore YtD'!$G:$G,'DB Costi-Ore YtD'!$A:$A,K$1,'DB Costi-Ore YtD'!$B:$B,$A213,'DB Costi-Ore YtD'!$E:$E,$C213)-SUM($D213:J213),0)</f>
        <v>0</v>
      </c>
      <c r="L213">
        <f>IF((L$1*1)&lt;=MAX('DB Costi-Ore YtD'!$A:$A),SUMIFS('DB Costi-Ore YtD'!$G:$G,'DB Costi-Ore YtD'!$A:$A,L$1,'DB Costi-Ore YtD'!$B:$B,$A213,'DB Costi-Ore YtD'!$E:$E,$C213)-SUM($D213:K213),0)</f>
        <v>0</v>
      </c>
      <c r="M213">
        <f>IF((M$1*1)&lt;=MAX('DB Costi-Ore YtD'!$A:$A),SUMIFS('DB Costi-Ore YtD'!$G:$G,'DB Costi-Ore YtD'!$A:$A,M$1,'DB Costi-Ore YtD'!$B:$B,$A213,'DB Costi-Ore YtD'!$E:$E,$C213)-SUM($D213:L213),0)</f>
        <v>0</v>
      </c>
      <c r="N213">
        <f>IF((N$1*1)&lt;=MAX('DB Costi-Ore YtD'!$A:$A),SUMIFS('DB Costi-Ore YtD'!$G:$G,'DB Costi-Ore YtD'!$A:$A,N$1,'DB Costi-Ore YtD'!$B:$B,$A213,'DB Costi-Ore YtD'!$E:$E,$C213)-SUM($D213:M213),0)</f>
        <v>0</v>
      </c>
      <c r="O213">
        <f>IF((O$1*1)&lt;=MAX('DB Costi-Ore YtD'!$A:$A),SUMIFS('DB Costi-Ore YtD'!$G:$G,'DB Costi-Ore YtD'!$A:$A,O$1,'DB Costi-Ore YtD'!$B:$B,$A213,'DB Costi-Ore YtD'!$E:$E,$C213)-SUM($D213:N213),0)</f>
        <v>0</v>
      </c>
    </row>
    <row r="214" spans="1:15" hidden="1" x14ac:dyDescent="0.3">
      <c r="A214" t="s">
        <v>423</v>
      </c>
      <c r="B214" t="s">
        <v>424</v>
      </c>
      <c r="C214" t="s">
        <v>5</v>
      </c>
      <c r="D214">
        <f>IF((D$1*1)&lt;=MAX('DB Costi-Ore YtD'!$A:$A),SUMIFS('DB Costi-Ore YtD'!$G:$G,'DB Costi-Ore YtD'!$A:$A,D$1,'DB Costi-Ore YtD'!$B:$B,$A214,'DB Costi-Ore YtD'!$E:$E,$C214),0)</f>
        <v>0</v>
      </c>
      <c r="E214">
        <f>IF((E$1*1)&lt;=MAX('DB Costi-Ore YtD'!$A:$A),SUMIFS('DB Costi-Ore YtD'!$G:$G,'DB Costi-Ore YtD'!$A:$A,E$1,'DB Costi-Ore YtD'!$B:$B,$A214,'DB Costi-Ore YtD'!$E:$E,$C214)-SUM($D214:D214),0)</f>
        <v>0</v>
      </c>
      <c r="F214">
        <f>IF((F$1*1)&lt;=MAX('DB Costi-Ore YtD'!$A:$A),SUMIFS('DB Costi-Ore YtD'!$G:$G,'DB Costi-Ore YtD'!$A:$A,F$1,'DB Costi-Ore YtD'!$B:$B,$A214,'DB Costi-Ore YtD'!$E:$E,$C214)-SUM($D214:E214),0)</f>
        <v>0</v>
      </c>
      <c r="G214">
        <f>IF((G$1*1)&lt;=MAX('DB Costi-Ore YtD'!$A:$A),SUMIFS('DB Costi-Ore YtD'!$G:$G,'DB Costi-Ore YtD'!$A:$A,G$1,'DB Costi-Ore YtD'!$B:$B,$A214,'DB Costi-Ore YtD'!$E:$E,$C214)-SUM($D214:F214),0)</f>
        <v>0</v>
      </c>
      <c r="H214">
        <f>IF((H$1*1)&lt;=MAX('DB Costi-Ore YtD'!$A:$A),SUMIFS('DB Costi-Ore YtD'!$G:$G,'DB Costi-Ore YtD'!$A:$A,H$1,'DB Costi-Ore YtD'!$B:$B,$A214,'DB Costi-Ore YtD'!$E:$E,$C214)-SUM($D214:G214),0)</f>
        <v>0</v>
      </c>
      <c r="I214">
        <f>IF((I$1*1)&lt;=MAX('DB Costi-Ore YtD'!$A:$A),SUMIFS('DB Costi-Ore YtD'!$G:$G,'DB Costi-Ore YtD'!$A:$A,I$1,'DB Costi-Ore YtD'!$B:$B,$A214,'DB Costi-Ore YtD'!$E:$E,$C214)-SUM($D214:H214),0)</f>
        <v>566.08000000000004</v>
      </c>
      <c r="J214">
        <f>IF((J$1*1)&lt;=MAX('DB Costi-Ore YtD'!$A:$A),SUMIFS('DB Costi-Ore YtD'!$G:$G,'DB Costi-Ore YtD'!$A:$A,J$1,'DB Costi-Ore YtD'!$B:$B,$A214,'DB Costi-Ore YtD'!$E:$E,$C214)-SUM($D214:I214),0)</f>
        <v>0</v>
      </c>
      <c r="K214">
        <f>IF((K$1*1)&lt;=MAX('DB Costi-Ore YtD'!$A:$A),SUMIFS('DB Costi-Ore YtD'!$G:$G,'DB Costi-Ore YtD'!$A:$A,K$1,'DB Costi-Ore YtD'!$B:$B,$A214,'DB Costi-Ore YtD'!$E:$E,$C214)-SUM($D214:J214),0)</f>
        <v>0</v>
      </c>
      <c r="L214">
        <f>IF((L$1*1)&lt;=MAX('DB Costi-Ore YtD'!$A:$A),SUMIFS('DB Costi-Ore YtD'!$G:$G,'DB Costi-Ore YtD'!$A:$A,L$1,'DB Costi-Ore YtD'!$B:$B,$A214,'DB Costi-Ore YtD'!$E:$E,$C214)-SUM($D214:K214),0)</f>
        <v>0</v>
      </c>
      <c r="M214">
        <f>IF((M$1*1)&lt;=MAX('DB Costi-Ore YtD'!$A:$A),SUMIFS('DB Costi-Ore YtD'!$G:$G,'DB Costi-Ore YtD'!$A:$A,M$1,'DB Costi-Ore YtD'!$B:$B,$A214,'DB Costi-Ore YtD'!$E:$E,$C214)-SUM($D214:L214),0)</f>
        <v>0</v>
      </c>
      <c r="N214">
        <f>IF((N$1*1)&lt;=MAX('DB Costi-Ore YtD'!$A:$A),SUMIFS('DB Costi-Ore YtD'!$G:$G,'DB Costi-Ore YtD'!$A:$A,N$1,'DB Costi-Ore YtD'!$B:$B,$A214,'DB Costi-Ore YtD'!$E:$E,$C214)-SUM($D214:M214),0)</f>
        <v>0</v>
      </c>
      <c r="O214">
        <f>IF((O$1*1)&lt;=MAX('DB Costi-Ore YtD'!$A:$A),SUMIFS('DB Costi-Ore YtD'!$G:$G,'DB Costi-Ore YtD'!$A:$A,O$1,'DB Costi-Ore YtD'!$B:$B,$A214,'DB Costi-Ore YtD'!$E:$E,$C214)-SUM($D214:N214),0)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939F7-C80C-4891-BFF3-1C3E17872DA3}">
  <dimension ref="A1:O214"/>
  <sheetViews>
    <sheetView zoomScale="85" zoomScaleNormal="85" workbookViewId="0">
      <selection activeCell="C1" sqref="C1"/>
    </sheetView>
  </sheetViews>
  <sheetFormatPr defaultRowHeight="14.4" x14ac:dyDescent="0.3"/>
  <cols>
    <col min="1" max="1" width="12.109375" bestFit="1" customWidth="1"/>
    <col min="2" max="2" width="38.109375" bestFit="1" customWidth="1"/>
    <col min="3" max="3" width="28.109375" bestFit="1" customWidth="1"/>
    <col min="4" max="18" width="13.6640625" bestFit="1" customWidth="1"/>
  </cols>
  <sheetData>
    <row r="1" spans="1:15" x14ac:dyDescent="0.3">
      <c r="A1" s="5" t="s">
        <v>23</v>
      </c>
      <c r="B1" s="5" t="s">
        <v>24</v>
      </c>
      <c r="C1" s="5" t="s">
        <v>0</v>
      </c>
      <c r="D1" s="3" t="s">
        <v>793</v>
      </c>
      <c r="E1" s="3" t="s">
        <v>794</v>
      </c>
      <c r="F1" s="3" t="s">
        <v>795</v>
      </c>
      <c r="G1" s="3" t="s">
        <v>796</v>
      </c>
      <c r="H1" s="3" t="s">
        <v>797</v>
      </c>
      <c r="I1" s="3" t="s">
        <v>798</v>
      </c>
      <c r="J1" s="3" t="s">
        <v>799</v>
      </c>
      <c r="K1" s="3" t="s">
        <v>800</v>
      </c>
      <c r="L1" s="3" t="s">
        <v>801</v>
      </c>
      <c r="M1" s="3" t="s">
        <v>802</v>
      </c>
      <c r="N1" s="3" t="s">
        <v>803</v>
      </c>
      <c r="O1" s="4" t="s">
        <v>804</v>
      </c>
    </row>
    <row r="2" spans="1:15" x14ac:dyDescent="0.3">
      <c r="A2" t="s">
        <v>29</v>
      </c>
      <c r="B2" t="s">
        <v>30</v>
      </c>
      <c r="C2" t="s">
        <v>2</v>
      </c>
      <c r="D2">
        <f>IF((D$1*1)&lt;=MAX('DB Costi-Ore YtD'!$A:$A),SUMIFS('DB Costi-Ore YtD'!$F:$F,'DB Costi-Ore YtD'!$A:$A,D$1,'DB Costi-Ore YtD'!$B:$B,$A2,'DB Costi-Ore YtD'!$E:$E,$C2),0)</f>
        <v>148.25</v>
      </c>
      <c r="E2">
        <f>IF((E$1*1)&lt;=MAX('DB Costi-Ore YtD'!$A:$A),SUMIFS('DB Costi-Ore YtD'!$F:$F,'DB Costi-Ore YtD'!$A:$A,E$1,'DB Costi-Ore YtD'!$B:$B,$A2,'DB Costi-Ore YtD'!$E:$E,$C2)-SUM($D2:D2),0)</f>
        <v>147.25</v>
      </c>
      <c r="F2">
        <f>IF((F$1*1)&lt;=MAX('DB Costi-Ore YtD'!$A:$A),SUMIFS('DB Costi-Ore YtD'!$F:$F,'DB Costi-Ore YtD'!$A:$A,F$1,'DB Costi-Ore YtD'!$B:$B,$A2,'DB Costi-Ore YtD'!$E:$E,$C2)-SUM($D2:E2),0)</f>
        <v>142</v>
      </c>
      <c r="G2">
        <f>IF((G$1*1)&lt;=MAX('DB Costi-Ore YtD'!$A:$A),SUMIFS('DB Costi-Ore YtD'!$F:$F,'DB Costi-Ore YtD'!$A:$A,G$1,'DB Costi-Ore YtD'!$B:$B,$A2,'DB Costi-Ore YtD'!$E:$E,$C2)-SUM($D2:F2),0)</f>
        <v>155.5</v>
      </c>
      <c r="H2">
        <f>IF((H$1*1)&lt;=MAX('DB Costi-Ore YtD'!$A:$A),SUMIFS('DB Costi-Ore YtD'!$F:$F,'DB Costi-Ore YtD'!$A:$A,H$1,'DB Costi-Ore YtD'!$B:$B,$A2,'DB Costi-Ore YtD'!$E:$E,$C2)-SUM($D2:G2),0)</f>
        <v>153</v>
      </c>
      <c r="I2">
        <f>IF((I$1*1)&lt;=MAX('DB Costi-Ore YtD'!$A:$A),SUMIFS('DB Costi-Ore YtD'!$F:$F,'DB Costi-Ore YtD'!$A:$A,I$1,'DB Costi-Ore YtD'!$B:$B,$A2,'DB Costi-Ore YtD'!$E:$E,$C2)-SUM($D2:H2),0)</f>
        <v>151.5</v>
      </c>
      <c r="J2">
        <f>IF((J$1*1)&lt;=MAX('DB Costi-Ore YtD'!$A:$A),SUMIFS('DB Costi-Ore YtD'!$F:$F,'DB Costi-Ore YtD'!$A:$A,J$1,'DB Costi-Ore YtD'!$B:$B,$A2,'DB Costi-Ore YtD'!$E:$E,$C2)-SUM($D2:I2),0)</f>
        <v>0</v>
      </c>
      <c r="K2">
        <f>IF((K$1*1)&lt;=MAX('DB Costi-Ore YtD'!$A:$A),SUMIFS('DB Costi-Ore YtD'!$F:$F,'DB Costi-Ore YtD'!$A:$A,K$1,'DB Costi-Ore YtD'!$B:$B,$A2,'DB Costi-Ore YtD'!$E:$E,$C2)-SUM($D2:J2),0)</f>
        <v>0</v>
      </c>
      <c r="L2">
        <f>IF((L$1*1)&lt;=MAX('DB Costi-Ore YtD'!$A:$A),SUMIFS('DB Costi-Ore YtD'!$F:$F,'DB Costi-Ore YtD'!$A:$A,L$1,'DB Costi-Ore YtD'!$B:$B,$A2,'DB Costi-Ore YtD'!$E:$E,$C2)-SUM($D2:K2),0)</f>
        <v>0</v>
      </c>
      <c r="M2">
        <f>IF((M$1*1)&lt;=MAX('DB Costi-Ore YtD'!$A:$A),SUMIFS('DB Costi-Ore YtD'!$F:$F,'DB Costi-Ore YtD'!$A:$A,M$1,'DB Costi-Ore YtD'!$B:$B,$A2,'DB Costi-Ore YtD'!$E:$E,$C2)-SUM($D2:L2),0)</f>
        <v>0</v>
      </c>
      <c r="N2">
        <f>IF((N$1*1)&lt;=MAX('DB Costi-Ore YtD'!$A:$A),SUMIFS('DB Costi-Ore YtD'!$F:$F,'DB Costi-Ore YtD'!$A:$A,N$1,'DB Costi-Ore YtD'!$B:$B,$A2,'DB Costi-Ore YtD'!$E:$E,$C2)-SUM($D2:M2),0)</f>
        <v>0</v>
      </c>
      <c r="O2">
        <f>IF((O$1*1)&lt;=MAX('DB Costi-Ore YtD'!$A:$A),SUMIFS('DB Costi-Ore YtD'!$F:$F,'DB Costi-Ore YtD'!$A:$A,O$1,'DB Costi-Ore YtD'!$B:$B,$A2,'DB Costi-Ore YtD'!$E:$E,$C2)-SUM($D2:N2),0)</f>
        <v>0</v>
      </c>
    </row>
    <row r="3" spans="1:15" x14ac:dyDescent="0.3">
      <c r="A3" s="9" t="s">
        <v>31</v>
      </c>
      <c r="B3" s="9" t="s">
        <v>32</v>
      </c>
      <c r="C3" s="9" t="s">
        <v>2</v>
      </c>
      <c r="D3" s="9">
        <f>IF((D$1*1)&lt;=MAX('DB Costi-Ore YtD'!$A:$A),SUMIFS('DB Costi-Ore YtD'!$F:$F,'DB Costi-Ore YtD'!$A:$A,D$1,'DB Costi-Ore YtD'!$B:$B,$A3,'DB Costi-Ore YtD'!$E:$E,$C3),0)</f>
        <v>97</v>
      </c>
      <c r="E3" s="9">
        <f>IF((E$1*1)&lt;=MAX('DB Costi-Ore YtD'!$A:$A),SUMIFS('DB Costi-Ore YtD'!$F:$F,'DB Costi-Ore YtD'!$A:$A,E$1,'DB Costi-Ore YtD'!$B:$B,$A3,'DB Costi-Ore YtD'!$E:$E,$C3)-SUM($D3:D3),0)</f>
        <v>47.25</v>
      </c>
      <c r="F3" s="9">
        <f>IF((F$1*1)&lt;=MAX('DB Costi-Ore YtD'!$A:$A),SUMIFS('DB Costi-Ore YtD'!$F:$F,'DB Costi-Ore YtD'!$A:$A,F$1,'DB Costi-Ore YtD'!$B:$B,$A3,'DB Costi-Ore YtD'!$E:$E,$C3)-SUM($D3:E3),0)</f>
        <v>17.5</v>
      </c>
      <c r="G3" s="9">
        <f>IF((G$1*1)&lt;=MAX('DB Costi-Ore YtD'!$A:$A),SUMIFS('DB Costi-Ore YtD'!$F:$F,'DB Costi-Ore YtD'!$A:$A,G$1,'DB Costi-Ore YtD'!$B:$B,$A3,'DB Costi-Ore YtD'!$E:$E,$C3)-SUM($D3:F3),0)</f>
        <v>0</v>
      </c>
      <c r="H3" s="9">
        <f>IF((H$1*1)&lt;=MAX('DB Costi-Ore YtD'!$A:$A),SUMIFS('DB Costi-Ore YtD'!$F:$F,'DB Costi-Ore YtD'!$A:$A,H$1,'DB Costi-Ore YtD'!$B:$B,$A3,'DB Costi-Ore YtD'!$E:$E,$C3)-SUM($D3:G3),0)</f>
        <v>-161.75</v>
      </c>
      <c r="I3" s="9">
        <f>IF((I$1*1)&lt;=MAX('DB Costi-Ore YtD'!$A:$A),SUMIFS('DB Costi-Ore YtD'!$F:$F,'DB Costi-Ore YtD'!$A:$A,I$1,'DB Costi-Ore YtD'!$B:$B,$A3,'DB Costi-Ore YtD'!$E:$E,$C3)-SUM($D3:H3),0)</f>
        <v>0</v>
      </c>
      <c r="J3" s="9">
        <f>IF((J$1*1)&lt;=MAX('DB Costi-Ore YtD'!$A:$A),SUMIFS('DB Costi-Ore YtD'!$F:$F,'DB Costi-Ore YtD'!$A:$A,J$1,'DB Costi-Ore YtD'!$B:$B,$A3,'DB Costi-Ore YtD'!$E:$E,$C3)-SUM($D3:I3),0)</f>
        <v>0</v>
      </c>
      <c r="K3" s="9">
        <f>IF((K$1*1)&lt;=MAX('DB Costi-Ore YtD'!$A:$A),SUMIFS('DB Costi-Ore YtD'!$F:$F,'DB Costi-Ore YtD'!$A:$A,K$1,'DB Costi-Ore YtD'!$B:$B,$A3,'DB Costi-Ore YtD'!$E:$E,$C3)-SUM($D3:J3),0)</f>
        <v>0</v>
      </c>
      <c r="L3" s="9">
        <f>IF((L$1*1)&lt;=MAX('DB Costi-Ore YtD'!$A:$A),SUMIFS('DB Costi-Ore YtD'!$F:$F,'DB Costi-Ore YtD'!$A:$A,L$1,'DB Costi-Ore YtD'!$B:$B,$A3,'DB Costi-Ore YtD'!$E:$E,$C3)-SUM($D3:K3),0)</f>
        <v>0</v>
      </c>
      <c r="M3" s="9">
        <f>IF((M$1*1)&lt;=MAX('DB Costi-Ore YtD'!$A:$A),SUMIFS('DB Costi-Ore YtD'!$F:$F,'DB Costi-Ore YtD'!$A:$A,M$1,'DB Costi-Ore YtD'!$B:$B,$A3,'DB Costi-Ore YtD'!$E:$E,$C3)-SUM($D3:L3),0)</f>
        <v>0</v>
      </c>
      <c r="N3" s="9">
        <f>IF((N$1*1)&lt;=MAX('DB Costi-Ore YtD'!$A:$A),SUMIFS('DB Costi-Ore YtD'!$F:$F,'DB Costi-Ore YtD'!$A:$A,N$1,'DB Costi-Ore YtD'!$B:$B,$A3,'DB Costi-Ore YtD'!$E:$E,$C3)-SUM($D3:M3),0)</f>
        <v>0</v>
      </c>
      <c r="O3" s="9">
        <f>IF((O$1*1)&lt;=MAX('DB Costi-Ore YtD'!$A:$A),SUMIFS('DB Costi-Ore YtD'!$F:$F,'DB Costi-Ore YtD'!$A:$A,O$1,'DB Costi-Ore YtD'!$B:$B,$A3,'DB Costi-Ore YtD'!$E:$E,$C3)-SUM($D3:N3),0)</f>
        <v>0</v>
      </c>
    </row>
    <row r="4" spans="1:15" x14ac:dyDescent="0.3">
      <c r="A4" s="9" t="s">
        <v>33</v>
      </c>
      <c r="B4" s="9" t="s">
        <v>34</v>
      </c>
      <c r="C4" s="9" t="s">
        <v>2</v>
      </c>
      <c r="D4" s="9">
        <f>IF((D$1*1)&lt;=MAX('DB Costi-Ore YtD'!$A:$A),SUMIFS('DB Costi-Ore YtD'!$F:$F,'DB Costi-Ore YtD'!$A:$A,D$1,'DB Costi-Ore YtD'!$B:$B,$A4,'DB Costi-Ore YtD'!$E:$E,$C4),0)</f>
        <v>98.5</v>
      </c>
      <c r="E4" s="9">
        <f>IF((E$1*1)&lt;=MAX('DB Costi-Ore YtD'!$A:$A),SUMIFS('DB Costi-Ore YtD'!$F:$F,'DB Costi-Ore YtD'!$A:$A,E$1,'DB Costi-Ore YtD'!$B:$B,$A4,'DB Costi-Ore YtD'!$E:$E,$C4)-SUM($D4:D4),0)</f>
        <v>75.5</v>
      </c>
      <c r="F4" s="9">
        <f>IF((F$1*1)&lt;=MAX('DB Costi-Ore YtD'!$A:$A),SUMIFS('DB Costi-Ore YtD'!$F:$F,'DB Costi-Ore YtD'!$A:$A,F$1,'DB Costi-Ore YtD'!$B:$B,$A4,'DB Costi-Ore YtD'!$E:$E,$C4)-SUM($D4:E4),0)</f>
        <v>133</v>
      </c>
      <c r="G4" s="9">
        <f>IF((G$1*1)&lt;=MAX('DB Costi-Ore YtD'!$A:$A),SUMIFS('DB Costi-Ore YtD'!$F:$F,'DB Costi-Ore YtD'!$A:$A,G$1,'DB Costi-Ore YtD'!$B:$B,$A4,'DB Costi-Ore YtD'!$E:$E,$C4)-SUM($D4:F4),0)</f>
        <v>30</v>
      </c>
      <c r="H4" s="9">
        <f>IF((H$1*1)&lt;=MAX('DB Costi-Ore YtD'!$A:$A),SUMIFS('DB Costi-Ore YtD'!$F:$F,'DB Costi-Ore YtD'!$A:$A,H$1,'DB Costi-Ore YtD'!$B:$B,$A4,'DB Costi-Ore YtD'!$E:$E,$C4)-SUM($D4:G4),0)</f>
        <v>0</v>
      </c>
      <c r="I4" s="9">
        <f>IF((I$1*1)&lt;=MAX('DB Costi-Ore YtD'!$A:$A),SUMIFS('DB Costi-Ore YtD'!$F:$F,'DB Costi-Ore YtD'!$A:$A,I$1,'DB Costi-Ore YtD'!$B:$B,$A4,'DB Costi-Ore YtD'!$E:$E,$C4)-SUM($D4:H4),0)</f>
        <v>0</v>
      </c>
      <c r="J4" s="9">
        <f>IF((J$1*1)&lt;=MAX('DB Costi-Ore YtD'!$A:$A),SUMIFS('DB Costi-Ore YtD'!$F:$F,'DB Costi-Ore YtD'!$A:$A,J$1,'DB Costi-Ore YtD'!$B:$B,$A4,'DB Costi-Ore YtD'!$E:$E,$C4)-SUM($D4:I4),0)</f>
        <v>0</v>
      </c>
      <c r="K4" s="9">
        <f>IF((K$1*1)&lt;=MAX('DB Costi-Ore YtD'!$A:$A),SUMIFS('DB Costi-Ore YtD'!$F:$F,'DB Costi-Ore YtD'!$A:$A,K$1,'DB Costi-Ore YtD'!$B:$B,$A4,'DB Costi-Ore YtD'!$E:$E,$C4)-SUM($D4:J4),0)</f>
        <v>0</v>
      </c>
      <c r="L4" s="9">
        <f>IF((L$1*1)&lt;=MAX('DB Costi-Ore YtD'!$A:$A),SUMIFS('DB Costi-Ore YtD'!$F:$F,'DB Costi-Ore YtD'!$A:$A,L$1,'DB Costi-Ore YtD'!$B:$B,$A4,'DB Costi-Ore YtD'!$E:$E,$C4)-SUM($D4:K4),0)</f>
        <v>0</v>
      </c>
      <c r="M4" s="9">
        <f>IF((M$1*1)&lt;=MAX('DB Costi-Ore YtD'!$A:$A),SUMIFS('DB Costi-Ore YtD'!$F:$F,'DB Costi-Ore YtD'!$A:$A,M$1,'DB Costi-Ore YtD'!$B:$B,$A4,'DB Costi-Ore YtD'!$E:$E,$C4)-SUM($D4:L4),0)</f>
        <v>0</v>
      </c>
      <c r="N4" s="9">
        <f>IF((N$1*1)&lt;=MAX('DB Costi-Ore YtD'!$A:$A),SUMIFS('DB Costi-Ore YtD'!$F:$F,'DB Costi-Ore YtD'!$A:$A,N$1,'DB Costi-Ore YtD'!$B:$B,$A4,'DB Costi-Ore YtD'!$E:$E,$C4)-SUM($D4:M4),0)</f>
        <v>0</v>
      </c>
      <c r="O4" s="9">
        <f>IF((O$1*1)&lt;=MAX('DB Costi-Ore YtD'!$A:$A),SUMIFS('DB Costi-Ore YtD'!$F:$F,'DB Costi-Ore YtD'!$A:$A,O$1,'DB Costi-Ore YtD'!$B:$B,$A4,'DB Costi-Ore YtD'!$E:$E,$C4)-SUM($D4:N4),0)</f>
        <v>0</v>
      </c>
    </row>
    <row r="5" spans="1:15" x14ac:dyDescent="0.3">
      <c r="A5" s="9" t="s">
        <v>35</v>
      </c>
      <c r="B5" s="9" t="s">
        <v>36</v>
      </c>
      <c r="C5" s="9" t="s">
        <v>2</v>
      </c>
      <c r="D5" s="9">
        <f>IF((D$1*1)&lt;=MAX('DB Costi-Ore YtD'!$A:$A),SUMIFS('DB Costi-Ore YtD'!$F:$F,'DB Costi-Ore YtD'!$A:$A,D$1,'DB Costi-Ore YtD'!$B:$B,$A5,'DB Costi-Ore YtD'!$E:$E,$C5),0)</f>
        <v>148</v>
      </c>
      <c r="E5" s="9">
        <f>IF((E$1*1)&lt;=MAX('DB Costi-Ore YtD'!$A:$A),SUMIFS('DB Costi-Ore YtD'!$F:$F,'DB Costi-Ore YtD'!$A:$A,E$1,'DB Costi-Ore YtD'!$B:$B,$A5,'DB Costi-Ore YtD'!$E:$E,$C5)-SUM($D5:D5),0)</f>
        <v>135.5</v>
      </c>
      <c r="F5" s="9">
        <f>IF((F$1*1)&lt;=MAX('DB Costi-Ore YtD'!$A:$A),SUMIFS('DB Costi-Ore YtD'!$F:$F,'DB Costi-Ore YtD'!$A:$A,F$1,'DB Costi-Ore YtD'!$B:$B,$A5,'DB Costi-Ore YtD'!$E:$E,$C5)-SUM($D5:E5),0)</f>
        <v>160</v>
      </c>
      <c r="G5" s="9">
        <f>IF((G$1*1)&lt;=MAX('DB Costi-Ore YtD'!$A:$A),SUMIFS('DB Costi-Ore YtD'!$F:$F,'DB Costi-Ore YtD'!$A:$A,G$1,'DB Costi-Ore YtD'!$B:$B,$A5,'DB Costi-Ore YtD'!$E:$E,$C5)-SUM($D5:F5),0)</f>
        <v>154</v>
      </c>
      <c r="H5" s="9">
        <f>IF((H$1*1)&lt;=MAX('DB Costi-Ore YtD'!$A:$A),SUMIFS('DB Costi-Ore YtD'!$F:$F,'DB Costi-Ore YtD'!$A:$A,H$1,'DB Costi-Ore YtD'!$B:$B,$A5,'DB Costi-Ore YtD'!$E:$E,$C5)-SUM($D5:G5),0)</f>
        <v>140</v>
      </c>
      <c r="I5" s="9">
        <f>IF((I$1*1)&lt;=MAX('DB Costi-Ore YtD'!$A:$A),SUMIFS('DB Costi-Ore YtD'!$F:$F,'DB Costi-Ore YtD'!$A:$A,I$1,'DB Costi-Ore YtD'!$B:$B,$A5,'DB Costi-Ore YtD'!$E:$E,$C5)-SUM($D5:H5),0)</f>
        <v>101</v>
      </c>
      <c r="J5" s="9">
        <f>IF((J$1*1)&lt;=MAX('DB Costi-Ore YtD'!$A:$A),SUMIFS('DB Costi-Ore YtD'!$F:$F,'DB Costi-Ore YtD'!$A:$A,J$1,'DB Costi-Ore YtD'!$B:$B,$A5,'DB Costi-Ore YtD'!$E:$E,$C5)-SUM($D5:I5),0)</f>
        <v>0</v>
      </c>
      <c r="K5" s="9">
        <f>IF((K$1*1)&lt;=MAX('DB Costi-Ore YtD'!$A:$A),SUMIFS('DB Costi-Ore YtD'!$F:$F,'DB Costi-Ore YtD'!$A:$A,K$1,'DB Costi-Ore YtD'!$B:$B,$A5,'DB Costi-Ore YtD'!$E:$E,$C5)-SUM($D5:J5),0)</f>
        <v>0</v>
      </c>
      <c r="L5" s="9">
        <f>IF((L$1*1)&lt;=MAX('DB Costi-Ore YtD'!$A:$A),SUMIFS('DB Costi-Ore YtD'!$F:$F,'DB Costi-Ore YtD'!$A:$A,L$1,'DB Costi-Ore YtD'!$B:$B,$A5,'DB Costi-Ore YtD'!$E:$E,$C5)-SUM($D5:K5),0)</f>
        <v>0</v>
      </c>
      <c r="M5" s="9">
        <f>IF((M$1*1)&lt;=MAX('DB Costi-Ore YtD'!$A:$A),SUMIFS('DB Costi-Ore YtD'!$F:$F,'DB Costi-Ore YtD'!$A:$A,M$1,'DB Costi-Ore YtD'!$B:$B,$A5,'DB Costi-Ore YtD'!$E:$E,$C5)-SUM($D5:L5),0)</f>
        <v>0</v>
      </c>
      <c r="N5" s="9">
        <f>IF((N$1*1)&lt;=MAX('DB Costi-Ore YtD'!$A:$A),SUMIFS('DB Costi-Ore YtD'!$F:$F,'DB Costi-Ore YtD'!$A:$A,N$1,'DB Costi-Ore YtD'!$B:$B,$A5,'DB Costi-Ore YtD'!$E:$E,$C5)-SUM($D5:M5),0)</f>
        <v>0</v>
      </c>
      <c r="O5" s="9">
        <f>IF((O$1*1)&lt;=MAX('DB Costi-Ore YtD'!$A:$A),SUMIFS('DB Costi-Ore YtD'!$F:$F,'DB Costi-Ore YtD'!$A:$A,O$1,'DB Costi-Ore YtD'!$B:$B,$A5,'DB Costi-Ore YtD'!$E:$E,$C5)-SUM($D5:N5),0)</f>
        <v>0</v>
      </c>
    </row>
    <row r="6" spans="1:15" x14ac:dyDescent="0.3">
      <c r="A6" s="9" t="s">
        <v>37</v>
      </c>
      <c r="B6" s="9" t="s">
        <v>38</v>
      </c>
      <c r="C6" s="9" t="s">
        <v>2</v>
      </c>
      <c r="D6" s="9">
        <f>IF((D$1*1)&lt;=MAX('DB Costi-Ore YtD'!$A:$A),SUMIFS('DB Costi-Ore YtD'!$F:$F,'DB Costi-Ore YtD'!$A:$A,D$1,'DB Costi-Ore YtD'!$B:$B,$A6,'DB Costi-Ore YtD'!$E:$E,$C6),0)</f>
        <v>151.5</v>
      </c>
      <c r="E6" s="9">
        <f>IF((E$1*1)&lt;=MAX('DB Costi-Ore YtD'!$A:$A),SUMIFS('DB Costi-Ore YtD'!$F:$F,'DB Costi-Ore YtD'!$A:$A,E$1,'DB Costi-Ore YtD'!$B:$B,$A6,'DB Costi-Ore YtD'!$E:$E,$C6)-SUM($D6:D6),0)</f>
        <v>144.5</v>
      </c>
      <c r="F6" s="9">
        <f>IF((F$1*1)&lt;=MAX('DB Costi-Ore YtD'!$A:$A),SUMIFS('DB Costi-Ore YtD'!$F:$F,'DB Costi-Ore YtD'!$A:$A,F$1,'DB Costi-Ore YtD'!$B:$B,$A6,'DB Costi-Ore YtD'!$E:$E,$C6)-SUM($D6:E6),0)</f>
        <v>156</v>
      </c>
      <c r="G6" s="9">
        <f>IF((G$1*1)&lt;=MAX('DB Costi-Ore YtD'!$A:$A),SUMIFS('DB Costi-Ore YtD'!$F:$F,'DB Costi-Ore YtD'!$A:$A,G$1,'DB Costi-Ore YtD'!$B:$B,$A6,'DB Costi-Ore YtD'!$E:$E,$C6)-SUM($D6:F6),0)</f>
        <v>151.5</v>
      </c>
      <c r="H6" s="9">
        <f>IF((H$1*1)&lt;=MAX('DB Costi-Ore YtD'!$A:$A),SUMIFS('DB Costi-Ore YtD'!$F:$F,'DB Costi-Ore YtD'!$A:$A,H$1,'DB Costi-Ore YtD'!$B:$B,$A6,'DB Costi-Ore YtD'!$E:$E,$C6)-SUM($D6:G6),0)</f>
        <v>124.75</v>
      </c>
      <c r="I6" s="9">
        <f>IF((I$1*1)&lt;=MAX('DB Costi-Ore YtD'!$A:$A),SUMIFS('DB Costi-Ore YtD'!$F:$F,'DB Costi-Ore YtD'!$A:$A,I$1,'DB Costi-Ore YtD'!$B:$B,$A6,'DB Costi-Ore YtD'!$E:$E,$C6)-SUM($D6:H6),0)</f>
        <v>46</v>
      </c>
      <c r="J6" s="9">
        <f>IF((J$1*1)&lt;=MAX('DB Costi-Ore YtD'!$A:$A),SUMIFS('DB Costi-Ore YtD'!$F:$F,'DB Costi-Ore YtD'!$A:$A,J$1,'DB Costi-Ore YtD'!$B:$B,$A6,'DB Costi-Ore YtD'!$E:$E,$C6)-SUM($D6:I6),0)</f>
        <v>0</v>
      </c>
      <c r="K6" s="9">
        <f>IF((K$1*1)&lt;=MAX('DB Costi-Ore YtD'!$A:$A),SUMIFS('DB Costi-Ore YtD'!$F:$F,'DB Costi-Ore YtD'!$A:$A,K$1,'DB Costi-Ore YtD'!$B:$B,$A6,'DB Costi-Ore YtD'!$E:$E,$C6)-SUM($D6:J6),0)</f>
        <v>0</v>
      </c>
      <c r="L6" s="9">
        <f>IF((L$1*1)&lt;=MAX('DB Costi-Ore YtD'!$A:$A),SUMIFS('DB Costi-Ore YtD'!$F:$F,'DB Costi-Ore YtD'!$A:$A,L$1,'DB Costi-Ore YtD'!$B:$B,$A6,'DB Costi-Ore YtD'!$E:$E,$C6)-SUM($D6:K6),0)</f>
        <v>0</v>
      </c>
      <c r="M6" s="9">
        <f>IF((M$1*1)&lt;=MAX('DB Costi-Ore YtD'!$A:$A),SUMIFS('DB Costi-Ore YtD'!$F:$F,'DB Costi-Ore YtD'!$A:$A,M$1,'DB Costi-Ore YtD'!$B:$B,$A6,'DB Costi-Ore YtD'!$E:$E,$C6)-SUM($D6:L6),0)</f>
        <v>0</v>
      </c>
      <c r="N6" s="9">
        <f>IF((N$1*1)&lt;=MAX('DB Costi-Ore YtD'!$A:$A),SUMIFS('DB Costi-Ore YtD'!$F:$F,'DB Costi-Ore YtD'!$A:$A,N$1,'DB Costi-Ore YtD'!$B:$B,$A6,'DB Costi-Ore YtD'!$E:$E,$C6)-SUM($D6:M6),0)</f>
        <v>0</v>
      </c>
      <c r="O6" s="9">
        <f>IF((O$1*1)&lt;=MAX('DB Costi-Ore YtD'!$A:$A),SUMIFS('DB Costi-Ore YtD'!$F:$F,'DB Costi-Ore YtD'!$A:$A,O$1,'DB Costi-Ore YtD'!$B:$B,$A6,'DB Costi-Ore YtD'!$E:$E,$C6)-SUM($D6:N6),0)</f>
        <v>0</v>
      </c>
    </row>
    <row r="7" spans="1:15" x14ac:dyDescent="0.3">
      <c r="A7" s="9" t="s">
        <v>39</v>
      </c>
      <c r="B7" s="9" t="s">
        <v>40</v>
      </c>
      <c r="C7" s="9" t="s">
        <v>2</v>
      </c>
      <c r="D7" s="9">
        <f>IF((D$1*1)&lt;=MAX('DB Costi-Ore YtD'!$A:$A),SUMIFS('DB Costi-Ore YtD'!$F:$F,'DB Costi-Ore YtD'!$A:$A,D$1,'DB Costi-Ore YtD'!$B:$B,$A7,'DB Costi-Ore YtD'!$E:$E,$C7),0)</f>
        <v>142.5</v>
      </c>
      <c r="E7" s="9">
        <f>IF((E$1*1)&lt;=MAX('DB Costi-Ore YtD'!$A:$A),SUMIFS('DB Costi-Ore YtD'!$F:$F,'DB Costi-Ore YtD'!$A:$A,E$1,'DB Costi-Ore YtD'!$B:$B,$A7,'DB Costi-Ore YtD'!$E:$E,$C7)-SUM($D7:D7),0)</f>
        <v>106.5</v>
      </c>
      <c r="F7" s="9">
        <f>IF((F$1*1)&lt;=MAX('DB Costi-Ore YtD'!$A:$A),SUMIFS('DB Costi-Ore YtD'!$F:$F,'DB Costi-Ore YtD'!$A:$A,F$1,'DB Costi-Ore YtD'!$B:$B,$A7,'DB Costi-Ore YtD'!$E:$E,$C7)-SUM($D7:E7),0)</f>
        <v>61</v>
      </c>
      <c r="G7" s="9">
        <f>IF((G$1*1)&lt;=MAX('DB Costi-Ore YtD'!$A:$A),SUMIFS('DB Costi-Ore YtD'!$F:$F,'DB Costi-Ore YtD'!$A:$A,G$1,'DB Costi-Ore YtD'!$B:$B,$A7,'DB Costi-Ore YtD'!$E:$E,$C7)-SUM($D7:F7),0)</f>
        <v>141</v>
      </c>
      <c r="H7" s="9">
        <f>IF((H$1*1)&lt;=MAX('DB Costi-Ore YtD'!$A:$A),SUMIFS('DB Costi-Ore YtD'!$F:$F,'DB Costi-Ore YtD'!$A:$A,H$1,'DB Costi-Ore YtD'!$B:$B,$A7,'DB Costi-Ore YtD'!$E:$E,$C7)-SUM($D7:G7),0)</f>
        <v>132.5</v>
      </c>
      <c r="I7" s="9">
        <f>IF((I$1*1)&lt;=MAX('DB Costi-Ore YtD'!$A:$A),SUMIFS('DB Costi-Ore YtD'!$F:$F,'DB Costi-Ore YtD'!$A:$A,I$1,'DB Costi-Ore YtD'!$B:$B,$A7,'DB Costi-Ore YtD'!$E:$E,$C7)-SUM($D7:H7),0)</f>
        <v>148</v>
      </c>
      <c r="J7" s="9">
        <f>IF((J$1*1)&lt;=MAX('DB Costi-Ore YtD'!$A:$A),SUMIFS('DB Costi-Ore YtD'!$F:$F,'DB Costi-Ore YtD'!$A:$A,J$1,'DB Costi-Ore YtD'!$B:$B,$A7,'DB Costi-Ore YtD'!$E:$E,$C7)-SUM($D7:I7),0)</f>
        <v>0</v>
      </c>
      <c r="K7" s="9">
        <f>IF((K$1*1)&lt;=MAX('DB Costi-Ore YtD'!$A:$A),SUMIFS('DB Costi-Ore YtD'!$F:$F,'DB Costi-Ore YtD'!$A:$A,K$1,'DB Costi-Ore YtD'!$B:$B,$A7,'DB Costi-Ore YtD'!$E:$E,$C7)-SUM($D7:J7),0)</f>
        <v>0</v>
      </c>
      <c r="L7" s="9">
        <f>IF((L$1*1)&lt;=MAX('DB Costi-Ore YtD'!$A:$A),SUMIFS('DB Costi-Ore YtD'!$F:$F,'DB Costi-Ore YtD'!$A:$A,L$1,'DB Costi-Ore YtD'!$B:$B,$A7,'DB Costi-Ore YtD'!$E:$E,$C7)-SUM($D7:K7),0)</f>
        <v>0</v>
      </c>
      <c r="M7" s="9">
        <f>IF((M$1*1)&lt;=MAX('DB Costi-Ore YtD'!$A:$A),SUMIFS('DB Costi-Ore YtD'!$F:$F,'DB Costi-Ore YtD'!$A:$A,M$1,'DB Costi-Ore YtD'!$B:$B,$A7,'DB Costi-Ore YtD'!$E:$E,$C7)-SUM($D7:L7),0)</f>
        <v>0</v>
      </c>
      <c r="N7" s="9">
        <f>IF((N$1*1)&lt;=MAX('DB Costi-Ore YtD'!$A:$A),SUMIFS('DB Costi-Ore YtD'!$F:$F,'DB Costi-Ore YtD'!$A:$A,N$1,'DB Costi-Ore YtD'!$B:$B,$A7,'DB Costi-Ore YtD'!$E:$E,$C7)-SUM($D7:M7),0)</f>
        <v>0</v>
      </c>
      <c r="O7" s="9">
        <f>IF((O$1*1)&lt;=MAX('DB Costi-Ore YtD'!$A:$A),SUMIFS('DB Costi-Ore YtD'!$F:$F,'DB Costi-Ore YtD'!$A:$A,O$1,'DB Costi-Ore YtD'!$B:$B,$A7,'DB Costi-Ore YtD'!$E:$E,$C7)-SUM($D7:N7),0)</f>
        <v>0</v>
      </c>
    </row>
    <row r="8" spans="1:15" x14ac:dyDescent="0.3">
      <c r="A8" s="9" t="s">
        <v>41</v>
      </c>
      <c r="B8" s="9" t="s">
        <v>42</v>
      </c>
      <c r="C8" s="9" t="s">
        <v>15</v>
      </c>
      <c r="D8" s="9">
        <f>IF((D$1*1)&lt;=MAX('DB Costi-Ore YtD'!$A:$A),SUMIFS('DB Costi-Ore YtD'!$F:$F,'DB Costi-Ore YtD'!$A:$A,D$1,'DB Costi-Ore YtD'!$B:$B,$A8,'DB Costi-Ore YtD'!$E:$E,$C8),0)</f>
        <v>136</v>
      </c>
      <c r="E8" s="9">
        <f>IF((E$1*1)&lt;=MAX('DB Costi-Ore YtD'!$A:$A),SUMIFS('DB Costi-Ore YtD'!$F:$F,'DB Costi-Ore YtD'!$A:$A,E$1,'DB Costi-Ore YtD'!$B:$B,$A8,'DB Costi-Ore YtD'!$E:$E,$C8)-SUM($D8:D8),0)</f>
        <v>143</v>
      </c>
      <c r="F8" s="9">
        <f>IF((F$1*1)&lt;=MAX('DB Costi-Ore YtD'!$A:$A),SUMIFS('DB Costi-Ore YtD'!$F:$F,'DB Costi-Ore YtD'!$A:$A,F$1,'DB Costi-Ore YtD'!$B:$B,$A8,'DB Costi-Ore YtD'!$E:$E,$C8)-SUM($D8:E8),0)</f>
        <v>152.75</v>
      </c>
      <c r="G8" s="9">
        <f>IF((G$1*1)&lt;=MAX('DB Costi-Ore YtD'!$A:$A),SUMIFS('DB Costi-Ore YtD'!$F:$F,'DB Costi-Ore YtD'!$A:$A,G$1,'DB Costi-Ore YtD'!$B:$B,$A8,'DB Costi-Ore YtD'!$E:$E,$C8)-SUM($D8:F8),0)</f>
        <v>140.5</v>
      </c>
      <c r="H8" s="9">
        <f>IF((H$1*1)&lt;=MAX('DB Costi-Ore YtD'!$A:$A),SUMIFS('DB Costi-Ore YtD'!$F:$F,'DB Costi-Ore YtD'!$A:$A,H$1,'DB Costi-Ore YtD'!$B:$B,$A8,'DB Costi-Ore YtD'!$E:$E,$C8)-SUM($D8:G8),0)</f>
        <v>120.5</v>
      </c>
      <c r="I8" s="9">
        <f>IF((I$1*1)&lt;=MAX('DB Costi-Ore YtD'!$A:$A),SUMIFS('DB Costi-Ore YtD'!$F:$F,'DB Costi-Ore YtD'!$A:$A,I$1,'DB Costi-Ore YtD'!$B:$B,$A8,'DB Costi-Ore YtD'!$E:$E,$C8)-SUM($D8:H8),0)</f>
        <v>133.75</v>
      </c>
      <c r="J8" s="9">
        <f>IF((J$1*1)&lt;=MAX('DB Costi-Ore YtD'!$A:$A),SUMIFS('DB Costi-Ore YtD'!$F:$F,'DB Costi-Ore YtD'!$A:$A,J$1,'DB Costi-Ore YtD'!$B:$B,$A8,'DB Costi-Ore YtD'!$E:$E,$C8)-SUM($D8:I8),0)</f>
        <v>0</v>
      </c>
      <c r="K8" s="9">
        <f>IF((K$1*1)&lt;=MAX('DB Costi-Ore YtD'!$A:$A),SUMIFS('DB Costi-Ore YtD'!$F:$F,'DB Costi-Ore YtD'!$A:$A,K$1,'DB Costi-Ore YtD'!$B:$B,$A8,'DB Costi-Ore YtD'!$E:$E,$C8)-SUM($D8:J8),0)</f>
        <v>0</v>
      </c>
      <c r="L8" s="9">
        <f>IF((L$1*1)&lt;=MAX('DB Costi-Ore YtD'!$A:$A),SUMIFS('DB Costi-Ore YtD'!$F:$F,'DB Costi-Ore YtD'!$A:$A,L$1,'DB Costi-Ore YtD'!$B:$B,$A8,'DB Costi-Ore YtD'!$E:$E,$C8)-SUM($D8:K8),0)</f>
        <v>0</v>
      </c>
      <c r="M8" s="9">
        <f>IF((M$1*1)&lt;=MAX('DB Costi-Ore YtD'!$A:$A),SUMIFS('DB Costi-Ore YtD'!$F:$F,'DB Costi-Ore YtD'!$A:$A,M$1,'DB Costi-Ore YtD'!$B:$B,$A8,'DB Costi-Ore YtD'!$E:$E,$C8)-SUM($D8:L8),0)</f>
        <v>0</v>
      </c>
      <c r="N8" s="9">
        <f>IF((N$1*1)&lt;=MAX('DB Costi-Ore YtD'!$A:$A),SUMIFS('DB Costi-Ore YtD'!$F:$F,'DB Costi-Ore YtD'!$A:$A,N$1,'DB Costi-Ore YtD'!$B:$B,$A8,'DB Costi-Ore YtD'!$E:$E,$C8)-SUM($D8:M8),0)</f>
        <v>0</v>
      </c>
      <c r="O8" s="9">
        <f>IF((O$1*1)&lt;=MAX('DB Costi-Ore YtD'!$A:$A),SUMIFS('DB Costi-Ore YtD'!$F:$F,'DB Costi-Ore YtD'!$A:$A,O$1,'DB Costi-Ore YtD'!$B:$B,$A8,'DB Costi-Ore YtD'!$E:$E,$C8)-SUM($D8:N8),0)</f>
        <v>0</v>
      </c>
    </row>
    <row r="9" spans="1:15" x14ac:dyDescent="0.3">
      <c r="A9" s="9" t="s">
        <v>43</v>
      </c>
      <c r="B9" s="9" t="s">
        <v>44</v>
      </c>
      <c r="C9" s="9" t="s">
        <v>3</v>
      </c>
      <c r="D9" s="9">
        <f>IF((D$1*1)&lt;=MAX('DB Costi-Ore YtD'!$A:$A),SUMIFS('DB Costi-Ore YtD'!$F:$F,'DB Costi-Ore YtD'!$A:$A,D$1,'DB Costi-Ore YtD'!$B:$B,$A9,'DB Costi-Ore YtD'!$E:$E,$C9),0)</f>
        <v>151.5</v>
      </c>
      <c r="E9" s="9">
        <f>IF((E$1*1)&lt;=MAX('DB Costi-Ore YtD'!$A:$A),SUMIFS('DB Costi-Ore YtD'!$F:$F,'DB Costi-Ore YtD'!$A:$A,E$1,'DB Costi-Ore YtD'!$B:$B,$A9,'DB Costi-Ore YtD'!$E:$E,$C9)-SUM($D9:D9),0)</f>
        <v>128.75</v>
      </c>
      <c r="F9" s="9">
        <f>IF((F$1*1)&lt;=MAX('DB Costi-Ore YtD'!$A:$A),SUMIFS('DB Costi-Ore YtD'!$F:$F,'DB Costi-Ore YtD'!$A:$A,F$1,'DB Costi-Ore YtD'!$B:$B,$A9,'DB Costi-Ore YtD'!$E:$E,$C9)-SUM($D9:E9),0)</f>
        <v>148.75</v>
      </c>
      <c r="G9" s="9">
        <f>IF((G$1*1)&lt;=MAX('DB Costi-Ore YtD'!$A:$A),SUMIFS('DB Costi-Ore YtD'!$F:$F,'DB Costi-Ore YtD'!$A:$A,G$1,'DB Costi-Ore YtD'!$B:$B,$A9,'DB Costi-Ore YtD'!$E:$E,$C9)-SUM($D9:F9),0)</f>
        <v>152.25</v>
      </c>
      <c r="H9" s="9">
        <f>IF((H$1*1)&lt;=MAX('DB Costi-Ore YtD'!$A:$A),SUMIFS('DB Costi-Ore YtD'!$F:$F,'DB Costi-Ore YtD'!$A:$A,H$1,'DB Costi-Ore YtD'!$B:$B,$A9,'DB Costi-Ore YtD'!$E:$E,$C9)-SUM($D9:G9),0)</f>
        <v>138.5</v>
      </c>
      <c r="I9" s="9">
        <f>IF((I$1*1)&lt;=MAX('DB Costi-Ore YtD'!$A:$A),SUMIFS('DB Costi-Ore YtD'!$F:$F,'DB Costi-Ore YtD'!$A:$A,I$1,'DB Costi-Ore YtD'!$B:$B,$A9,'DB Costi-Ore YtD'!$E:$E,$C9)-SUM($D9:H9),0)</f>
        <v>144.5</v>
      </c>
      <c r="J9" s="9">
        <f>IF((J$1*1)&lt;=MAX('DB Costi-Ore YtD'!$A:$A),SUMIFS('DB Costi-Ore YtD'!$F:$F,'DB Costi-Ore YtD'!$A:$A,J$1,'DB Costi-Ore YtD'!$B:$B,$A9,'DB Costi-Ore YtD'!$E:$E,$C9)-SUM($D9:I9),0)</f>
        <v>0</v>
      </c>
      <c r="K9" s="9">
        <f>IF((K$1*1)&lt;=MAX('DB Costi-Ore YtD'!$A:$A),SUMIFS('DB Costi-Ore YtD'!$F:$F,'DB Costi-Ore YtD'!$A:$A,K$1,'DB Costi-Ore YtD'!$B:$B,$A9,'DB Costi-Ore YtD'!$E:$E,$C9)-SUM($D9:J9),0)</f>
        <v>0</v>
      </c>
      <c r="L9" s="9">
        <f>IF((L$1*1)&lt;=MAX('DB Costi-Ore YtD'!$A:$A),SUMIFS('DB Costi-Ore YtD'!$F:$F,'DB Costi-Ore YtD'!$A:$A,L$1,'DB Costi-Ore YtD'!$B:$B,$A9,'DB Costi-Ore YtD'!$E:$E,$C9)-SUM($D9:K9),0)</f>
        <v>0</v>
      </c>
      <c r="M9" s="9">
        <f>IF((M$1*1)&lt;=MAX('DB Costi-Ore YtD'!$A:$A),SUMIFS('DB Costi-Ore YtD'!$F:$F,'DB Costi-Ore YtD'!$A:$A,M$1,'DB Costi-Ore YtD'!$B:$B,$A9,'DB Costi-Ore YtD'!$E:$E,$C9)-SUM($D9:L9),0)</f>
        <v>0</v>
      </c>
      <c r="N9" s="9">
        <f>IF((N$1*1)&lt;=MAX('DB Costi-Ore YtD'!$A:$A),SUMIFS('DB Costi-Ore YtD'!$F:$F,'DB Costi-Ore YtD'!$A:$A,N$1,'DB Costi-Ore YtD'!$B:$B,$A9,'DB Costi-Ore YtD'!$E:$E,$C9)-SUM($D9:M9),0)</f>
        <v>0</v>
      </c>
      <c r="O9" s="9">
        <f>IF((O$1*1)&lt;=MAX('DB Costi-Ore YtD'!$A:$A),SUMIFS('DB Costi-Ore YtD'!$F:$F,'DB Costi-Ore YtD'!$A:$A,O$1,'DB Costi-Ore YtD'!$B:$B,$A9,'DB Costi-Ore YtD'!$E:$E,$C9)-SUM($D9:N9),0)</f>
        <v>0</v>
      </c>
    </row>
    <row r="10" spans="1:15" x14ac:dyDescent="0.3">
      <c r="A10" s="9" t="s">
        <v>45</v>
      </c>
      <c r="B10" s="9" t="s">
        <v>46</v>
      </c>
      <c r="C10" s="9" t="s">
        <v>3</v>
      </c>
      <c r="D10" s="9">
        <f>IF((D$1*1)&lt;=MAX('DB Costi-Ore YtD'!$A:$A),SUMIFS('DB Costi-Ore YtD'!$F:$F,'DB Costi-Ore YtD'!$A:$A,D$1,'DB Costi-Ore YtD'!$B:$B,$A10,'DB Costi-Ore YtD'!$E:$E,$C10),0)</f>
        <v>159</v>
      </c>
      <c r="E10" s="9">
        <f>IF((E$1*1)&lt;=MAX('DB Costi-Ore YtD'!$A:$A),SUMIFS('DB Costi-Ore YtD'!$F:$F,'DB Costi-Ore YtD'!$A:$A,E$1,'DB Costi-Ore YtD'!$B:$B,$A10,'DB Costi-Ore YtD'!$E:$E,$C10)-SUM($D10:D10),0)</f>
        <v>138.25</v>
      </c>
      <c r="F10" s="9">
        <f>IF((F$1*1)&lt;=MAX('DB Costi-Ore YtD'!$A:$A),SUMIFS('DB Costi-Ore YtD'!$F:$F,'DB Costi-Ore YtD'!$A:$A,F$1,'DB Costi-Ore YtD'!$B:$B,$A10,'DB Costi-Ore YtD'!$E:$E,$C10)-SUM($D10:E10),0)</f>
        <v>152.5</v>
      </c>
      <c r="G10" s="9">
        <f>IF((G$1*1)&lt;=MAX('DB Costi-Ore YtD'!$A:$A),SUMIFS('DB Costi-Ore YtD'!$F:$F,'DB Costi-Ore YtD'!$A:$A,G$1,'DB Costi-Ore YtD'!$B:$B,$A10,'DB Costi-Ore YtD'!$E:$E,$C10)-SUM($D10:F10),0)</f>
        <v>148</v>
      </c>
      <c r="H10" s="9">
        <f>IF((H$1*1)&lt;=MAX('DB Costi-Ore YtD'!$A:$A),SUMIFS('DB Costi-Ore YtD'!$F:$F,'DB Costi-Ore YtD'!$A:$A,H$1,'DB Costi-Ore YtD'!$B:$B,$A10,'DB Costi-Ore YtD'!$E:$E,$C10)-SUM($D10:G10),0)</f>
        <v>140</v>
      </c>
      <c r="I10" s="9">
        <f>IF((I$1*1)&lt;=MAX('DB Costi-Ore YtD'!$A:$A),SUMIFS('DB Costi-Ore YtD'!$F:$F,'DB Costi-Ore YtD'!$A:$A,I$1,'DB Costi-Ore YtD'!$B:$B,$A10,'DB Costi-Ore YtD'!$E:$E,$C10)-SUM($D10:H10),0)</f>
        <v>60</v>
      </c>
      <c r="J10" s="9">
        <f>IF((J$1*1)&lt;=MAX('DB Costi-Ore YtD'!$A:$A),SUMIFS('DB Costi-Ore YtD'!$F:$F,'DB Costi-Ore YtD'!$A:$A,J$1,'DB Costi-Ore YtD'!$B:$B,$A10,'DB Costi-Ore YtD'!$E:$E,$C10)-SUM($D10:I10),0)</f>
        <v>0</v>
      </c>
      <c r="K10" s="9">
        <f>IF((K$1*1)&lt;=MAX('DB Costi-Ore YtD'!$A:$A),SUMIFS('DB Costi-Ore YtD'!$F:$F,'DB Costi-Ore YtD'!$A:$A,K$1,'DB Costi-Ore YtD'!$B:$B,$A10,'DB Costi-Ore YtD'!$E:$E,$C10)-SUM($D10:J10),0)</f>
        <v>0</v>
      </c>
      <c r="L10" s="9">
        <f>IF((L$1*1)&lt;=MAX('DB Costi-Ore YtD'!$A:$A),SUMIFS('DB Costi-Ore YtD'!$F:$F,'DB Costi-Ore YtD'!$A:$A,L$1,'DB Costi-Ore YtD'!$B:$B,$A10,'DB Costi-Ore YtD'!$E:$E,$C10)-SUM($D10:K10),0)</f>
        <v>0</v>
      </c>
      <c r="M10" s="9">
        <f>IF((M$1*1)&lt;=MAX('DB Costi-Ore YtD'!$A:$A),SUMIFS('DB Costi-Ore YtD'!$F:$F,'DB Costi-Ore YtD'!$A:$A,M$1,'DB Costi-Ore YtD'!$B:$B,$A10,'DB Costi-Ore YtD'!$E:$E,$C10)-SUM($D10:L10),0)</f>
        <v>0</v>
      </c>
      <c r="N10" s="9">
        <f>IF((N$1*1)&lt;=MAX('DB Costi-Ore YtD'!$A:$A),SUMIFS('DB Costi-Ore YtD'!$F:$F,'DB Costi-Ore YtD'!$A:$A,N$1,'DB Costi-Ore YtD'!$B:$B,$A10,'DB Costi-Ore YtD'!$E:$E,$C10)-SUM($D10:M10),0)</f>
        <v>0</v>
      </c>
      <c r="O10" s="9">
        <f>IF((O$1*1)&lt;=MAX('DB Costi-Ore YtD'!$A:$A),SUMIFS('DB Costi-Ore YtD'!$F:$F,'DB Costi-Ore YtD'!$A:$A,O$1,'DB Costi-Ore YtD'!$B:$B,$A10,'DB Costi-Ore YtD'!$E:$E,$C10)-SUM($D10:N10),0)</f>
        <v>0</v>
      </c>
    </row>
    <row r="11" spans="1:15" x14ac:dyDescent="0.3">
      <c r="A11" s="9" t="s">
        <v>47</v>
      </c>
      <c r="B11" s="9" t="s">
        <v>48</v>
      </c>
      <c r="C11" s="9" t="s">
        <v>4</v>
      </c>
      <c r="D11" s="9">
        <f>IF((D$1*1)&lt;=MAX('DB Costi-Ore YtD'!$A:$A),SUMIFS('DB Costi-Ore YtD'!$F:$F,'DB Costi-Ore YtD'!$A:$A,D$1,'DB Costi-Ore YtD'!$B:$B,$A11,'DB Costi-Ore YtD'!$E:$E,$C11),0)</f>
        <v>91.25</v>
      </c>
      <c r="E11" s="9">
        <f>IF((E$1*1)&lt;=MAX('DB Costi-Ore YtD'!$A:$A),SUMIFS('DB Costi-Ore YtD'!$F:$F,'DB Costi-Ore YtD'!$A:$A,E$1,'DB Costi-Ore YtD'!$B:$B,$A11,'DB Costi-Ore YtD'!$E:$E,$C11)-SUM($D11:D11),0)</f>
        <v>134</v>
      </c>
      <c r="F11" s="9">
        <f>IF((F$1*1)&lt;=MAX('DB Costi-Ore YtD'!$A:$A),SUMIFS('DB Costi-Ore YtD'!$F:$F,'DB Costi-Ore YtD'!$A:$A,F$1,'DB Costi-Ore YtD'!$B:$B,$A11,'DB Costi-Ore YtD'!$E:$E,$C11)-SUM($D11:E11),0)</f>
        <v>142</v>
      </c>
      <c r="G11" s="9">
        <f>IF((G$1*1)&lt;=MAX('DB Costi-Ore YtD'!$A:$A),SUMIFS('DB Costi-Ore YtD'!$F:$F,'DB Costi-Ore YtD'!$A:$A,G$1,'DB Costi-Ore YtD'!$B:$B,$A11,'DB Costi-Ore YtD'!$E:$E,$C11)-SUM($D11:F11),0)</f>
        <v>128.5</v>
      </c>
      <c r="H11" s="9">
        <f>IF((H$1*1)&lt;=MAX('DB Costi-Ore YtD'!$A:$A),SUMIFS('DB Costi-Ore YtD'!$F:$F,'DB Costi-Ore YtD'!$A:$A,H$1,'DB Costi-Ore YtD'!$B:$B,$A11,'DB Costi-Ore YtD'!$E:$E,$C11)-SUM($D11:G11),0)</f>
        <v>126.5</v>
      </c>
      <c r="I11" s="9">
        <f>IF((I$1*1)&lt;=MAX('DB Costi-Ore YtD'!$A:$A),SUMIFS('DB Costi-Ore YtD'!$F:$F,'DB Costi-Ore YtD'!$A:$A,I$1,'DB Costi-Ore YtD'!$B:$B,$A11,'DB Costi-Ore YtD'!$E:$E,$C11)-SUM($D11:H11),0)</f>
        <v>83</v>
      </c>
      <c r="J11" s="9">
        <f>IF((J$1*1)&lt;=MAX('DB Costi-Ore YtD'!$A:$A),SUMIFS('DB Costi-Ore YtD'!$F:$F,'DB Costi-Ore YtD'!$A:$A,J$1,'DB Costi-Ore YtD'!$B:$B,$A11,'DB Costi-Ore YtD'!$E:$E,$C11)-SUM($D11:I11),0)</f>
        <v>0</v>
      </c>
      <c r="K11" s="9">
        <f>IF((K$1*1)&lt;=MAX('DB Costi-Ore YtD'!$A:$A),SUMIFS('DB Costi-Ore YtD'!$F:$F,'DB Costi-Ore YtD'!$A:$A,K$1,'DB Costi-Ore YtD'!$B:$B,$A11,'DB Costi-Ore YtD'!$E:$E,$C11)-SUM($D11:J11),0)</f>
        <v>0</v>
      </c>
      <c r="L11" s="9">
        <f>IF((L$1*1)&lt;=MAX('DB Costi-Ore YtD'!$A:$A),SUMIFS('DB Costi-Ore YtD'!$F:$F,'DB Costi-Ore YtD'!$A:$A,L$1,'DB Costi-Ore YtD'!$B:$B,$A11,'DB Costi-Ore YtD'!$E:$E,$C11)-SUM($D11:K11),0)</f>
        <v>0</v>
      </c>
      <c r="M11" s="9">
        <f>IF((M$1*1)&lt;=MAX('DB Costi-Ore YtD'!$A:$A),SUMIFS('DB Costi-Ore YtD'!$F:$F,'DB Costi-Ore YtD'!$A:$A,M$1,'DB Costi-Ore YtD'!$B:$B,$A11,'DB Costi-Ore YtD'!$E:$E,$C11)-SUM($D11:L11),0)</f>
        <v>0</v>
      </c>
      <c r="N11" s="9">
        <f>IF((N$1*1)&lt;=MAX('DB Costi-Ore YtD'!$A:$A),SUMIFS('DB Costi-Ore YtD'!$F:$F,'DB Costi-Ore YtD'!$A:$A,N$1,'DB Costi-Ore YtD'!$B:$B,$A11,'DB Costi-Ore YtD'!$E:$E,$C11)-SUM($D11:M11),0)</f>
        <v>0</v>
      </c>
      <c r="O11" s="9">
        <f>IF((O$1*1)&lt;=MAX('DB Costi-Ore YtD'!$A:$A),SUMIFS('DB Costi-Ore YtD'!$F:$F,'DB Costi-Ore YtD'!$A:$A,O$1,'DB Costi-Ore YtD'!$B:$B,$A11,'DB Costi-Ore YtD'!$E:$E,$C11)-SUM($D11:N11),0)</f>
        <v>0</v>
      </c>
    </row>
    <row r="12" spans="1:15" x14ac:dyDescent="0.3">
      <c r="A12" s="9" t="s">
        <v>49</v>
      </c>
      <c r="B12" s="9" t="s">
        <v>50</v>
      </c>
      <c r="C12" s="9" t="s">
        <v>4</v>
      </c>
      <c r="D12" s="9">
        <f>IF((D$1*1)&lt;=MAX('DB Costi-Ore YtD'!$A:$A),SUMIFS('DB Costi-Ore YtD'!$F:$F,'DB Costi-Ore YtD'!$A:$A,D$1,'DB Costi-Ore YtD'!$B:$B,$A12,'DB Costi-Ore YtD'!$E:$E,$C12),0)</f>
        <v>127.5</v>
      </c>
      <c r="E12" s="9">
        <f>IF((E$1*1)&lt;=MAX('DB Costi-Ore YtD'!$A:$A),SUMIFS('DB Costi-Ore YtD'!$F:$F,'DB Costi-Ore YtD'!$A:$A,E$1,'DB Costi-Ore YtD'!$B:$B,$A12,'DB Costi-Ore YtD'!$E:$E,$C12)-SUM($D12:D12),0)</f>
        <v>150</v>
      </c>
      <c r="F12" s="9">
        <f>IF((F$1*1)&lt;=MAX('DB Costi-Ore YtD'!$A:$A),SUMIFS('DB Costi-Ore YtD'!$F:$F,'DB Costi-Ore YtD'!$A:$A,F$1,'DB Costi-Ore YtD'!$B:$B,$A12,'DB Costi-Ore YtD'!$E:$E,$C12)-SUM($D12:E12),0)</f>
        <v>148</v>
      </c>
      <c r="G12" s="9">
        <f>IF((G$1*1)&lt;=MAX('DB Costi-Ore YtD'!$A:$A),SUMIFS('DB Costi-Ore YtD'!$F:$F,'DB Costi-Ore YtD'!$A:$A,G$1,'DB Costi-Ore YtD'!$B:$B,$A12,'DB Costi-Ore YtD'!$E:$E,$C12)-SUM($D12:F12),0)</f>
        <v>121</v>
      </c>
      <c r="H12" s="9">
        <f>IF((H$1*1)&lt;=MAX('DB Costi-Ore YtD'!$A:$A),SUMIFS('DB Costi-Ore YtD'!$F:$F,'DB Costi-Ore YtD'!$A:$A,H$1,'DB Costi-Ore YtD'!$B:$B,$A12,'DB Costi-Ore YtD'!$E:$E,$C12)-SUM($D12:G12),0)</f>
        <v>134</v>
      </c>
      <c r="I12" s="9">
        <f>IF((I$1*1)&lt;=MAX('DB Costi-Ore YtD'!$A:$A),SUMIFS('DB Costi-Ore YtD'!$F:$F,'DB Costi-Ore YtD'!$A:$A,I$1,'DB Costi-Ore YtD'!$B:$B,$A12,'DB Costi-Ore YtD'!$E:$E,$C12)-SUM($D12:H12),0)</f>
        <v>151</v>
      </c>
      <c r="J12" s="9">
        <f>IF((J$1*1)&lt;=MAX('DB Costi-Ore YtD'!$A:$A),SUMIFS('DB Costi-Ore YtD'!$F:$F,'DB Costi-Ore YtD'!$A:$A,J$1,'DB Costi-Ore YtD'!$B:$B,$A12,'DB Costi-Ore YtD'!$E:$E,$C12)-SUM($D12:I12),0)</f>
        <v>0</v>
      </c>
      <c r="K12" s="9">
        <f>IF((K$1*1)&lt;=MAX('DB Costi-Ore YtD'!$A:$A),SUMIFS('DB Costi-Ore YtD'!$F:$F,'DB Costi-Ore YtD'!$A:$A,K$1,'DB Costi-Ore YtD'!$B:$B,$A12,'DB Costi-Ore YtD'!$E:$E,$C12)-SUM($D12:J12),0)</f>
        <v>0</v>
      </c>
      <c r="L12" s="9">
        <f>IF((L$1*1)&lt;=MAX('DB Costi-Ore YtD'!$A:$A),SUMIFS('DB Costi-Ore YtD'!$F:$F,'DB Costi-Ore YtD'!$A:$A,L$1,'DB Costi-Ore YtD'!$B:$B,$A12,'DB Costi-Ore YtD'!$E:$E,$C12)-SUM($D12:K12),0)</f>
        <v>0</v>
      </c>
      <c r="M12" s="9">
        <f>IF((M$1*1)&lt;=MAX('DB Costi-Ore YtD'!$A:$A),SUMIFS('DB Costi-Ore YtD'!$F:$F,'DB Costi-Ore YtD'!$A:$A,M$1,'DB Costi-Ore YtD'!$B:$B,$A12,'DB Costi-Ore YtD'!$E:$E,$C12)-SUM($D12:L12),0)</f>
        <v>0</v>
      </c>
      <c r="N12" s="9">
        <f>IF((N$1*1)&lt;=MAX('DB Costi-Ore YtD'!$A:$A),SUMIFS('DB Costi-Ore YtD'!$F:$F,'DB Costi-Ore YtD'!$A:$A,N$1,'DB Costi-Ore YtD'!$B:$B,$A12,'DB Costi-Ore YtD'!$E:$E,$C12)-SUM($D12:M12),0)</f>
        <v>0</v>
      </c>
      <c r="O12" s="9">
        <f>IF((O$1*1)&lt;=MAX('DB Costi-Ore YtD'!$A:$A),SUMIFS('DB Costi-Ore YtD'!$F:$F,'DB Costi-Ore YtD'!$A:$A,O$1,'DB Costi-Ore YtD'!$B:$B,$A12,'DB Costi-Ore YtD'!$E:$E,$C12)-SUM($D12:N12),0)</f>
        <v>0</v>
      </c>
    </row>
    <row r="13" spans="1:15" x14ac:dyDescent="0.3">
      <c r="A13" s="9" t="s">
        <v>51</v>
      </c>
      <c r="B13" s="9" t="s">
        <v>52</v>
      </c>
      <c r="C13" s="9" t="s">
        <v>13</v>
      </c>
      <c r="D13" s="9">
        <f>IF((D$1*1)&lt;=MAX('DB Costi-Ore YtD'!$A:$A),SUMIFS('DB Costi-Ore YtD'!$F:$F,'DB Costi-Ore YtD'!$A:$A,D$1,'DB Costi-Ore YtD'!$B:$B,$A13,'DB Costi-Ore YtD'!$E:$E,$C13),0)</f>
        <v>117.5</v>
      </c>
      <c r="E13" s="9">
        <f>IF((E$1*1)&lt;=MAX('DB Costi-Ore YtD'!$A:$A),SUMIFS('DB Costi-Ore YtD'!$F:$F,'DB Costi-Ore YtD'!$A:$A,E$1,'DB Costi-Ore YtD'!$B:$B,$A13,'DB Costi-Ore YtD'!$E:$E,$C13)-SUM($D13:D13),0)</f>
        <v>112</v>
      </c>
      <c r="F13" s="9">
        <f>IF((F$1*1)&lt;=MAX('DB Costi-Ore YtD'!$A:$A),SUMIFS('DB Costi-Ore YtD'!$F:$F,'DB Costi-Ore YtD'!$A:$A,F$1,'DB Costi-Ore YtD'!$B:$B,$A13,'DB Costi-Ore YtD'!$E:$E,$C13)-SUM($D13:E13),0)</f>
        <v>118</v>
      </c>
      <c r="G13" s="9">
        <f>IF((G$1*1)&lt;=MAX('DB Costi-Ore YtD'!$A:$A),SUMIFS('DB Costi-Ore YtD'!$F:$F,'DB Costi-Ore YtD'!$A:$A,G$1,'DB Costi-Ore YtD'!$B:$B,$A13,'DB Costi-Ore YtD'!$E:$E,$C13)-SUM($D13:F13),0)</f>
        <v>137.5</v>
      </c>
      <c r="H13" s="9">
        <f>IF((H$1*1)&lt;=MAX('DB Costi-Ore YtD'!$A:$A),SUMIFS('DB Costi-Ore YtD'!$F:$F,'DB Costi-Ore YtD'!$A:$A,H$1,'DB Costi-Ore YtD'!$B:$B,$A13,'DB Costi-Ore YtD'!$E:$E,$C13)-SUM($D13:G13),0)</f>
        <v>121.5</v>
      </c>
      <c r="I13" s="9">
        <f>IF((I$1*1)&lt;=MAX('DB Costi-Ore YtD'!$A:$A),SUMIFS('DB Costi-Ore YtD'!$F:$F,'DB Costi-Ore YtD'!$A:$A,I$1,'DB Costi-Ore YtD'!$B:$B,$A13,'DB Costi-Ore YtD'!$E:$E,$C13)-SUM($D13:H13),0)</f>
        <v>152</v>
      </c>
      <c r="J13" s="9">
        <f>IF((J$1*1)&lt;=MAX('DB Costi-Ore YtD'!$A:$A),SUMIFS('DB Costi-Ore YtD'!$F:$F,'DB Costi-Ore YtD'!$A:$A,J$1,'DB Costi-Ore YtD'!$B:$B,$A13,'DB Costi-Ore YtD'!$E:$E,$C13)-SUM($D13:I13),0)</f>
        <v>0</v>
      </c>
      <c r="K13" s="9">
        <f>IF((K$1*1)&lt;=MAX('DB Costi-Ore YtD'!$A:$A),SUMIFS('DB Costi-Ore YtD'!$F:$F,'DB Costi-Ore YtD'!$A:$A,K$1,'DB Costi-Ore YtD'!$B:$B,$A13,'DB Costi-Ore YtD'!$E:$E,$C13)-SUM($D13:J13),0)</f>
        <v>0</v>
      </c>
      <c r="L13" s="9">
        <f>IF((L$1*1)&lt;=MAX('DB Costi-Ore YtD'!$A:$A),SUMIFS('DB Costi-Ore YtD'!$F:$F,'DB Costi-Ore YtD'!$A:$A,L$1,'DB Costi-Ore YtD'!$B:$B,$A13,'DB Costi-Ore YtD'!$E:$E,$C13)-SUM($D13:K13),0)</f>
        <v>0</v>
      </c>
      <c r="M13" s="9">
        <f>IF((M$1*1)&lt;=MAX('DB Costi-Ore YtD'!$A:$A),SUMIFS('DB Costi-Ore YtD'!$F:$F,'DB Costi-Ore YtD'!$A:$A,M$1,'DB Costi-Ore YtD'!$B:$B,$A13,'DB Costi-Ore YtD'!$E:$E,$C13)-SUM($D13:L13),0)</f>
        <v>0</v>
      </c>
      <c r="N13" s="9">
        <f>IF((N$1*1)&lt;=MAX('DB Costi-Ore YtD'!$A:$A),SUMIFS('DB Costi-Ore YtD'!$F:$F,'DB Costi-Ore YtD'!$A:$A,N$1,'DB Costi-Ore YtD'!$B:$B,$A13,'DB Costi-Ore YtD'!$E:$E,$C13)-SUM($D13:M13),0)</f>
        <v>0</v>
      </c>
      <c r="O13" s="9">
        <f>IF((O$1*1)&lt;=MAX('DB Costi-Ore YtD'!$A:$A),SUMIFS('DB Costi-Ore YtD'!$F:$F,'DB Costi-Ore YtD'!$A:$A,O$1,'DB Costi-Ore YtD'!$B:$B,$A13,'DB Costi-Ore YtD'!$E:$E,$C13)-SUM($D13:N13),0)</f>
        <v>0</v>
      </c>
    </row>
    <row r="14" spans="1:15" x14ac:dyDescent="0.3">
      <c r="A14" s="9" t="s">
        <v>53</v>
      </c>
      <c r="B14" s="9" t="s">
        <v>54</v>
      </c>
      <c r="C14" s="9" t="s">
        <v>13</v>
      </c>
      <c r="D14" s="9">
        <f>IF((D$1*1)&lt;=MAX('DB Costi-Ore YtD'!$A:$A),SUMIFS('DB Costi-Ore YtD'!$F:$F,'DB Costi-Ore YtD'!$A:$A,D$1,'DB Costi-Ore YtD'!$B:$B,$A14,'DB Costi-Ore YtD'!$E:$E,$C14),0)</f>
        <v>96.5</v>
      </c>
      <c r="E14" s="9">
        <f>IF((E$1*1)&lt;=MAX('DB Costi-Ore YtD'!$A:$A),SUMIFS('DB Costi-Ore YtD'!$F:$F,'DB Costi-Ore YtD'!$A:$A,E$1,'DB Costi-Ore YtD'!$B:$B,$A14,'DB Costi-Ore YtD'!$E:$E,$C14)-SUM($D14:D14),0)</f>
        <v>142.5</v>
      </c>
      <c r="F14" s="9">
        <f>IF((F$1*1)&lt;=MAX('DB Costi-Ore YtD'!$A:$A),SUMIFS('DB Costi-Ore YtD'!$F:$F,'DB Costi-Ore YtD'!$A:$A,F$1,'DB Costi-Ore YtD'!$B:$B,$A14,'DB Costi-Ore YtD'!$E:$E,$C14)-SUM($D14:E14),0)</f>
        <v>0</v>
      </c>
      <c r="G14" s="9">
        <f>IF((G$1*1)&lt;=MAX('DB Costi-Ore YtD'!$A:$A),SUMIFS('DB Costi-Ore YtD'!$F:$F,'DB Costi-Ore YtD'!$A:$A,G$1,'DB Costi-Ore YtD'!$B:$B,$A14,'DB Costi-Ore YtD'!$E:$E,$C14)-SUM($D14:F14),0)</f>
        <v>0</v>
      </c>
      <c r="H14" s="9">
        <f>IF((H$1*1)&lt;=MAX('DB Costi-Ore YtD'!$A:$A),SUMIFS('DB Costi-Ore YtD'!$F:$F,'DB Costi-Ore YtD'!$A:$A,H$1,'DB Costi-Ore YtD'!$B:$B,$A14,'DB Costi-Ore YtD'!$E:$E,$C14)-SUM($D14:G14),0)</f>
        <v>0</v>
      </c>
      <c r="I14" s="9">
        <f>IF((I$1*1)&lt;=MAX('DB Costi-Ore YtD'!$A:$A),SUMIFS('DB Costi-Ore YtD'!$F:$F,'DB Costi-Ore YtD'!$A:$A,I$1,'DB Costi-Ore YtD'!$B:$B,$A14,'DB Costi-Ore YtD'!$E:$E,$C14)-SUM($D14:H14),0)</f>
        <v>0</v>
      </c>
      <c r="J14" s="9">
        <f>IF((J$1*1)&lt;=MAX('DB Costi-Ore YtD'!$A:$A),SUMIFS('DB Costi-Ore YtD'!$F:$F,'DB Costi-Ore YtD'!$A:$A,J$1,'DB Costi-Ore YtD'!$B:$B,$A14,'DB Costi-Ore YtD'!$E:$E,$C14)-SUM($D14:I14),0)</f>
        <v>0</v>
      </c>
      <c r="K14" s="9">
        <f>IF((K$1*1)&lt;=MAX('DB Costi-Ore YtD'!$A:$A),SUMIFS('DB Costi-Ore YtD'!$F:$F,'DB Costi-Ore YtD'!$A:$A,K$1,'DB Costi-Ore YtD'!$B:$B,$A14,'DB Costi-Ore YtD'!$E:$E,$C14)-SUM($D14:J14),0)</f>
        <v>0</v>
      </c>
      <c r="L14" s="9">
        <f>IF((L$1*1)&lt;=MAX('DB Costi-Ore YtD'!$A:$A),SUMIFS('DB Costi-Ore YtD'!$F:$F,'DB Costi-Ore YtD'!$A:$A,L$1,'DB Costi-Ore YtD'!$B:$B,$A14,'DB Costi-Ore YtD'!$E:$E,$C14)-SUM($D14:K14),0)</f>
        <v>0</v>
      </c>
      <c r="M14" s="9">
        <f>IF((M$1*1)&lt;=MAX('DB Costi-Ore YtD'!$A:$A),SUMIFS('DB Costi-Ore YtD'!$F:$F,'DB Costi-Ore YtD'!$A:$A,M$1,'DB Costi-Ore YtD'!$B:$B,$A14,'DB Costi-Ore YtD'!$E:$E,$C14)-SUM($D14:L14),0)</f>
        <v>0</v>
      </c>
      <c r="N14" s="9">
        <f>IF((N$1*1)&lt;=MAX('DB Costi-Ore YtD'!$A:$A),SUMIFS('DB Costi-Ore YtD'!$F:$F,'DB Costi-Ore YtD'!$A:$A,N$1,'DB Costi-Ore YtD'!$B:$B,$A14,'DB Costi-Ore YtD'!$E:$E,$C14)-SUM($D14:M14),0)</f>
        <v>0</v>
      </c>
      <c r="O14" s="9">
        <f>IF((O$1*1)&lt;=MAX('DB Costi-Ore YtD'!$A:$A),SUMIFS('DB Costi-Ore YtD'!$F:$F,'DB Costi-Ore YtD'!$A:$A,O$1,'DB Costi-Ore YtD'!$B:$B,$A14,'DB Costi-Ore YtD'!$E:$E,$C14)-SUM($D14:N14),0)</f>
        <v>0</v>
      </c>
    </row>
    <row r="15" spans="1:15" x14ac:dyDescent="0.3">
      <c r="A15" s="9" t="s">
        <v>55</v>
      </c>
      <c r="B15" s="9" t="s">
        <v>56</v>
      </c>
      <c r="C15" s="9" t="s">
        <v>11</v>
      </c>
      <c r="D15" s="9">
        <f>IF((D$1*1)&lt;=MAX('DB Costi-Ore YtD'!$A:$A),SUMIFS('DB Costi-Ore YtD'!$F:$F,'DB Costi-Ore YtD'!$A:$A,D$1,'DB Costi-Ore YtD'!$B:$B,$A15,'DB Costi-Ore YtD'!$E:$E,$C15),0)</f>
        <v>135.75</v>
      </c>
      <c r="E15" s="9">
        <f>IF((E$1*1)&lt;=MAX('DB Costi-Ore YtD'!$A:$A),SUMIFS('DB Costi-Ore YtD'!$F:$F,'DB Costi-Ore YtD'!$A:$A,E$1,'DB Costi-Ore YtD'!$B:$B,$A15,'DB Costi-Ore YtD'!$E:$E,$C15)-SUM($D15:D15),0)</f>
        <v>126.75</v>
      </c>
      <c r="F15" s="9">
        <f>IF((F$1*1)&lt;=MAX('DB Costi-Ore YtD'!$A:$A),SUMIFS('DB Costi-Ore YtD'!$F:$F,'DB Costi-Ore YtD'!$A:$A,F$1,'DB Costi-Ore YtD'!$B:$B,$A15,'DB Costi-Ore YtD'!$E:$E,$C15)-SUM($D15:E15),0)</f>
        <v>141.75</v>
      </c>
      <c r="G15" s="9">
        <f>IF((G$1*1)&lt;=MAX('DB Costi-Ore YtD'!$A:$A),SUMIFS('DB Costi-Ore YtD'!$F:$F,'DB Costi-Ore YtD'!$A:$A,G$1,'DB Costi-Ore YtD'!$B:$B,$A15,'DB Costi-Ore YtD'!$E:$E,$C15)-SUM($D15:F15),0)</f>
        <v>120.5</v>
      </c>
      <c r="H15" s="9">
        <f>IF((H$1*1)&lt;=MAX('DB Costi-Ore YtD'!$A:$A),SUMIFS('DB Costi-Ore YtD'!$F:$F,'DB Costi-Ore YtD'!$A:$A,H$1,'DB Costi-Ore YtD'!$B:$B,$A15,'DB Costi-Ore YtD'!$E:$E,$C15)-SUM($D15:G15),0)</f>
        <v>-524.75</v>
      </c>
      <c r="I15" s="9">
        <f>IF((I$1*1)&lt;=MAX('DB Costi-Ore YtD'!$A:$A),SUMIFS('DB Costi-Ore YtD'!$F:$F,'DB Costi-Ore YtD'!$A:$A,I$1,'DB Costi-Ore YtD'!$B:$B,$A15,'DB Costi-Ore YtD'!$E:$E,$C15)-SUM($D15:H15),0)</f>
        <v>0</v>
      </c>
      <c r="J15" s="9">
        <f>IF((J$1*1)&lt;=MAX('DB Costi-Ore YtD'!$A:$A),SUMIFS('DB Costi-Ore YtD'!$F:$F,'DB Costi-Ore YtD'!$A:$A,J$1,'DB Costi-Ore YtD'!$B:$B,$A15,'DB Costi-Ore YtD'!$E:$E,$C15)-SUM($D15:I15),0)</f>
        <v>0</v>
      </c>
      <c r="K15" s="9">
        <f>IF((K$1*1)&lt;=MAX('DB Costi-Ore YtD'!$A:$A),SUMIFS('DB Costi-Ore YtD'!$F:$F,'DB Costi-Ore YtD'!$A:$A,K$1,'DB Costi-Ore YtD'!$B:$B,$A15,'DB Costi-Ore YtD'!$E:$E,$C15)-SUM($D15:J15),0)</f>
        <v>0</v>
      </c>
      <c r="L15" s="9">
        <f>IF((L$1*1)&lt;=MAX('DB Costi-Ore YtD'!$A:$A),SUMIFS('DB Costi-Ore YtD'!$F:$F,'DB Costi-Ore YtD'!$A:$A,L$1,'DB Costi-Ore YtD'!$B:$B,$A15,'DB Costi-Ore YtD'!$E:$E,$C15)-SUM($D15:K15),0)</f>
        <v>0</v>
      </c>
      <c r="M15" s="9">
        <f>IF((M$1*1)&lt;=MAX('DB Costi-Ore YtD'!$A:$A),SUMIFS('DB Costi-Ore YtD'!$F:$F,'DB Costi-Ore YtD'!$A:$A,M$1,'DB Costi-Ore YtD'!$B:$B,$A15,'DB Costi-Ore YtD'!$E:$E,$C15)-SUM($D15:L15),0)</f>
        <v>0</v>
      </c>
      <c r="N15" s="9">
        <f>IF((N$1*1)&lt;=MAX('DB Costi-Ore YtD'!$A:$A),SUMIFS('DB Costi-Ore YtD'!$F:$F,'DB Costi-Ore YtD'!$A:$A,N$1,'DB Costi-Ore YtD'!$B:$B,$A15,'DB Costi-Ore YtD'!$E:$E,$C15)-SUM($D15:M15),0)</f>
        <v>0</v>
      </c>
      <c r="O15" s="9">
        <f>IF((O$1*1)&lt;=MAX('DB Costi-Ore YtD'!$A:$A),SUMIFS('DB Costi-Ore YtD'!$F:$F,'DB Costi-Ore YtD'!$A:$A,O$1,'DB Costi-Ore YtD'!$B:$B,$A15,'DB Costi-Ore YtD'!$E:$E,$C15)-SUM($D15:N15),0)</f>
        <v>0</v>
      </c>
    </row>
    <row r="16" spans="1:15" x14ac:dyDescent="0.3">
      <c r="A16" s="9" t="s">
        <v>57</v>
      </c>
      <c r="B16" s="9" t="s">
        <v>58</v>
      </c>
      <c r="C16" s="9" t="s">
        <v>14</v>
      </c>
      <c r="D16" s="9">
        <f>IF((D$1*1)&lt;=MAX('DB Costi-Ore YtD'!$A:$A),SUMIFS('DB Costi-Ore YtD'!$F:$F,'DB Costi-Ore YtD'!$A:$A,D$1,'DB Costi-Ore YtD'!$B:$B,$A16,'DB Costi-Ore YtD'!$E:$E,$C16),0)</f>
        <v>144</v>
      </c>
      <c r="E16" s="9">
        <f>IF((E$1*1)&lt;=MAX('DB Costi-Ore YtD'!$A:$A),SUMIFS('DB Costi-Ore YtD'!$F:$F,'DB Costi-Ore YtD'!$A:$A,E$1,'DB Costi-Ore YtD'!$B:$B,$A16,'DB Costi-Ore YtD'!$E:$E,$C16)-SUM($D16:D16),0)</f>
        <v>152</v>
      </c>
      <c r="F16" s="9">
        <f>IF((F$1*1)&lt;=MAX('DB Costi-Ore YtD'!$A:$A),SUMIFS('DB Costi-Ore YtD'!$F:$F,'DB Costi-Ore YtD'!$A:$A,F$1,'DB Costi-Ore YtD'!$B:$B,$A16,'DB Costi-Ore YtD'!$E:$E,$C16)-SUM($D16:E16),0)</f>
        <v>160</v>
      </c>
      <c r="G16" s="9">
        <f>IF((G$1*1)&lt;=MAX('DB Costi-Ore YtD'!$A:$A),SUMIFS('DB Costi-Ore YtD'!$F:$F,'DB Costi-Ore YtD'!$A:$A,G$1,'DB Costi-Ore YtD'!$B:$B,$A16,'DB Costi-Ore YtD'!$E:$E,$C16)-SUM($D16:F16),0)</f>
        <v>151.5</v>
      </c>
      <c r="H16" s="9">
        <f>IF((H$1*1)&lt;=MAX('DB Costi-Ore YtD'!$A:$A),SUMIFS('DB Costi-Ore YtD'!$F:$F,'DB Costi-Ore YtD'!$A:$A,H$1,'DB Costi-Ore YtD'!$B:$B,$A16,'DB Costi-Ore YtD'!$E:$E,$C16)-SUM($D16:G16),0)</f>
        <v>159.5</v>
      </c>
      <c r="I16" s="9">
        <f>IF((I$1*1)&lt;=MAX('DB Costi-Ore YtD'!$A:$A),SUMIFS('DB Costi-Ore YtD'!$F:$F,'DB Costi-Ore YtD'!$A:$A,I$1,'DB Costi-Ore YtD'!$B:$B,$A16,'DB Costi-Ore YtD'!$E:$E,$C16)-SUM($D16:H16),0)</f>
        <v>152</v>
      </c>
      <c r="J16" s="9">
        <f>IF((J$1*1)&lt;=MAX('DB Costi-Ore YtD'!$A:$A),SUMIFS('DB Costi-Ore YtD'!$F:$F,'DB Costi-Ore YtD'!$A:$A,J$1,'DB Costi-Ore YtD'!$B:$B,$A16,'DB Costi-Ore YtD'!$E:$E,$C16)-SUM($D16:I16),0)</f>
        <v>0</v>
      </c>
      <c r="K16" s="9">
        <f>IF((K$1*1)&lt;=MAX('DB Costi-Ore YtD'!$A:$A),SUMIFS('DB Costi-Ore YtD'!$F:$F,'DB Costi-Ore YtD'!$A:$A,K$1,'DB Costi-Ore YtD'!$B:$B,$A16,'DB Costi-Ore YtD'!$E:$E,$C16)-SUM($D16:J16),0)</f>
        <v>0</v>
      </c>
      <c r="L16" s="9">
        <f>IF((L$1*1)&lt;=MAX('DB Costi-Ore YtD'!$A:$A),SUMIFS('DB Costi-Ore YtD'!$F:$F,'DB Costi-Ore YtD'!$A:$A,L$1,'DB Costi-Ore YtD'!$B:$B,$A16,'DB Costi-Ore YtD'!$E:$E,$C16)-SUM($D16:K16),0)</f>
        <v>0</v>
      </c>
      <c r="M16" s="9">
        <f>IF((M$1*1)&lt;=MAX('DB Costi-Ore YtD'!$A:$A),SUMIFS('DB Costi-Ore YtD'!$F:$F,'DB Costi-Ore YtD'!$A:$A,M$1,'DB Costi-Ore YtD'!$B:$B,$A16,'DB Costi-Ore YtD'!$E:$E,$C16)-SUM($D16:L16),0)</f>
        <v>0</v>
      </c>
      <c r="N16" s="9">
        <f>IF((N$1*1)&lt;=MAX('DB Costi-Ore YtD'!$A:$A),SUMIFS('DB Costi-Ore YtD'!$F:$F,'DB Costi-Ore YtD'!$A:$A,N$1,'DB Costi-Ore YtD'!$B:$B,$A16,'DB Costi-Ore YtD'!$E:$E,$C16)-SUM($D16:M16),0)</f>
        <v>0</v>
      </c>
      <c r="O16" s="9">
        <f>IF((O$1*1)&lt;=MAX('DB Costi-Ore YtD'!$A:$A),SUMIFS('DB Costi-Ore YtD'!$F:$F,'DB Costi-Ore YtD'!$A:$A,O$1,'DB Costi-Ore YtD'!$B:$B,$A16,'DB Costi-Ore YtD'!$E:$E,$C16)-SUM($D16:N16),0)</f>
        <v>0</v>
      </c>
    </row>
    <row r="17" spans="1:15" x14ac:dyDescent="0.3">
      <c r="A17" s="9" t="s">
        <v>59</v>
      </c>
      <c r="B17" s="9" t="s">
        <v>60</v>
      </c>
      <c r="C17" s="9" t="s">
        <v>13</v>
      </c>
      <c r="D17" s="9">
        <f>IF((D$1*1)&lt;=MAX('DB Costi-Ore YtD'!$A:$A),SUMIFS('DB Costi-Ore YtD'!$F:$F,'DB Costi-Ore YtD'!$A:$A,D$1,'DB Costi-Ore YtD'!$B:$B,$A17,'DB Costi-Ore YtD'!$E:$E,$C17),0)</f>
        <v>0</v>
      </c>
      <c r="E17" s="9">
        <f>IF((E$1*1)&lt;=MAX('DB Costi-Ore YtD'!$A:$A),SUMIFS('DB Costi-Ore YtD'!$F:$F,'DB Costi-Ore YtD'!$A:$A,E$1,'DB Costi-Ore YtD'!$B:$B,$A17,'DB Costi-Ore YtD'!$E:$E,$C17)-SUM($D17:D17),0)</f>
        <v>0</v>
      </c>
      <c r="F17" s="9">
        <f>IF((F$1*1)&lt;=MAX('DB Costi-Ore YtD'!$A:$A),SUMIFS('DB Costi-Ore YtD'!$F:$F,'DB Costi-Ore YtD'!$A:$A,F$1,'DB Costi-Ore YtD'!$B:$B,$A17,'DB Costi-Ore YtD'!$E:$E,$C17)-SUM($D17:E17),0)</f>
        <v>0</v>
      </c>
      <c r="G17" s="9">
        <f>IF((G$1*1)&lt;=MAX('DB Costi-Ore YtD'!$A:$A),SUMIFS('DB Costi-Ore YtD'!$F:$F,'DB Costi-Ore YtD'!$A:$A,G$1,'DB Costi-Ore YtD'!$B:$B,$A17,'DB Costi-Ore YtD'!$E:$E,$C17)-SUM($D17:F17),0)</f>
        <v>0</v>
      </c>
      <c r="H17" s="9">
        <f>IF((H$1*1)&lt;=MAX('DB Costi-Ore YtD'!$A:$A),SUMIFS('DB Costi-Ore YtD'!$F:$F,'DB Costi-Ore YtD'!$A:$A,H$1,'DB Costi-Ore YtD'!$B:$B,$A17,'DB Costi-Ore YtD'!$E:$E,$C17)-SUM($D17:G17),0)</f>
        <v>0</v>
      </c>
      <c r="I17" s="9">
        <f>IF((I$1*1)&lt;=MAX('DB Costi-Ore YtD'!$A:$A),SUMIFS('DB Costi-Ore YtD'!$F:$F,'DB Costi-Ore YtD'!$A:$A,I$1,'DB Costi-Ore YtD'!$B:$B,$A17,'DB Costi-Ore YtD'!$E:$E,$C17)-SUM($D17:H17),0)</f>
        <v>0</v>
      </c>
      <c r="J17" s="9">
        <f>IF((J$1*1)&lt;=MAX('DB Costi-Ore YtD'!$A:$A),SUMIFS('DB Costi-Ore YtD'!$F:$F,'DB Costi-Ore YtD'!$A:$A,J$1,'DB Costi-Ore YtD'!$B:$B,$A17,'DB Costi-Ore YtD'!$E:$E,$C17)-SUM($D17:I17),0)</f>
        <v>0</v>
      </c>
      <c r="K17" s="9">
        <f>IF((K$1*1)&lt;=MAX('DB Costi-Ore YtD'!$A:$A),SUMIFS('DB Costi-Ore YtD'!$F:$F,'DB Costi-Ore YtD'!$A:$A,K$1,'DB Costi-Ore YtD'!$B:$B,$A17,'DB Costi-Ore YtD'!$E:$E,$C17)-SUM($D17:J17),0)</f>
        <v>0</v>
      </c>
      <c r="L17" s="9">
        <f>IF((L$1*1)&lt;=MAX('DB Costi-Ore YtD'!$A:$A),SUMIFS('DB Costi-Ore YtD'!$F:$F,'DB Costi-Ore YtD'!$A:$A,L$1,'DB Costi-Ore YtD'!$B:$B,$A17,'DB Costi-Ore YtD'!$E:$E,$C17)-SUM($D17:K17),0)</f>
        <v>0</v>
      </c>
      <c r="M17" s="9">
        <f>IF((M$1*1)&lt;=MAX('DB Costi-Ore YtD'!$A:$A),SUMIFS('DB Costi-Ore YtD'!$F:$F,'DB Costi-Ore YtD'!$A:$A,M$1,'DB Costi-Ore YtD'!$B:$B,$A17,'DB Costi-Ore YtD'!$E:$E,$C17)-SUM($D17:L17),0)</f>
        <v>0</v>
      </c>
      <c r="N17" s="9">
        <f>IF((N$1*1)&lt;=MAX('DB Costi-Ore YtD'!$A:$A),SUMIFS('DB Costi-Ore YtD'!$F:$F,'DB Costi-Ore YtD'!$A:$A,N$1,'DB Costi-Ore YtD'!$B:$B,$A17,'DB Costi-Ore YtD'!$E:$E,$C17)-SUM($D17:M17),0)</f>
        <v>0</v>
      </c>
      <c r="O17" s="9">
        <f>IF((O$1*1)&lt;=MAX('DB Costi-Ore YtD'!$A:$A),SUMIFS('DB Costi-Ore YtD'!$F:$F,'DB Costi-Ore YtD'!$A:$A,O$1,'DB Costi-Ore YtD'!$B:$B,$A17,'DB Costi-Ore YtD'!$E:$E,$C17)-SUM($D17:N17),0)</f>
        <v>0</v>
      </c>
    </row>
    <row r="18" spans="1:15" x14ac:dyDescent="0.3">
      <c r="A18" s="9" t="s">
        <v>61</v>
      </c>
      <c r="B18" s="9" t="s">
        <v>62</v>
      </c>
      <c r="C18" s="9" t="s">
        <v>3</v>
      </c>
      <c r="D18" s="9">
        <f>IF((D$1*1)&lt;=MAX('DB Costi-Ore YtD'!$A:$A),SUMIFS('DB Costi-Ore YtD'!$F:$F,'DB Costi-Ore YtD'!$A:$A,D$1,'DB Costi-Ore YtD'!$B:$B,$A18,'DB Costi-Ore YtD'!$E:$E,$C18),0)</f>
        <v>52.75</v>
      </c>
      <c r="E18" s="9">
        <f>IF((E$1*1)&lt;=MAX('DB Costi-Ore YtD'!$A:$A),SUMIFS('DB Costi-Ore YtD'!$F:$F,'DB Costi-Ore YtD'!$A:$A,E$1,'DB Costi-Ore YtD'!$B:$B,$A18,'DB Costi-Ore YtD'!$E:$E,$C18)-SUM($D18:D18),0)</f>
        <v>143</v>
      </c>
      <c r="F18" s="9">
        <f>IF((F$1*1)&lt;=MAX('DB Costi-Ore YtD'!$A:$A),SUMIFS('DB Costi-Ore YtD'!$F:$F,'DB Costi-Ore YtD'!$A:$A,F$1,'DB Costi-Ore YtD'!$B:$B,$A18,'DB Costi-Ore YtD'!$E:$E,$C18)-SUM($D18:E18),0)</f>
        <v>146</v>
      </c>
      <c r="G18" s="9">
        <f>IF((G$1*1)&lt;=MAX('DB Costi-Ore YtD'!$A:$A),SUMIFS('DB Costi-Ore YtD'!$F:$F,'DB Costi-Ore YtD'!$A:$A,G$1,'DB Costi-Ore YtD'!$B:$B,$A18,'DB Costi-Ore YtD'!$E:$E,$C18)-SUM($D18:F18),0)</f>
        <v>124</v>
      </c>
      <c r="H18" s="9">
        <f>IF((H$1*1)&lt;=MAX('DB Costi-Ore YtD'!$A:$A),SUMIFS('DB Costi-Ore YtD'!$F:$F,'DB Costi-Ore YtD'!$A:$A,H$1,'DB Costi-Ore YtD'!$B:$B,$A18,'DB Costi-Ore YtD'!$E:$E,$C18)-SUM($D18:G18),0)</f>
        <v>142.25</v>
      </c>
      <c r="I18" s="9">
        <f>IF((I$1*1)&lt;=MAX('DB Costi-Ore YtD'!$A:$A),SUMIFS('DB Costi-Ore YtD'!$F:$F,'DB Costi-Ore YtD'!$A:$A,I$1,'DB Costi-Ore YtD'!$B:$B,$A18,'DB Costi-Ore YtD'!$E:$E,$C18)-SUM($D18:H18),0)</f>
        <v>135.75</v>
      </c>
      <c r="J18" s="9">
        <f>IF((J$1*1)&lt;=MAX('DB Costi-Ore YtD'!$A:$A),SUMIFS('DB Costi-Ore YtD'!$F:$F,'DB Costi-Ore YtD'!$A:$A,J$1,'DB Costi-Ore YtD'!$B:$B,$A18,'DB Costi-Ore YtD'!$E:$E,$C18)-SUM($D18:I18),0)</f>
        <v>0</v>
      </c>
      <c r="K18" s="9">
        <f>IF((K$1*1)&lt;=MAX('DB Costi-Ore YtD'!$A:$A),SUMIFS('DB Costi-Ore YtD'!$F:$F,'DB Costi-Ore YtD'!$A:$A,K$1,'DB Costi-Ore YtD'!$B:$B,$A18,'DB Costi-Ore YtD'!$E:$E,$C18)-SUM($D18:J18),0)</f>
        <v>0</v>
      </c>
      <c r="L18" s="9">
        <f>IF((L$1*1)&lt;=MAX('DB Costi-Ore YtD'!$A:$A),SUMIFS('DB Costi-Ore YtD'!$F:$F,'DB Costi-Ore YtD'!$A:$A,L$1,'DB Costi-Ore YtD'!$B:$B,$A18,'DB Costi-Ore YtD'!$E:$E,$C18)-SUM($D18:K18),0)</f>
        <v>0</v>
      </c>
      <c r="M18" s="9">
        <f>IF((M$1*1)&lt;=MAX('DB Costi-Ore YtD'!$A:$A),SUMIFS('DB Costi-Ore YtD'!$F:$F,'DB Costi-Ore YtD'!$A:$A,M$1,'DB Costi-Ore YtD'!$B:$B,$A18,'DB Costi-Ore YtD'!$E:$E,$C18)-SUM($D18:L18),0)</f>
        <v>0</v>
      </c>
      <c r="N18" s="9">
        <f>IF((N$1*1)&lt;=MAX('DB Costi-Ore YtD'!$A:$A),SUMIFS('DB Costi-Ore YtD'!$F:$F,'DB Costi-Ore YtD'!$A:$A,N$1,'DB Costi-Ore YtD'!$B:$B,$A18,'DB Costi-Ore YtD'!$E:$E,$C18)-SUM($D18:M18),0)</f>
        <v>0</v>
      </c>
      <c r="O18" s="9">
        <f>IF((O$1*1)&lt;=MAX('DB Costi-Ore YtD'!$A:$A),SUMIFS('DB Costi-Ore YtD'!$F:$F,'DB Costi-Ore YtD'!$A:$A,O$1,'DB Costi-Ore YtD'!$B:$B,$A18,'DB Costi-Ore YtD'!$E:$E,$C18)-SUM($D18:N18),0)</f>
        <v>0</v>
      </c>
    </row>
    <row r="19" spans="1:15" x14ac:dyDescent="0.3">
      <c r="A19" s="9" t="s">
        <v>63</v>
      </c>
      <c r="B19" s="9" t="s">
        <v>64</v>
      </c>
      <c r="C19" s="9" t="s">
        <v>2</v>
      </c>
      <c r="D19" s="9">
        <f>IF((D$1*1)&lt;=MAX('DB Costi-Ore YtD'!$A:$A),SUMIFS('DB Costi-Ore YtD'!$F:$F,'DB Costi-Ore YtD'!$A:$A,D$1,'DB Costi-Ore YtD'!$B:$B,$A19,'DB Costi-Ore YtD'!$E:$E,$C19),0)</f>
        <v>148.75</v>
      </c>
      <c r="E19" s="9">
        <f>IF((E$1*1)&lt;=MAX('DB Costi-Ore YtD'!$A:$A),SUMIFS('DB Costi-Ore YtD'!$F:$F,'DB Costi-Ore YtD'!$A:$A,E$1,'DB Costi-Ore YtD'!$B:$B,$A19,'DB Costi-Ore YtD'!$E:$E,$C19)-SUM($D19:D19),0)</f>
        <v>152</v>
      </c>
      <c r="F19" s="9">
        <f>IF((F$1*1)&lt;=MAX('DB Costi-Ore YtD'!$A:$A),SUMIFS('DB Costi-Ore YtD'!$F:$F,'DB Costi-Ore YtD'!$A:$A,F$1,'DB Costi-Ore YtD'!$B:$B,$A19,'DB Costi-Ore YtD'!$E:$E,$C19)-SUM($D19:E19),0)</f>
        <v>155.5</v>
      </c>
      <c r="G19" s="9">
        <f>IF((G$1*1)&lt;=MAX('DB Costi-Ore YtD'!$A:$A),SUMIFS('DB Costi-Ore YtD'!$F:$F,'DB Costi-Ore YtD'!$A:$A,G$1,'DB Costi-Ore YtD'!$B:$B,$A19,'DB Costi-Ore YtD'!$E:$E,$C19)-SUM($D19:F19),0)</f>
        <v>144.5</v>
      </c>
      <c r="H19" s="9">
        <f>IF((H$1*1)&lt;=MAX('DB Costi-Ore YtD'!$A:$A),SUMIFS('DB Costi-Ore YtD'!$F:$F,'DB Costi-Ore YtD'!$A:$A,H$1,'DB Costi-Ore YtD'!$B:$B,$A19,'DB Costi-Ore YtD'!$E:$E,$C19)-SUM($D19:G19),0)</f>
        <v>144.5</v>
      </c>
      <c r="I19" s="9">
        <f>IF((I$1*1)&lt;=MAX('DB Costi-Ore YtD'!$A:$A),SUMIFS('DB Costi-Ore YtD'!$F:$F,'DB Costi-Ore YtD'!$A:$A,I$1,'DB Costi-Ore YtD'!$B:$B,$A19,'DB Costi-Ore YtD'!$E:$E,$C19)-SUM($D19:H19),0)</f>
        <v>118.5</v>
      </c>
      <c r="J19" s="9">
        <f>IF((J$1*1)&lt;=MAX('DB Costi-Ore YtD'!$A:$A),SUMIFS('DB Costi-Ore YtD'!$F:$F,'DB Costi-Ore YtD'!$A:$A,J$1,'DB Costi-Ore YtD'!$B:$B,$A19,'DB Costi-Ore YtD'!$E:$E,$C19)-SUM($D19:I19),0)</f>
        <v>0</v>
      </c>
      <c r="K19" s="9">
        <f>IF((K$1*1)&lt;=MAX('DB Costi-Ore YtD'!$A:$A),SUMIFS('DB Costi-Ore YtD'!$F:$F,'DB Costi-Ore YtD'!$A:$A,K$1,'DB Costi-Ore YtD'!$B:$B,$A19,'DB Costi-Ore YtD'!$E:$E,$C19)-SUM($D19:J19),0)</f>
        <v>0</v>
      </c>
      <c r="L19" s="9">
        <f>IF((L$1*1)&lt;=MAX('DB Costi-Ore YtD'!$A:$A),SUMIFS('DB Costi-Ore YtD'!$F:$F,'DB Costi-Ore YtD'!$A:$A,L$1,'DB Costi-Ore YtD'!$B:$B,$A19,'DB Costi-Ore YtD'!$E:$E,$C19)-SUM($D19:K19),0)</f>
        <v>0</v>
      </c>
      <c r="M19" s="9">
        <f>IF((M$1*1)&lt;=MAX('DB Costi-Ore YtD'!$A:$A),SUMIFS('DB Costi-Ore YtD'!$F:$F,'DB Costi-Ore YtD'!$A:$A,M$1,'DB Costi-Ore YtD'!$B:$B,$A19,'DB Costi-Ore YtD'!$E:$E,$C19)-SUM($D19:L19),0)</f>
        <v>0</v>
      </c>
      <c r="N19" s="9">
        <f>IF((N$1*1)&lt;=MAX('DB Costi-Ore YtD'!$A:$A),SUMIFS('DB Costi-Ore YtD'!$F:$F,'DB Costi-Ore YtD'!$A:$A,N$1,'DB Costi-Ore YtD'!$B:$B,$A19,'DB Costi-Ore YtD'!$E:$E,$C19)-SUM($D19:M19),0)</f>
        <v>0</v>
      </c>
      <c r="O19" s="9">
        <f>IF((O$1*1)&lt;=MAX('DB Costi-Ore YtD'!$A:$A),SUMIFS('DB Costi-Ore YtD'!$F:$F,'DB Costi-Ore YtD'!$A:$A,O$1,'DB Costi-Ore YtD'!$B:$B,$A19,'DB Costi-Ore YtD'!$E:$E,$C19)-SUM($D19:N19),0)</f>
        <v>0</v>
      </c>
    </row>
    <row r="20" spans="1:15" x14ac:dyDescent="0.3">
      <c r="A20" s="9" t="s">
        <v>65</v>
      </c>
      <c r="B20" s="9" t="s">
        <v>66</v>
      </c>
      <c r="C20" s="9" t="s">
        <v>2</v>
      </c>
      <c r="D20" s="9">
        <f>IF((D$1*1)&lt;=MAX('DB Costi-Ore YtD'!$A:$A),SUMIFS('DB Costi-Ore YtD'!$F:$F,'DB Costi-Ore YtD'!$A:$A,D$1,'DB Costi-Ore YtD'!$B:$B,$A20,'DB Costi-Ore YtD'!$E:$E,$C20),0)</f>
        <v>144.75</v>
      </c>
      <c r="E20" s="9">
        <f>IF((E$1*1)&lt;=MAX('DB Costi-Ore YtD'!$A:$A),SUMIFS('DB Costi-Ore YtD'!$F:$F,'DB Costi-Ore YtD'!$A:$A,E$1,'DB Costi-Ore YtD'!$B:$B,$A20,'DB Costi-Ore YtD'!$E:$E,$C20)-SUM($D20:D20),0)</f>
        <v>150</v>
      </c>
      <c r="F20" s="9">
        <f>IF((F$1*1)&lt;=MAX('DB Costi-Ore YtD'!$A:$A),SUMIFS('DB Costi-Ore YtD'!$F:$F,'DB Costi-Ore YtD'!$A:$A,F$1,'DB Costi-Ore YtD'!$B:$B,$A20,'DB Costi-Ore YtD'!$E:$E,$C20)-SUM($D20:E20),0)</f>
        <v>147.75</v>
      </c>
      <c r="G20" s="9">
        <f>IF((G$1*1)&lt;=MAX('DB Costi-Ore YtD'!$A:$A),SUMIFS('DB Costi-Ore YtD'!$F:$F,'DB Costi-Ore YtD'!$A:$A,G$1,'DB Costi-Ore YtD'!$B:$B,$A20,'DB Costi-Ore YtD'!$E:$E,$C20)-SUM($D20:F20),0)</f>
        <v>133.75</v>
      </c>
      <c r="H20" s="9">
        <f>IF((H$1*1)&lt;=MAX('DB Costi-Ore YtD'!$A:$A),SUMIFS('DB Costi-Ore YtD'!$F:$F,'DB Costi-Ore YtD'!$A:$A,H$1,'DB Costi-Ore YtD'!$B:$B,$A20,'DB Costi-Ore YtD'!$E:$E,$C20)-SUM($D20:G20),0)</f>
        <v>142.5</v>
      </c>
      <c r="I20" s="9">
        <f>IF((I$1*1)&lt;=MAX('DB Costi-Ore YtD'!$A:$A),SUMIFS('DB Costi-Ore YtD'!$F:$F,'DB Costi-Ore YtD'!$A:$A,I$1,'DB Costi-Ore YtD'!$B:$B,$A20,'DB Costi-Ore YtD'!$E:$E,$C20)-SUM($D20:H20),0)</f>
        <v>145.5</v>
      </c>
      <c r="J20" s="9">
        <f>IF((J$1*1)&lt;=MAX('DB Costi-Ore YtD'!$A:$A),SUMIFS('DB Costi-Ore YtD'!$F:$F,'DB Costi-Ore YtD'!$A:$A,J$1,'DB Costi-Ore YtD'!$B:$B,$A20,'DB Costi-Ore YtD'!$E:$E,$C20)-SUM($D20:I20),0)</f>
        <v>0</v>
      </c>
      <c r="K20" s="9">
        <f>IF((K$1*1)&lt;=MAX('DB Costi-Ore YtD'!$A:$A),SUMIFS('DB Costi-Ore YtD'!$F:$F,'DB Costi-Ore YtD'!$A:$A,K$1,'DB Costi-Ore YtD'!$B:$B,$A20,'DB Costi-Ore YtD'!$E:$E,$C20)-SUM($D20:J20),0)</f>
        <v>0</v>
      </c>
      <c r="L20" s="9">
        <f>IF((L$1*1)&lt;=MAX('DB Costi-Ore YtD'!$A:$A),SUMIFS('DB Costi-Ore YtD'!$F:$F,'DB Costi-Ore YtD'!$A:$A,L$1,'DB Costi-Ore YtD'!$B:$B,$A20,'DB Costi-Ore YtD'!$E:$E,$C20)-SUM($D20:K20),0)</f>
        <v>0</v>
      </c>
      <c r="M20" s="9">
        <f>IF((M$1*1)&lt;=MAX('DB Costi-Ore YtD'!$A:$A),SUMIFS('DB Costi-Ore YtD'!$F:$F,'DB Costi-Ore YtD'!$A:$A,M$1,'DB Costi-Ore YtD'!$B:$B,$A20,'DB Costi-Ore YtD'!$E:$E,$C20)-SUM($D20:L20),0)</f>
        <v>0</v>
      </c>
      <c r="N20" s="9">
        <f>IF((N$1*1)&lt;=MAX('DB Costi-Ore YtD'!$A:$A),SUMIFS('DB Costi-Ore YtD'!$F:$F,'DB Costi-Ore YtD'!$A:$A,N$1,'DB Costi-Ore YtD'!$B:$B,$A20,'DB Costi-Ore YtD'!$E:$E,$C20)-SUM($D20:M20),0)</f>
        <v>0</v>
      </c>
      <c r="O20" s="9">
        <f>IF((O$1*1)&lt;=MAX('DB Costi-Ore YtD'!$A:$A),SUMIFS('DB Costi-Ore YtD'!$F:$F,'DB Costi-Ore YtD'!$A:$A,O$1,'DB Costi-Ore YtD'!$B:$B,$A20,'DB Costi-Ore YtD'!$E:$E,$C20)-SUM($D20:N20),0)</f>
        <v>0</v>
      </c>
    </row>
    <row r="21" spans="1:15" x14ac:dyDescent="0.3">
      <c r="A21" s="9" t="s">
        <v>67</v>
      </c>
      <c r="B21" s="9" t="s">
        <v>68</v>
      </c>
      <c r="C21" s="9" t="s">
        <v>2</v>
      </c>
      <c r="D21" s="9">
        <f>IF((D$1*1)&lt;=MAX('DB Costi-Ore YtD'!$A:$A),SUMIFS('DB Costi-Ore YtD'!$F:$F,'DB Costi-Ore YtD'!$A:$A,D$1,'DB Costi-Ore YtD'!$B:$B,$A21,'DB Costi-Ore YtD'!$E:$E,$C21),0)</f>
        <v>102.75</v>
      </c>
      <c r="E21" s="9">
        <f>IF((E$1*1)&lt;=MAX('DB Costi-Ore YtD'!$A:$A),SUMIFS('DB Costi-Ore YtD'!$F:$F,'DB Costi-Ore YtD'!$A:$A,E$1,'DB Costi-Ore YtD'!$B:$B,$A21,'DB Costi-Ore YtD'!$E:$E,$C21)-SUM($D21:D21),0)</f>
        <v>67.5</v>
      </c>
      <c r="F21" s="9">
        <f>IF((F$1*1)&lt;=MAX('DB Costi-Ore YtD'!$A:$A),SUMIFS('DB Costi-Ore YtD'!$F:$F,'DB Costi-Ore YtD'!$A:$A,F$1,'DB Costi-Ore YtD'!$B:$B,$A21,'DB Costi-Ore YtD'!$E:$E,$C21)-SUM($D21:E21),0)</f>
        <v>38</v>
      </c>
      <c r="G21" s="9">
        <f>IF((G$1*1)&lt;=MAX('DB Costi-Ore YtD'!$A:$A),SUMIFS('DB Costi-Ore YtD'!$F:$F,'DB Costi-Ore YtD'!$A:$A,G$1,'DB Costi-Ore YtD'!$B:$B,$A21,'DB Costi-Ore YtD'!$E:$E,$C21)-SUM($D21:F21),0)</f>
        <v>0</v>
      </c>
      <c r="H21" s="9">
        <f>IF((H$1*1)&lt;=MAX('DB Costi-Ore YtD'!$A:$A),SUMIFS('DB Costi-Ore YtD'!$F:$F,'DB Costi-Ore YtD'!$A:$A,H$1,'DB Costi-Ore YtD'!$B:$B,$A21,'DB Costi-Ore YtD'!$E:$E,$C21)-SUM($D21:G21),0)</f>
        <v>0</v>
      </c>
      <c r="I21" s="9">
        <f>IF((I$1*1)&lt;=MAX('DB Costi-Ore YtD'!$A:$A),SUMIFS('DB Costi-Ore YtD'!$F:$F,'DB Costi-Ore YtD'!$A:$A,I$1,'DB Costi-Ore YtD'!$B:$B,$A21,'DB Costi-Ore YtD'!$E:$E,$C21)-SUM($D21:H21),0)</f>
        <v>0</v>
      </c>
      <c r="J21" s="9">
        <f>IF((J$1*1)&lt;=MAX('DB Costi-Ore YtD'!$A:$A),SUMIFS('DB Costi-Ore YtD'!$F:$F,'DB Costi-Ore YtD'!$A:$A,J$1,'DB Costi-Ore YtD'!$B:$B,$A21,'DB Costi-Ore YtD'!$E:$E,$C21)-SUM($D21:I21),0)</f>
        <v>0</v>
      </c>
      <c r="K21" s="9">
        <f>IF((K$1*1)&lt;=MAX('DB Costi-Ore YtD'!$A:$A),SUMIFS('DB Costi-Ore YtD'!$F:$F,'DB Costi-Ore YtD'!$A:$A,K$1,'DB Costi-Ore YtD'!$B:$B,$A21,'DB Costi-Ore YtD'!$E:$E,$C21)-SUM($D21:J21),0)</f>
        <v>0</v>
      </c>
      <c r="L21" s="9">
        <f>IF((L$1*1)&lt;=MAX('DB Costi-Ore YtD'!$A:$A),SUMIFS('DB Costi-Ore YtD'!$F:$F,'DB Costi-Ore YtD'!$A:$A,L$1,'DB Costi-Ore YtD'!$B:$B,$A21,'DB Costi-Ore YtD'!$E:$E,$C21)-SUM($D21:K21),0)</f>
        <v>0</v>
      </c>
      <c r="M21" s="9">
        <f>IF((M$1*1)&lt;=MAX('DB Costi-Ore YtD'!$A:$A),SUMIFS('DB Costi-Ore YtD'!$F:$F,'DB Costi-Ore YtD'!$A:$A,M$1,'DB Costi-Ore YtD'!$B:$B,$A21,'DB Costi-Ore YtD'!$E:$E,$C21)-SUM($D21:L21),0)</f>
        <v>0</v>
      </c>
      <c r="N21" s="9">
        <f>IF((N$1*1)&lt;=MAX('DB Costi-Ore YtD'!$A:$A),SUMIFS('DB Costi-Ore YtD'!$F:$F,'DB Costi-Ore YtD'!$A:$A,N$1,'DB Costi-Ore YtD'!$B:$B,$A21,'DB Costi-Ore YtD'!$E:$E,$C21)-SUM($D21:M21),0)</f>
        <v>0</v>
      </c>
      <c r="O21" s="9">
        <f>IF((O$1*1)&lt;=MAX('DB Costi-Ore YtD'!$A:$A),SUMIFS('DB Costi-Ore YtD'!$F:$F,'DB Costi-Ore YtD'!$A:$A,O$1,'DB Costi-Ore YtD'!$B:$B,$A21,'DB Costi-Ore YtD'!$E:$E,$C21)-SUM($D21:N21),0)</f>
        <v>0</v>
      </c>
    </row>
    <row r="22" spans="1:15" x14ac:dyDescent="0.3">
      <c r="A22" s="9" t="s">
        <v>69</v>
      </c>
      <c r="B22" s="9" t="s">
        <v>70</v>
      </c>
      <c r="C22" s="9" t="s">
        <v>2</v>
      </c>
      <c r="D22" s="9">
        <f>IF((D$1*1)&lt;=MAX('DB Costi-Ore YtD'!$A:$A),SUMIFS('DB Costi-Ore YtD'!$F:$F,'DB Costi-Ore YtD'!$A:$A,D$1,'DB Costi-Ore YtD'!$B:$B,$A22,'DB Costi-Ore YtD'!$E:$E,$C22),0)</f>
        <v>154.75</v>
      </c>
      <c r="E22" s="9">
        <f>IF((E$1*1)&lt;=MAX('DB Costi-Ore YtD'!$A:$A),SUMIFS('DB Costi-Ore YtD'!$F:$F,'DB Costi-Ore YtD'!$A:$A,E$1,'DB Costi-Ore YtD'!$B:$B,$A22,'DB Costi-Ore YtD'!$E:$E,$C22)-SUM($D22:D22),0)</f>
        <v>148.5</v>
      </c>
      <c r="F22" s="9">
        <f>IF((F$1*1)&lt;=MAX('DB Costi-Ore YtD'!$A:$A),SUMIFS('DB Costi-Ore YtD'!$F:$F,'DB Costi-Ore YtD'!$A:$A,F$1,'DB Costi-Ore YtD'!$B:$B,$A22,'DB Costi-Ore YtD'!$E:$E,$C22)-SUM($D22:E22),0)</f>
        <v>138</v>
      </c>
      <c r="G22" s="9">
        <f>IF((G$1*1)&lt;=MAX('DB Costi-Ore YtD'!$A:$A),SUMIFS('DB Costi-Ore YtD'!$F:$F,'DB Costi-Ore YtD'!$A:$A,G$1,'DB Costi-Ore YtD'!$B:$B,$A22,'DB Costi-Ore YtD'!$E:$E,$C22)-SUM($D22:F22),0)</f>
        <v>155.5</v>
      </c>
      <c r="H22" s="9">
        <f>IF((H$1*1)&lt;=MAX('DB Costi-Ore YtD'!$A:$A),SUMIFS('DB Costi-Ore YtD'!$F:$F,'DB Costi-Ore YtD'!$A:$A,H$1,'DB Costi-Ore YtD'!$B:$B,$A22,'DB Costi-Ore YtD'!$E:$E,$C22)-SUM($D22:G22),0)</f>
        <v>155.5</v>
      </c>
      <c r="I22" s="9">
        <f>IF((I$1*1)&lt;=MAX('DB Costi-Ore YtD'!$A:$A),SUMIFS('DB Costi-Ore YtD'!$F:$F,'DB Costi-Ore YtD'!$A:$A,I$1,'DB Costi-Ore YtD'!$B:$B,$A22,'DB Costi-Ore YtD'!$E:$E,$C22)-SUM($D22:H22),0)</f>
        <v>117.25</v>
      </c>
      <c r="J22" s="9">
        <f>IF((J$1*1)&lt;=MAX('DB Costi-Ore YtD'!$A:$A),SUMIFS('DB Costi-Ore YtD'!$F:$F,'DB Costi-Ore YtD'!$A:$A,J$1,'DB Costi-Ore YtD'!$B:$B,$A22,'DB Costi-Ore YtD'!$E:$E,$C22)-SUM($D22:I22),0)</f>
        <v>0</v>
      </c>
      <c r="K22" s="9">
        <f>IF((K$1*1)&lt;=MAX('DB Costi-Ore YtD'!$A:$A),SUMIFS('DB Costi-Ore YtD'!$F:$F,'DB Costi-Ore YtD'!$A:$A,K$1,'DB Costi-Ore YtD'!$B:$B,$A22,'DB Costi-Ore YtD'!$E:$E,$C22)-SUM($D22:J22),0)</f>
        <v>0</v>
      </c>
      <c r="L22" s="9">
        <f>IF((L$1*1)&lt;=MAX('DB Costi-Ore YtD'!$A:$A),SUMIFS('DB Costi-Ore YtD'!$F:$F,'DB Costi-Ore YtD'!$A:$A,L$1,'DB Costi-Ore YtD'!$B:$B,$A22,'DB Costi-Ore YtD'!$E:$E,$C22)-SUM($D22:K22),0)</f>
        <v>0</v>
      </c>
      <c r="M22" s="9">
        <f>IF((M$1*1)&lt;=MAX('DB Costi-Ore YtD'!$A:$A),SUMIFS('DB Costi-Ore YtD'!$F:$F,'DB Costi-Ore YtD'!$A:$A,M$1,'DB Costi-Ore YtD'!$B:$B,$A22,'DB Costi-Ore YtD'!$E:$E,$C22)-SUM($D22:L22),0)</f>
        <v>0</v>
      </c>
      <c r="N22" s="9">
        <f>IF((N$1*1)&lt;=MAX('DB Costi-Ore YtD'!$A:$A),SUMIFS('DB Costi-Ore YtD'!$F:$F,'DB Costi-Ore YtD'!$A:$A,N$1,'DB Costi-Ore YtD'!$B:$B,$A22,'DB Costi-Ore YtD'!$E:$E,$C22)-SUM($D22:M22),0)</f>
        <v>0</v>
      </c>
      <c r="O22" s="9">
        <f>IF((O$1*1)&lt;=MAX('DB Costi-Ore YtD'!$A:$A),SUMIFS('DB Costi-Ore YtD'!$F:$F,'DB Costi-Ore YtD'!$A:$A,O$1,'DB Costi-Ore YtD'!$B:$B,$A22,'DB Costi-Ore YtD'!$E:$E,$C22)-SUM($D22:N22),0)</f>
        <v>0</v>
      </c>
    </row>
    <row r="23" spans="1:15" x14ac:dyDescent="0.3">
      <c r="A23" s="9" t="s">
        <v>71</v>
      </c>
      <c r="B23" s="9" t="s">
        <v>72</v>
      </c>
      <c r="C23" s="9" t="s">
        <v>2</v>
      </c>
      <c r="D23" s="9">
        <f>IF((D$1*1)&lt;=MAX('DB Costi-Ore YtD'!$A:$A),SUMIFS('DB Costi-Ore YtD'!$F:$F,'DB Costi-Ore YtD'!$A:$A,D$1,'DB Costi-Ore YtD'!$B:$B,$A23,'DB Costi-Ore YtD'!$E:$E,$C23),0)</f>
        <v>0</v>
      </c>
      <c r="E23" s="9">
        <f>IF((E$1*1)&lt;=MAX('DB Costi-Ore YtD'!$A:$A),SUMIFS('DB Costi-Ore YtD'!$F:$F,'DB Costi-Ore YtD'!$A:$A,E$1,'DB Costi-Ore YtD'!$B:$B,$A23,'DB Costi-Ore YtD'!$E:$E,$C23)-SUM($D23:D23),0)</f>
        <v>0</v>
      </c>
      <c r="F23" s="9">
        <f>IF((F$1*1)&lt;=MAX('DB Costi-Ore YtD'!$A:$A),SUMIFS('DB Costi-Ore YtD'!$F:$F,'DB Costi-Ore YtD'!$A:$A,F$1,'DB Costi-Ore YtD'!$B:$B,$A23,'DB Costi-Ore YtD'!$E:$E,$C23)-SUM($D23:E23),0)</f>
        <v>0</v>
      </c>
      <c r="G23" s="9">
        <f>IF((G$1*1)&lt;=MAX('DB Costi-Ore YtD'!$A:$A),SUMIFS('DB Costi-Ore YtD'!$F:$F,'DB Costi-Ore YtD'!$A:$A,G$1,'DB Costi-Ore YtD'!$B:$B,$A23,'DB Costi-Ore YtD'!$E:$E,$C23)-SUM($D23:F23),0)</f>
        <v>0</v>
      </c>
      <c r="H23" s="9">
        <f>IF((H$1*1)&lt;=MAX('DB Costi-Ore YtD'!$A:$A),SUMIFS('DB Costi-Ore YtD'!$F:$F,'DB Costi-Ore YtD'!$A:$A,H$1,'DB Costi-Ore YtD'!$B:$B,$A23,'DB Costi-Ore YtD'!$E:$E,$C23)-SUM($D23:G23),0)</f>
        <v>137</v>
      </c>
      <c r="I23" s="9">
        <f>IF((I$1*1)&lt;=MAX('DB Costi-Ore YtD'!$A:$A),SUMIFS('DB Costi-Ore YtD'!$F:$F,'DB Costi-Ore YtD'!$A:$A,I$1,'DB Costi-Ore YtD'!$B:$B,$A23,'DB Costi-Ore YtD'!$E:$E,$C23)-SUM($D23:H23),0)</f>
        <v>144.5</v>
      </c>
      <c r="J23" s="9">
        <f>IF((J$1*1)&lt;=MAX('DB Costi-Ore YtD'!$A:$A),SUMIFS('DB Costi-Ore YtD'!$F:$F,'DB Costi-Ore YtD'!$A:$A,J$1,'DB Costi-Ore YtD'!$B:$B,$A23,'DB Costi-Ore YtD'!$E:$E,$C23)-SUM($D23:I23),0)</f>
        <v>0</v>
      </c>
      <c r="K23" s="9">
        <f>IF((K$1*1)&lt;=MAX('DB Costi-Ore YtD'!$A:$A),SUMIFS('DB Costi-Ore YtD'!$F:$F,'DB Costi-Ore YtD'!$A:$A,K$1,'DB Costi-Ore YtD'!$B:$B,$A23,'DB Costi-Ore YtD'!$E:$E,$C23)-SUM($D23:J23),0)</f>
        <v>0</v>
      </c>
      <c r="L23" s="9">
        <f>IF((L$1*1)&lt;=MAX('DB Costi-Ore YtD'!$A:$A),SUMIFS('DB Costi-Ore YtD'!$F:$F,'DB Costi-Ore YtD'!$A:$A,L$1,'DB Costi-Ore YtD'!$B:$B,$A23,'DB Costi-Ore YtD'!$E:$E,$C23)-SUM($D23:K23),0)</f>
        <v>0</v>
      </c>
      <c r="M23" s="9">
        <f>IF((M$1*1)&lt;=MAX('DB Costi-Ore YtD'!$A:$A),SUMIFS('DB Costi-Ore YtD'!$F:$F,'DB Costi-Ore YtD'!$A:$A,M$1,'DB Costi-Ore YtD'!$B:$B,$A23,'DB Costi-Ore YtD'!$E:$E,$C23)-SUM($D23:L23),0)</f>
        <v>0</v>
      </c>
      <c r="N23" s="9">
        <f>IF((N$1*1)&lt;=MAX('DB Costi-Ore YtD'!$A:$A),SUMIFS('DB Costi-Ore YtD'!$F:$F,'DB Costi-Ore YtD'!$A:$A,N$1,'DB Costi-Ore YtD'!$B:$B,$A23,'DB Costi-Ore YtD'!$E:$E,$C23)-SUM($D23:M23),0)</f>
        <v>0</v>
      </c>
      <c r="O23" s="9">
        <f>IF((O$1*1)&lt;=MAX('DB Costi-Ore YtD'!$A:$A),SUMIFS('DB Costi-Ore YtD'!$F:$F,'DB Costi-Ore YtD'!$A:$A,O$1,'DB Costi-Ore YtD'!$B:$B,$A23,'DB Costi-Ore YtD'!$E:$E,$C23)-SUM($D23:N23),0)</f>
        <v>0</v>
      </c>
    </row>
    <row r="24" spans="1:15" x14ac:dyDescent="0.3">
      <c r="A24" s="9" t="s">
        <v>73</v>
      </c>
      <c r="B24" s="9" t="s">
        <v>74</v>
      </c>
      <c r="C24" s="9" t="s">
        <v>2</v>
      </c>
      <c r="D24" s="9">
        <f>IF((D$1*1)&lt;=MAX('DB Costi-Ore YtD'!$A:$A),SUMIFS('DB Costi-Ore YtD'!$F:$F,'DB Costi-Ore YtD'!$A:$A,D$1,'DB Costi-Ore YtD'!$B:$B,$A24,'DB Costi-Ore YtD'!$E:$E,$C24),0)</f>
        <v>142.25</v>
      </c>
      <c r="E24" s="9">
        <f>IF((E$1*1)&lt;=MAX('DB Costi-Ore YtD'!$A:$A),SUMIFS('DB Costi-Ore YtD'!$F:$F,'DB Costi-Ore YtD'!$A:$A,E$1,'DB Costi-Ore YtD'!$B:$B,$A24,'DB Costi-Ore YtD'!$E:$E,$C24)-SUM($D24:D24),0)</f>
        <v>105</v>
      </c>
      <c r="F24" s="9">
        <f>IF((F$1*1)&lt;=MAX('DB Costi-Ore YtD'!$A:$A),SUMIFS('DB Costi-Ore YtD'!$F:$F,'DB Costi-Ore YtD'!$A:$A,F$1,'DB Costi-Ore YtD'!$B:$B,$A24,'DB Costi-Ore YtD'!$E:$E,$C24)-SUM($D24:E24),0)</f>
        <v>157</v>
      </c>
      <c r="G24" s="9">
        <f>IF((G$1*1)&lt;=MAX('DB Costi-Ore YtD'!$A:$A),SUMIFS('DB Costi-Ore YtD'!$F:$F,'DB Costi-Ore YtD'!$A:$A,G$1,'DB Costi-Ore YtD'!$B:$B,$A24,'DB Costi-Ore YtD'!$E:$E,$C24)-SUM($D24:F24),0)</f>
        <v>154.75</v>
      </c>
      <c r="H24" s="9">
        <f>IF((H$1*1)&lt;=MAX('DB Costi-Ore YtD'!$A:$A),SUMIFS('DB Costi-Ore YtD'!$F:$F,'DB Costi-Ore YtD'!$A:$A,H$1,'DB Costi-Ore YtD'!$B:$B,$A24,'DB Costi-Ore YtD'!$E:$E,$C24)-SUM($D24:G24),0)</f>
        <v>159.5</v>
      </c>
      <c r="I24" s="9">
        <f>IF((I$1*1)&lt;=MAX('DB Costi-Ore YtD'!$A:$A),SUMIFS('DB Costi-Ore YtD'!$F:$F,'DB Costi-Ore YtD'!$A:$A,I$1,'DB Costi-Ore YtD'!$B:$B,$A24,'DB Costi-Ore YtD'!$E:$E,$C24)-SUM($D24:H24),0)</f>
        <v>129</v>
      </c>
      <c r="J24" s="9">
        <f>IF((J$1*1)&lt;=MAX('DB Costi-Ore YtD'!$A:$A),SUMIFS('DB Costi-Ore YtD'!$F:$F,'DB Costi-Ore YtD'!$A:$A,J$1,'DB Costi-Ore YtD'!$B:$B,$A24,'DB Costi-Ore YtD'!$E:$E,$C24)-SUM($D24:I24),0)</f>
        <v>0</v>
      </c>
      <c r="K24" s="9">
        <f>IF((K$1*1)&lt;=MAX('DB Costi-Ore YtD'!$A:$A),SUMIFS('DB Costi-Ore YtD'!$F:$F,'DB Costi-Ore YtD'!$A:$A,K$1,'DB Costi-Ore YtD'!$B:$B,$A24,'DB Costi-Ore YtD'!$E:$E,$C24)-SUM($D24:J24),0)</f>
        <v>0</v>
      </c>
      <c r="L24" s="9">
        <f>IF((L$1*1)&lt;=MAX('DB Costi-Ore YtD'!$A:$A),SUMIFS('DB Costi-Ore YtD'!$F:$F,'DB Costi-Ore YtD'!$A:$A,L$1,'DB Costi-Ore YtD'!$B:$B,$A24,'DB Costi-Ore YtD'!$E:$E,$C24)-SUM($D24:K24),0)</f>
        <v>0</v>
      </c>
      <c r="M24" s="9">
        <f>IF((M$1*1)&lt;=MAX('DB Costi-Ore YtD'!$A:$A),SUMIFS('DB Costi-Ore YtD'!$F:$F,'DB Costi-Ore YtD'!$A:$A,M$1,'DB Costi-Ore YtD'!$B:$B,$A24,'DB Costi-Ore YtD'!$E:$E,$C24)-SUM($D24:L24),0)</f>
        <v>0</v>
      </c>
      <c r="N24" s="9">
        <f>IF((N$1*1)&lt;=MAX('DB Costi-Ore YtD'!$A:$A),SUMIFS('DB Costi-Ore YtD'!$F:$F,'DB Costi-Ore YtD'!$A:$A,N$1,'DB Costi-Ore YtD'!$B:$B,$A24,'DB Costi-Ore YtD'!$E:$E,$C24)-SUM($D24:M24),0)</f>
        <v>0</v>
      </c>
      <c r="O24" s="9">
        <f>IF((O$1*1)&lt;=MAX('DB Costi-Ore YtD'!$A:$A),SUMIFS('DB Costi-Ore YtD'!$F:$F,'DB Costi-Ore YtD'!$A:$A,O$1,'DB Costi-Ore YtD'!$B:$B,$A24,'DB Costi-Ore YtD'!$E:$E,$C24)-SUM($D24:N24),0)</f>
        <v>0</v>
      </c>
    </row>
    <row r="25" spans="1:15" x14ac:dyDescent="0.3">
      <c r="A25" s="9" t="s">
        <v>75</v>
      </c>
      <c r="B25" s="9" t="s">
        <v>76</v>
      </c>
      <c r="C25" s="9" t="s">
        <v>2</v>
      </c>
      <c r="D25" s="9">
        <f>IF((D$1*1)&lt;=MAX('DB Costi-Ore YtD'!$A:$A),SUMIFS('DB Costi-Ore YtD'!$F:$F,'DB Costi-Ore YtD'!$A:$A,D$1,'DB Costi-Ore YtD'!$B:$B,$A25,'DB Costi-Ore YtD'!$E:$E,$C25),0)</f>
        <v>52.5</v>
      </c>
      <c r="E25" s="9">
        <f>IF((E$1*1)&lt;=MAX('DB Costi-Ore YtD'!$A:$A),SUMIFS('DB Costi-Ore YtD'!$F:$F,'DB Costi-Ore YtD'!$A:$A,E$1,'DB Costi-Ore YtD'!$B:$B,$A25,'DB Costi-Ore YtD'!$E:$E,$C25)-SUM($D25:D25),0)</f>
        <v>64.5</v>
      </c>
      <c r="F25" s="9">
        <f>IF((F$1*1)&lt;=MAX('DB Costi-Ore YtD'!$A:$A),SUMIFS('DB Costi-Ore YtD'!$F:$F,'DB Costi-Ore YtD'!$A:$A,F$1,'DB Costi-Ore YtD'!$B:$B,$A25,'DB Costi-Ore YtD'!$E:$E,$C25)-SUM($D25:E25),0)</f>
        <v>68.5</v>
      </c>
      <c r="G25" s="9">
        <f>IF((G$1*1)&lt;=MAX('DB Costi-Ore YtD'!$A:$A),SUMIFS('DB Costi-Ore YtD'!$F:$F,'DB Costi-Ore YtD'!$A:$A,G$1,'DB Costi-Ore YtD'!$B:$B,$A25,'DB Costi-Ore YtD'!$E:$E,$C25)-SUM($D25:F25),0)</f>
        <v>52.5</v>
      </c>
      <c r="H25" s="9">
        <f>IF((H$1*1)&lt;=MAX('DB Costi-Ore YtD'!$A:$A),SUMIFS('DB Costi-Ore YtD'!$F:$F,'DB Costi-Ore YtD'!$A:$A,H$1,'DB Costi-Ore YtD'!$B:$B,$A25,'DB Costi-Ore YtD'!$E:$E,$C25)-SUM($D25:G25),0)</f>
        <v>63</v>
      </c>
      <c r="I25" s="9">
        <f>IF((I$1*1)&lt;=MAX('DB Costi-Ore YtD'!$A:$A),SUMIFS('DB Costi-Ore YtD'!$F:$F,'DB Costi-Ore YtD'!$A:$A,I$1,'DB Costi-Ore YtD'!$B:$B,$A25,'DB Costi-Ore YtD'!$E:$E,$C25)-SUM($D25:H25),0)</f>
        <v>66.5</v>
      </c>
      <c r="J25" s="9">
        <f>IF((J$1*1)&lt;=MAX('DB Costi-Ore YtD'!$A:$A),SUMIFS('DB Costi-Ore YtD'!$F:$F,'DB Costi-Ore YtD'!$A:$A,J$1,'DB Costi-Ore YtD'!$B:$B,$A25,'DB Costi-Ore YtD'!$E:$E,$C25)-SUM($D25:I25),0)</f>
        <v>0</v>
      </c>
      <c r="K25" s="9">
        <f>IF((K$1*1)&lt;=MAX('DB Costi-Ore YtD'!$A:$A),SUMIFS('DB Costi-Ore YtD'!$F:$F,'DB Costi-Ore YtD'!$A:$A,K$1,'DB Costi-Ore YtD'!$B:$B,$A25,'DB Costi-Ore YtD'!$E:$E,$C25)-SUM($D25:J25),0)</f>
        <v>0</v>
      </c>
      <c r="L25" s="9">
        <f>IF((L$1*1)&lt;=MAX('DB Costi-Ore YtD'!$A:$A),SUMIFS('DB Costi-Ore YtD'!$F:$F,'DB Costi-Ore YtD'!$A:$A,L$1,'DB Costi-Ore YtD'!$B:$B,$A25,'DB Costi-Ore YtD'!$E:$E,$C25)-SUM($D25:K25),0)</f>
        <v>0</v>
      </c>
      <c r="M25" s="9">
        <f>IF((M$1*1)&lt;=MAX('DB Costi-Ore YtD'!$A:$A),SUMIFS('DB Costi-Ore YtD'!$F:$F,'DB Costi-Ore YtD'!$A:$A,M$1,'DB Costi-Ore YtD'!$B:$B,$A25,'DB Costi-Ore YtD'!$E:$E,$C25)-SUM($D25:L25),0)</f>
        <v>0</v>
      </c>
      <c r="N25" s="9">
        <f>IF((N$1*1)&lt;=MAX('DB Costi-Ore YtD'!$A:$A),SUMIFS('DB Costi-Ore YtD'!$F:$F,'DB Costi-Ore YtD'!$A:$A,N$1,'DB Costi-Ore YtD'!$B:$B,$A25,'DB Costi-Ore YtD'!$E:$E,$C25)-SUM($D25:M25),0)</f>
        <v>0</v>
      </c>
      <c r="O25" s="9">
        <f>IF((O$1*1)&lt;=MAX('DB Costi-Ore YtD'!$A:$A),SUMIFS('DB Costi-Ore YtD'!$F:$F,'DB Costi-Ore YtD'!$A:$A,O$1,'DB Costi-Ore YtD'!$B:$B,$A25,'DB Costi-Ore YtD'!$E:$E,$C25)-SUM($D25:N25),0)</f>
        <v>0</v>
      </c>
    </row>
    <row r="26" spans="1:15" x14ac:dyDescent="0.3">
      <c r="A26" s="9" t="s">
        <v>77</v>
      </c>
      <c r="B26" s="9" t="s">
        <v>78</v>
      </c>
      <c r="C26" s="9" t="s">
        <v>15</v>
      </c>
      <c r="D26" s="9">
        <f>IF((D$1*1)&lt;=MAX('DB Costi-Ore YtD'!$A:$A),SUMIFS('DB Costi-Ore YtD'!$F:$F,'DB Costi-Ore YtD'!$A:$A,D$1,'DB Costi-Ore YtD'!$B:$B,$A26,'DB Costi-Ore YtD'!$E:$E,$C26),0)</f>
        <v>108.75</v>
      </c>
      <c r="E26" s="9">
        <f>IF((E$1*1)&lt;=MAX('DB Costi-Ore YtD'!$A:$A),SUMIFS('DB Costi-Ore YtD'!$F:$F,'DB Costi-Ore YtD'!$A:$A,E$1,'DB Costi-Ore YtD'!$B:$B,$A26,'DB Costi-Ore YtD'!$E:$E,$C26)-SUM($D26:D26),0)</f>
        <v>105.25</v>
      </c>
      <c r="F26" s="9">
        <f>IF((F$1*1)&lt;=MAX('DB Costi-Ore YtD'!$A:$A),SUMIFS('DB Costi-Ore YtD'!$F:$F,'DB Costi-Ore YtD'!$A:$A,F$1,'DB Costi-Ore YtD'!$B:$B,$A26,'DB Costi-Ore YtD'!$E:$E,$C26)-SUM($D26:E26),0)</f>
        <v>145.5</v>
      </c>
      <c r="G26" s="9">
        <f>IF((G$1*1)&lt;=MAX('DB Costi-Ore YtD'!$A:$A),SUMIFS('DB Costi-Ore YtD'!$F:$F,'DB Costi-Ore YtD'!$A:$A,G$1,'DB Costi-Ore YtD'!$B:$B,$A26,'DB Costi-Ore YtD'!$E:$E,$C26)-SUM($D26:F26),0)</f>
        <v>144</v>
      </c>
      <c r="H26" s="9">
        <f>IF((H$1*1)&lt;=MAX('DB Costi-Ore YtD'!$A:$A),SUMIFS('DB Costi-Ore YtD'!$F:$F,'DB Costi-Ore YtD'!$A:$A,H$1,'DB Costi-Ore YtD'!$B:$B,$A26,'DB Costi-Ore YtD'!$E:$E,$C26)-SUM($D26:G26),0)</f>
        <v>129.25</v>
      </c>
      <c r="I26" s="9">
        <f>IF((I$1*1)&lt;=MAX('DB Costi-Ore YtD'!$A:$A),SUMIFS('DB Costi-Ore YtD'!$F:$F,'DB Costi-Ore YtD'!$A:$A,I$1,'DB Costi-Ore YtD'!$B:$B,$A26,'DB Costi-Ore YtD'!$E:$E,$C26)-SUM($D26:H26),0)</f>
        <v>113.5</v>
      </c>
      <c r="J26" s="9">
        <f>IF((J$1*1)&lt;=MAX('DB Costi-Ore YtD'!$A:$A),SUMIFS('DB Costi-Ore YtD'!$F:$F,'DB Costi-Ore YtD'!$A:$A,J$1,'DB Costi-Ore YtD'!$B:$B,$A26,'DB Costi-Ore YtD'!$E:$E,$C26)-SUM($D26:I26),0)</f>
        <v>0</v>
      </c>
      <c r="K26" s="9">
        <f>IF((K$1*1)&lt;=MAX('DB Costi-Ore YtD'!$A:$A),SUMIFS('DB Costi-Ore YtD'!$F:$F,'DB Costi-Ore YtD'!$A:$A,K$1,'DB Costi-Ore YtD'!$B:$B,$A26,'DB Costi-Ore YtD'!$E:$E,$C26)-SUM($D26:J26),0)</f>
        <v>0</v>
      </c>
      <c r="L26" s="9">
        <f>IF((L$1*1)&lt;=MAX('DB Costi-Ore YtD'!$A:$A),SUMIFS('DB Costi-Ore YtD'!$F:$F,'DB Costi-Ore YtD'!$A:$A,L$1,'DB Costi-Ore YtD'!$B:$B,$A26,'DB Costi-Ore YtD'!$E:$E,$C26)-SUM($D26:K26),0)</f>
        <v>0</v>
      </c>
      <c r="M26" s="9">
        <f>IF((M$1*1)&lt;=MAX('DB Costi-Ore YtD'!$A:$A),SUMIFS('DB Costi-Ore YtD'!$F:$F,'DB Costi-Ore YtD'!$A:$A,M$1,'DB Costi-Ore YtD'!$B:$B,$A26,'DB Costi-Ore YtD'!$E:$E,$C26)-SUM($D26:L26),0)</f>
        <v>0</v>
      </c>
      <c r="N26" s="9">
        <f>IF((N$1*1)&lt;=MAX('DB Costi-Ore YtD'!$A:$A),SUMIFS('DB Costi-Ore YtD'!$F:$F,'DB Costi-Ore YtD'!$A:$A,N$1,'DB Costi-Ore YtD'!$B:$B,$A26,'DB Costi-Ore YtD'!$E:$E,$C26)-SUM($D26:M26),0)</f>
        <v>0</v>
      </c>
      <c r="O26" s="9">
        <f>IF((O$1*1)&lt;=MAX('DB Costi-Ore YtD'!$A:$A),SUMIFS('DB Costi-Ore YtD'!$F:$F,'DB Costi-Ore YtD'!$A:$A,O$1,'DB Costi-Ore YtD'!$B:$B,$A26,'DB Costi-Ore YtD'!$E:$E,$C26)-SUM($D26:N26),0)</f>
        <v>0</v>
      </c>
    </row>
    <row r="27" spans="1:15" x14ac:dyDescent="0.3">
      <c r="A27" s="9" t="s">
        <v>79</v>
      </c>
      <c r="B27" s="9" t="s">
        <v>80</v>
      </c>
      <c r="C27" s="9" t="s">
        <v>2</v>
      </c>
      <c r="D27" s="9">
        <f>IF((D$1*1)&lt;=MAX('DB Costi-Ore YtD'!$A:$A),SUMIFS('DB Costi-Ore YtD'!$F:$F,'DB Costi-Ore YtD'!$A:$A,D$1,'DB Costi-Ore YtD'!$B:$B,$A27,'DB Costi-Ore YtD'!$E:$E,$C27),0)</f>
        <v>142.75</v>
      </c>
      <c r="E27" s="9">
        <f>IF((E$1*1)&lt;=MAX('DB Costi-Ore YtD'!$A:$A),SUMIFS('DB Costi-Ore YtD'!$F:$F,'DB Costi-Ore YtD'!$A:$A,E$1,'DB Costi-Ore YtD'!$B:$B,$A27,'DB Costi-Ore YtD'!$E:$E,$C27)-SUM($D27:D27),0)</f>
        <v>114</v>
      </c>
      <c r="F27" s="9">
        <f>IF((F$1*1)&lt;=MAX('DB Costi-Ore YtD'!$A:$A),SUMIFS('DB Costi-Ore YtD'!$F:$F,'DB Costi-Ore YtD'!$A:$A,F$1,'DB Costi-Ore YtD'!$B:$B,$A27,'DB Costi-Ore YtD'!$E:$E,$C27)-SUM($D27:E27),0)</f>
        <v>30.5</v>
      </c>
      <c r="G27" s="9">
        <f>IF((G$1*1)&lt;=MAX('DB Costi-Ore YtD'!$A:$A),SUMIFS('DB Costi-Ore YtD'!$F:$F,'DB Costi-Ore YtD'!$A:$A,G$1,'DB Costi-Ore YtD'!$B:$B,$A27,'DB Costi-Ore YtD'!$E:$E,$C27)-SUM($D27:F27),0)</f>
        <v>0</v>
      </c>
      <c r="H27" s="9">
        <f>IF((H$1*1)&lt;=MAX('DB Costi-Ore YtD'!$A:$A),SUMIFS('DB Costi-Ore YtD'!$F:$F,'DB Costi-Ore YtD'!$A:$A,H$1,'DB Costi-Ore YtD'!$B:$B,$A27,'DB Costi-Ore YtD'!$E:$E,$C27)-SUM($D27:G27),0)</f>
        <v>72.25</v>
      </c>
      <c r="I27" s="9">
        <f>IF((I$1*1)&lt;=MAX('DB Costi-Ore YtD'!$A:$A),SUMIFS('DB Costi-Ore YtD'!$F:$F,'DB Costi-Ore YtD'!$A:$A,I$1,'DB Costi-Ore YtD'!$B:$B,$A27,'DB Costi-Ore YtD'!$E:$E,$C27)-SUM($D27:H27),0)</f>
        <v>149.25</v>
      </c>
      <c r="J27" s="9">
        <f>IF((J$1*1)&lt;=MAX('DB Costi-Ore YtD'!$A:$A),SUMIFS('DB Costi-Ore YtD'!$F:$F,'DB Costi-Ore YtD'!$A:$A,J$1,'DB Costi-Ore YtD'!$B:$B,$A27,'DB Costi-Ore YtD'!$E:$E,$C27)-SUM($D27:I27),0)</f>
        <v>0</v>
      </c>
      <c r="K27" s="9">
        <f>IF((K$1*1)&lt;=MAX('DB Costi-Ore YtD'!$A:$A),SUMIFS('DB Costi-Ore YtD'!$F:$F,'DB Costi-Ore YtD'!$A:$A,K$1,'DB Costi-Ore YtD'!$B:$B,$A27,'DB Costi-Ore YtD'!$E:$E,$C27)-SUM($D27:J27),0)</f>
        <v>0</v>
      </c>
      <c r="L27" s="9">
        <f>IF((L$1*1)&lt;=MAX('DB Costi-Ore YtD'!$A:$A),SUMIFS('DB Costi-Ore YtD'!$F:$F,'DB Costi-Ore YtD'!$A:$A,L$1,'DB Costi-Ore YtD'!$B:$B,$A27,'DB Costi-Ore YtD'!$E:$E,$C27)-SUM($D27:K27),0)</f>
        <v>0</v>
      </c>
      <c r="M27" s="9">
        <f>IF((M$1*1)&lt;=MAX('DB Costi-Ore YtD'!$A:$A),SUMIFS('DB Costi-Ore YtD'!$F:$F,'DB Costi-Ore YtD'!$A:$A,M$1,'DB Costi-Ore YtD'!$B:$B,$A27,'DB Costi-Ore YtD'!$E:$E,$C27)-SUM($D27:L27),0)</f>
        <v>0</v>
      </c>
      <c r="N27" s="9">
        <f>IF((N$1*1)&lt;=MAX('DB Costi-Ore YtD'!$A:$A),SUMIFS('DB Costi-Ore YtD'!$F:$F,'DB Costi-Ore YtD'!$A:$A,N$1,'DB Costi-Ore YtD'!$B:$B,$A27,'DB Costi-Ore YtD'!$E:$E,$C27)-SUM($D27:M27),0)</f>
        <v>0</v>
      </c>
      <c r="O27" s="9">
        <f>IF((O$1*1)&lt;=MAX('DB Costi-Ore YtD'!$A:$A),SUMIFS('DB Costi-Ore YtD'!$F:$F,'DB Costi-Ore YtD'!$A:$A,O$1,'DB Costi-Ore YtD'!$B:$B,$A27,'DB Costi-Ore YtD'!$E:$E,$C27)-SUM($D27:N27),0)</f>
        <v>0</v>
      </c>
    </row>
    <row r="28" spans="1:15" x14ac:dyDescent="0.3">
      <c r="A28" s="9" t="s">
        <v>81</v>
      </c>
      <c r="B28" s="9" t="s">
        <v>82</v>
      </c>
      <c r="C28" s="9" t="s">
        <v>2</v>
      </c>
      <c r="D28" s="9">
        <f>IF((D$1*1)&lt;=MAX('DB Costi-Ore YtD'!$A:$A),SUMIFS('DB Costi-Ore YtD'!$F:$F,'DB Costi-Ore YtD'!$A:$A,D$1,'DB Costi-Ore YtD'!$B:$B,$A28,'DB Costi-Ore YtD'!$E:$E,$C28),0)</f>
        <v>136.5</v>
      </c>
      <c r="E28" s="9">
        <f>IF((E$1*1)&lt;=MAX('DB Costi-Ore YtD'!$A:$A),SUMIFS('DB Costi-Ore YtD'!$F:$F,'DB Costi-Ore YtD'!$A:$A,E$1,'DB Costi-Ore YtD'!$B:$B,$A28,'DB Costi-Ore YtD'!$E:$E,$C28)-SUM($D28:D28),0)</f>
        <v>126.25</v>
      </c>
      <c r="F28" s="9">
        <f>IF((F$1*1)&lt;=MAX('DB Costi-Ore YtD'!$A:$A),SUMIFS('DB Costi-Ore YtD'!$F:$F,'DB Costi-Ore YtD'!$A:$A,F$1,'DB Costi-Ore YtD'!$B:$B,$A28,'DB Costi-Ore YtD'!$E:$E,$C28)-SUM($D28:E28),0)</f>
        <v>90.5</v>
      </c>
      <c r="G28" s="9">
        <f>IF((G$1*1)&lt;=MAX('DB Costi-Ore YtD'!$A:$A),SUMIFS('DB Costi-Ore YtD'!$F:$F,'DB Costi-Ore YtD'!$A:$A,G$1,'DB Costi-Ore YtD'!$B:$B,$A28,'DB Costi-Ore YtD'!$E:$E,$C28)-SUM($D28:F28),0)</f>
        <v>149.5</v>
      </c>
      <c r="H28" s="9">
        <f>IF((H$1*1)&lt;=MAX('DB Costi-Ore YtD'!$A:$A),SUMIFS('DB Costi-Ore YtD'!$F:$F,'DB Costi-Ore YtD'!$A:$A,H$1,'DB Costi-Ore YtD'!$B:$B,$A28,'DB Costi-Ore YtD'!$E:$E,$C28)-SUM($D28:G28),0)</f>
        <v>138.75</v>
      </c>
      <c r="I28" s="9">
        <f>IF((I$1*1)&lt;=MAX('DB Costi-Ore YtD'!$A:$A),SUMIFS('DB Costi-Ore YtD'!$F:$F,'DB Costi-Ore YtD'!$A:$A,I$1,'DB Costi-Ore YtD'!$B:$B,$A28,'DB Costi-Ore YtD'!$E:$E,$C28)-SUM($D28:H28),0)</f>
        <v>153.25</v>
      </c>
      <c r="J28" s="9">
        <f>IF((J$1*1)&lt;=MAX('DB Costi-Ore YtD'!$A:$A),SUMIFS('DB Costi-Ore YtD'!$F:$F,'DB Costi-Ore YtD'!$A:$A,J$1,'DB Costi-Ore YtD'!$B:$B,$A28,'DB Costi-Ore YtD'!$E:$E,$C28)-SUM($D28:I28),0)</f>
        <v>0</v>
      </c>
      <c r="K28" s="9">
        <f>IF((K$1*1)&lt;=MAX('DB Costi-Ore YtD'!$A:$A),SUMIFS('DB Costi-Ore YtD'!$F:$F,'DB Costi-Ore YtD'!$A:$A,K$1,'DB Costi-Ore YtD'!$B:$B,$A28,'DB Costi-Ore YtD'!$E:$E,$C28)-SUM($D28:J28),0)</f>
        <v>0</v>
      </c>
      <c r="L28" s="9">
        <f>IF((L$1*1)&lt;=MAX('DB Costi-Ore YtD'!$A:$A),SUMIFS('DB Costi-Ore YtD'!$F:$F,'DB Costi-Ore YtD'!$A:$A,L$1,'DB Costi-Ore YtD'!$B:$B,$A28,'DB Costi-Ore YtD'!$E:$E,$C28)-SUM($D28:K28),0)</f>
        <v>0</v>
      </c>
      <c r="M28" s="9">
        <f>IF((M$1*1)&lt;=MAX('DB Costi-Ore YtD'!$A:$A),SUMIFS('DB Costi-Ore YtD'!$F:$F,'DB Costi-Ore YtD'!$A:$A,M$1,'DB Costi-Ore YtD'!$B:$B,$A28,'DB Costi-Ore YtD'!$E:$E,$C28)-SUM($D28:L28),0)</f>
        <v>0</v>
      </c>
      <c r="N28" s="9">
        <f>IF((N$1*1)&lt;=MAX('DB Costi-Ore YtD'!$A:$A),SUMIFS('DB Costi-Ore YtD'!$F:$F,'DB Costi-Ore YtD'!$A:$A,N$1,'DB Costi-Ore YtD'!$B:$B,$A28,'DB Costi-Ore YtD'!$E:$E,$C28)-SUM($D28:M28),0)</f>
        <v>0</v>
      </c>
      <c r="O28" s="9">
        <f>IF((O$1*1)&lt;=MAX('DB Costi-Ore YtD'!$A:$A),SUMIFS('DB Costi-Ore YtD'!$F:$F,'DB Costi-Ore YtD'!$A:$A,O$1,'DB Costi-Ore YtD'!$B:$B,$A28,'DB Costi-Ore YtD'!$E:$E,$C28)-SUM($D28:N28),0)</f>
        <v>0</v>
      </c>
    </row>
    <row r="29" spans="1:15" x14ac:dyDescent="0.3">
      <c r="A29" s="9" t="s">
        <v>83</v>
      </c>
      <c r="B29" s="9" t="s">
        <v>84</v>
      </c>
      <c r="C29" s="9" t="s">
        <v>12</v>
      </c>
      <c r="D29" s="9">
        <f>IF((D$1*1)&lt;=MAX('DB Costi-Ore YtD'!$A:$A),SUMIFS('DB Costi-Ore YtD'!$F:$F,'DB Costi-Ore YtD'!$A:$A,D$1,'DB Costi-Ore YtD'!$B:$B,$A29,'DB Costi-Ore YtD'!$E:$E,$C29),0)</f>
        <v>144</v>
      </c>
      <c r="E29" s="9">
        <f>IF((E$1*1)&lt;=MAX('DB Costi-Ore YtD'!$A:$A),SUMIFS('DB Costi-Ore YtD'!$F:$F,'DB Costi-Ore YtD'!$A:$A,E$1,'DB Costi-Ore YtD'!$B:$B,$A29,'DB Costi-Ore YtD'!$E:$E,$C29)-SUM($D29:D29),0)</f>
        <v>152</v>
      </c>
      <c r="F29" s="9">
        <f>IF((F$1*1)&lt;=MAX('DB Costi-Ore YtD'!$A:$A),SUMIFS('DB Costi-Ore YtD'!$F:$F,'DB Costi-Ore YtD'!$A:$A,F$1,'DB Costi-Ore YtD'!$B:$B,$A29,'DB Costi-Ore YtD'!$E:$E,$C29)-SUM($D29:E29),0)</f>
        <v>160</v>
      </c>
      <c r="G29" s="9">
        <f>IF((G$1*1)&lt;=MAX('DB Costi-Ore YtD'!$A:$A),SUMIFS('DB Costi-Ore YtD'!$F:$F,'DB Costi-Ore YtD'!$A:$A,G$1,'DB Costi-Ore YtD'!$B:$B,$A29,'DB Costi-Ore YtD'!$E:$E,$C29)-SUM($D29:F29),0)</f>
        <v>151.5</v>
      </c>
      <c r="H29" s="9">
        <f>IF((H$1*1)&lt;=MAX('DB Costi-Ore YtD'!$A:$A),SUMIFS('DB Costi-Ore YtD'!$F:$F,'DB Costi-Ore YtD'!$A:$A,H$1,'DB Costi-Ore YtD'!$B:$B,$A29,'DB Costi-Ore YtD'!$E:$E,$C29)-SUM($D29:G29),0)</f>
        <v>159.5</v>
      </c>
      <c r="I29" s="9">
        <f>IF((I$1*1)&lt;=MAX('DB Costi-Ore YtD'!$A:$A),SUMIFS('DB Costi-Ore YtD'!$F:$F,'DB Costi-Ore YtD'!$A:$A,I$1,'DB Costi-Ore YtD'!$B:$B,$A29,'DB Costi-Ore YtD'!$E:$E,$C29)-SUM($D29:H29),0)</f>
        <v>114</v>
      </c>
      <c r="J29" s="9">
        <f>IF((J$1*1)&lt;=MAX('DB Costi-Ore YtD'!$A:$A),SUMIFS('DB Costi-Ore YtD'!$F:$F,'DB Costi-Ore YtD'!$A:$A,J$1,'DB Costi-Ore YtD'!$B:$B,$A29,'DB Costi-Ore YtD'!$E:$E,$C29)-SUM($D29:I29),0)</f>
        <v>0</v>
      </c>
      <c r="K29" s="9">
        <f>IF((K$1*1)&lt;=MAX('DB Costi-Ore YtD'!$A:$A),SUMIFS('DB Costi-Ore YtD'!$F:$F,'DB Costi-Ore YtD'!$A:$A,K$1,'DB Costi-Ore YtD'!$B:$B,$A29,'DB Costi-Ore YtD'!$E:$E,$C29)-SUM($D29:J29),0)</f>
        <v>0</v>
      </c>
      <c r="L29" s="9">
        <f>IF((L$1*1)&lt;=MAX('DB Costi-Ore YtD'!$A:$A),SUMIFS('DB Costi-Ore YtD'!$F:$F,'DB Costi-Ore YtD'!$A:$A,L$1,'DB Costi-Ore YtD'!$B:$B,$A29,'DB Costi-Ore YtD'!$E:$E,$C29)-SUM($D29:K29),0)</f>
        <v>0</v>
      </c>
      <c r="M29" s="9">
        <f>IF((M$1*1)&lt;=MAX('DB Costi-Ore YtD'!$A:$A),SUMIFS('DB Costi-Ore YtD'!$F:$F,'DB Costi-Ore YtD'!$A:$A,M$1,'DB Costi-Ore YtD'!$B:$B,$A29,'DB Costi-Ore YtD'!$E:$E,$C29)-SUM($D29:L29),0)</f>
        <v>0</v>
      </c>
      <c r="N29" s="9">
        <f>IF((N$1*1)&lt;=MAX('DB Costi-Ore YtD'!$A:$A),SUMIFS('DB Costi-Ore YtD'!$F:$F,'DB Costi-Ore YtD'!$A:$A,N$1,'DB Costi-Ore YtD'!$B:$B,$A29,'DB Costi-Ore YtD'!$E:$E,$C29)-SUM($D29:M29),0)</f>
        <v>0</v>
      </c>
      <c r="O29" s="9">
        <f>IF((O$1*1)&lt;=MAX('DB Costi-Ore YtD'!$A:$A),SUMIFS('DB Costi-Ore YtD'!$F:$F,'DB Costi-Ore YtD'!$A:$A,O$1,'DB Costi-Ore YtD'!$B:$B,$A29,'DB Costi-Ore YtD'!$E:$E,$C29)-SUM($D29:N29),0)</f>
        <v>0</v>
      </c>
    </row>
    <row r="30" spans="1:15" x14ac:dyDescent="0.3">
      <c r="A30" s="9" t="s">
        <v>85</v>
      </c>
      <c r="B30" s="9" t="s">
        <v>86</v>
      </c>
      <c r="C30" s="9" t="s">
        <v>2</v>
      </c>
      <c r="D30" s="9">
        <f>IF((D$1*1)&lt;=MAX('DB Costi-Ore YtD'!$A:$A),SUMIFS('DB Costi-Ore YtD'!$F:$F,'DB Costi-Ore YtD'!$A:$A,D$1,'DB Costi-Ore YtD'!$B:$B,$A30,'DB Costi-Ore YtD'!$E:$E,$C30),0)</f>
        <v>159</v>
      </c>
      <c r="E30" s="9">
        <f>IF((E$1*1)&lt;=MAX('DB Costi-Ore YtD'!$A:$A),SUMIFS('DB Costi-Ore YtD'!$F:$F,'DB Costi-Ore YtD'!$A:$A,E$1,'DB Costi-Ore YtD'!$B:$B,$A30,'DB Costi-Ore YtD'!$E:$E,$C30)-SUM($D30:D30),0)</f>
        <v>121.5</v>
      </c>
      <c r="F30" s="9">
        <f>IF((F$1*1)&lt;=MAX('DB Costi-Ore YtD'!$A:$A),SUMIFS('DB Costi-Ore YtD'!$F:$F,'DB Costi-Ore YtD'!$A:$A,F$1,'DB Costi-Ore YtD'!$B:$B,$A30,'DB Costi-Ore YtD'!$E:$E,$C30)-SUM($D30:E30),0)</f>
        <v>157</v>
      </c>
      <c r="G30" s="9">
        <f>IF((G$1*1)&lt;=MAX('DB Costi-Ore YtD'!$A:$A),SUMIFS('DB Costi-Ore YtD'!$F:$F,'DB Costi-Ore YtD'!$A:$A,G$1,'DB Costi-Ore YtD'!$B:$B,$A30,'DB Costi-Ore YtD'!$E:$E,$C30)-SUM($D30:F30),0)</f>
        <v>159</v>
      </c>
      <c r="H30" s="9">
        <f>IF((H$1*1)&lt;=MAX('DB Costi-Ore YtD'!$A:$A),SUMIFS('DB Costi-Ore YtD'!$F:$F,'DB Costi-Ore YtD'!$A:$A,H$1,'DB Costi-Ore YtD'!$B:$B,$A30,'DB Costi-Ore YtD'!$E:$E,$C30)-SUM($D30:G30),0)</f>
        <v>162.5</v>
      </c>
      <c r="I30" s="9">
        <f>IF((I$1*1)&lt;=MAX('DB Costi-Ore YtD'!$A:$A),SUMIFS('DB Costi-Ore YtD'!$F:$F,'DB Costi-Ore YtD'!$A:$A,I$1,'DB Costi-Ore YtD'!$B:$B,$A30,'DB Costi-Ore YtD'!$E:$E,$C30)-SUM($D30:H30),0)</f>
        <v>152</v>
      </c>
      <c r="J30" s="9">
        <f>IF((J$1*1)&lt;=MAX('DB Costi-Ore YtD'!$A:$A),SUMIFS('DB Costi-Ore YtD'!$F:$F,'DB Costi-Ore YtD'!$A:$A,J$1,'DB Costi-Ore YtD'!$B:$B,$A30,'DB Costi-Ore YtD'!$E:$E,$C30)-SUM($D30:I30),0)</f>
        <v>0</v>
      </c>
      <c r="K30" s="9">
        <f>IF((K$1*1)&lt;=MAX('DB Costi-Ore YtD'!$A:$A),SUMIFS('DB Costi-Ore YtD'!$F:$F,'DB Costi-Ore YtD'!$A:$A,K$1,'DB Costi-Ore YtD'!$B:$B,$A30,'DB Costi-Ore YtD'!$E:$E,$C30)-SUM($D30:J30),0)</f>
        <v>0</v>
      </c>
      <c r="L30" s="9">
        <f>IF((L$1*1)&lt;=MAX('DB Costi-Ore YtD'!$A:$A),SUMIFS('DB Costi-Ore YtD'!$F:$F,'DB Costi-Ore YtD'!$A:$A,L$1,'DB Costi-Ore YtD'!$B:$B,$A30,'DB Costi-Ore YtD'!$E:$E,$C30)-SUM($D30:K30),0)</f>
        <v>0</v>
      </c>
      <c r="M30" s="9">
        <f>IF((M$1*1)&lt;=MAX('DB Costi-Ore YtD'!$A:$A),SUMIFS('DB Costi-Ore YtD'!$F:$F,'DB Costi-Ore YtD'!$A:$A,M$1,'DB Costi-Ore YtD'!$B:$B,$A30,'DB Costi-Ore YtD'!$E:$E,$C30)-SUM($D30:L30),0)</f>
        <v>0</v>
      </c>
      <c r="N30" s="9">
        <f>IF((N$1*1)&lt;=MAX('DB Costi-Ore YtD'!$A:$A),SUMIFS('DB Costi-Ore YtD'!$F:$F,'DB Costi-Ore YtD'!$A:$A,N$1,'DB Costi-Ore YtD'!$B:$B,$A30,'DB Costi-Ore YtD'!$E:$E,$C30)-SUM($D30:M30),0)</f>
        <v>0</v>
      </c>
      <c r="O30" s="9">
        <f>IF((O$1*1)&lt;=MAX('DB Costi-Ore YtD'!$A:$A),SUMIFS('DB Costi-Ore YtD'!$F:$F,'DB Costi-Ore YtD'!$A:$A,O$1,'DB Costi-Ore YtD'!$B:$B,$A30,'DB Costi-Ore YtD'!$E:$E,$C30)-SUM($D30:N30),0)</f>
        <v>0</v>
      </c>
    </row>
    <row r="31" spans="1:15" x14ac:dyDescent="0.3">
      <c r="A31" s="9" t="s">
        <v>87</v>
      </c>
      <c r="B31" s="9" t="s">
        <v>88</v>
      </c>
      <c r="C31" s="9" t="s">
        <v>12</v>
      </c>
      <c r="D31" s="9">
        <f>IF((D$1*1)&lt;=MAX('DB Costi-Ore YtD'!$A:$A),SUMIFS('DB Costi-Ore YtD'!$F:$F,'DB Costi-Ore YtD'!$A:$A,D$1,'DB Costi-Ore YtD'!$B:$B,$A31,'DB Costi-Ore YtD'!$E:$E,$C31),0)</f>
        <v>155.5</v>
      </c>
      <c r="E31" s="9">
        <f>IF((E$1*1)&lt;=MAX('DB Costi-Ore YtD'!$A:$A),SUMIFS('DB Costi-Ore YtD'!$F:$F,'DB Costi-Ore YtD'!$A:$A,E$1,'DB Costi-Ore YtD'!$B:$B,$A31,'DB Costi-Ore YtD'!$E:$E,$C31)-SUM($D31:D31),0)</f>
        <v>112.25</v>
      </c>
      <c r="F31" s="9">
        <f>IF((F$1*1)&lt;=MAX('DB Costi-Ore YtD'!$A:$A),SUMIFS('DB Costi-Ore YtD'!$F:$F,'DB Costi-Ore YtD'!$A:$A,F$1,'DB Costi-Ore YtD'!$B:$B,$A31,'DB Costi-Ore YtD'!$E:$E,$C31)-SUM($D31:E31),0)</f>
        <v>133.25</v>
      </c>
      <c r="G31" s="9">
        <f>IF((G$1*1)&lt;=MAX('DB Costi-Ore YtD'!$A:$A),SUMIFS('DB Costi-Ore YtD'!$F:$F,'DB Costi-Ore YtD'!$A:$A,G$1,'DB Costi-Ore YtD'!$B:$B,$A31,'DB Costi-Ore YtD'!$E:$E,$C31)-SUM($D31:F31),0)</f>
        <v>140</v>
      </c>
      <c r="H31" s="9">
        <f>IF((H$1*1)&lt;=MAX('DB Costi-Ore YtD'!$A:$A),SUMIFS('DB Costi-Ore YtD'!$F:$F,'DB Costi-Ore YtD'!$A:$A,H$1,'DB Costi-Ore YtD'!$B:$B,$A31,'DB Costi-Ore YtD'!$E:$E,$C31)-SUM($D31:G31),0)</f>
        <v>141.75</v>
      </c>
      <c r="I31" s="9">
        <f>IF((I$1*1)&lt;=MAX('DB Costi-Ore YtD'!$A:$A),SUMIFS('DB Costi-Ore YtD'!$F:$F,'DB Costi-Ore YtD'!$A:$A,I$1,'DB Costi-Ore YtD'!$B:$B,$A31,'DB Costi-Ore YtD'!$E:$E,$C31)-SUM($D31:H31),0)</f>
        <v>149.5</v>
      </c>
      <c r="J31" s="9">
        <f>IF((J$1*1)&lt;=MAX('DB Costi-Ore YtD'!$A:$A),SUMIFS('DB Costi-Ore YtD'!$F:$F,'DB Costi-Ore YtD'!$A:$A,J$1,'DB Costi-Ore YtD'!$B:$B,$A31,'DB Costi-Ore YtD'!$E:$E,$C31)-SUM($D31:I31),0)</f>
        <v>0</v>
      </c>
      <c r="K31" s="9">
        <f>IF((K$1*1)&lt;=MAX('DB Costi-Ore YtD'!$A:$A),SUMIFS('DB Costi-Ore YtD'!$F:$F,'DB Costi-Ore YtD'!$A:$A,K$1,'DB Costi-Ore YtD'!$B:$B,$A31,'DB Costi-Ore YtD'!$E:$E,$C31)-SUM($D31:J31),0)</f>
        <v>0</v>
      </c>
      <c r="L31" s="9">
        <f>IF((L$1*1)&lt;=MAX('DB Costi-Ore YtD'!$A:$A),SUMIFS('DB Costi-Ore YtD'!$F:$F,'DB Costi-Ore YtD'!$A:$A,L$1,'DB Costi-Ore YtD'!$B:$B,$A31,'DB Costi-Ore YtD'!$E:$E,$C31)-SUM($D31:K31),0)</f>
        <v>0</v>
      </c>
      <c r="M31" s="9">
        <f>IF((M$1*1)&lt;=MAX('DB Costi-Ore YtD'!$A:$A),SUMIFS('DB Costi-Ore YtD'!$F:$F,'DB Costi-Ore YtD'!$A:$A,M$1,'DB Costi-Ore YtD'!$B:$B,$A31,'DB Costi-Ore YtD'!$E:$E,$C31)-SUM($D31:L31),0)</f>
        <v>0</v>
      </c>
      <c r="N31" s="9">
        <f>IF((N$1*1)&lt;=MAX('DB Costi-Ore YtD'!$A:$A),SUMIFS('DB Costi-Ore YtD'!$F:$F,'DB Costi-Ore YtD'!$A:$A,N$1,'DB Costi-Ore YtD'!$B:$B,$A31,'DB Costi-Ore YtD'!$E:$E,$C31)-SUM($D31:M31),0)</f>
        <v>0</v>
      </c>
      <c r="O31" s="9">
        <f>IF((O$1*1)&lt;=MAX('DB Costi-Ore YtD'!$A:$A),SUMIFS('DB Costi-Ore YtD'!$F:$F,'DB Costi-Ore YtD'!$A:$A,O$1,'DB Costi-Ore YtD'!$B:$B,$A31,'DB Costi-Ore YtD'!$E:$E,$C31)-SUM($D31:N31),0)</f>
        <v>0</v>
      </c>
    </row>
    <row r="32" spans="1:15" x14ac:dyDescent="0.3">
      <c r="A32" s="9" t="s">
        <v>89</v>
      </c>
      <c r="B32" s="9" t="s">
        <v>90</v>
      </c>
      <c r="C32" s="9" t="s">
        <v>13</v>
      </c>
      <c r="D32" s="9">
        <f>IF((D$1*1)&lt;=MAX('DB Costi-Ore YtD'!$A:$A),SUMIFS('DB Costi-Ore YtD'!$F:$F,'DB Costi-Ore YtD'!$A:$A,D$1,'DB Costi-Ore YtD'!$B:$B,$A32,'DB Costi-Ore YtD'!$E:$E,$C32),0)</f>
        <v>144</v>
      </c>
      <c r="E32" s="9">
        <f>IF((E$1*1)&lt;=MAX('DB Costi-Ore YtD'!$A:$A),SUMIFS('DB Costi-Ore YtD'!$F:$F,'DB Costi-Ore YtD'!$A:$A,E$1,'DB Costi-Ore YtD'!$B:$B,$A32,'DB Costi-Ore YtD'!$E:$E,$C32)-SUM($D32:D32),0)</f>
        <v>61</v>
      </c>
      <c r="F32" s="9">
        <f>IF((F$1*1)&lt;=MAX('DB Costi-Ore YtD'!$A:$A),SUMIFS('DB Costi-Ore YtD'!$F:$F,'DB Costi-Ore YtD'!$A:$A,F$1,'DB Costi-Ore YtD'!$B:$B,$A32,'DB Costi-Ore YtD'!$E:$E,$C32)-SUM($D32:E32),0)</f>
        <v>160</v>
      </c>
      <c r="G32" s="9">
        <f>IF((G$1*1)&lt;=MAX('DB Costi-Ore YtD'!$A:$A),SUMIFS('DB Costi-Ore YtD'!$F:$F,'DB Costi-Ore YtD'!$A:$A,G$1,'DB Costi-Ore YtD'!$B:$B,$A32,'DB Costi-Ore YtD'!$E:$E,$C32)-SUM($D32:F32),0)</f>
        <v>151.5</v>
      </c>
      <c r="H32" s="9">
        <f>IF((H$1*1)&lt;=MAX('DB Costi-Ore YtD'!$A:$A),SUMIFS('DB Costi-Ore YtD'!$F:$F,'DB Costi-Ore YtD'!$A:$A,H$1,'DB Costi-Ore YtD'!$B:$B,$A32,'DB Costi-Ore YtD'!$E:$E,$C32)-SUM($D32:G32),0)</f>
        <v>152</v>
      </c>
      <c r="I32" s="9">
        <f>IF((I$1*1)&lt;=MAX('DB Costi-Ore YtD'!$A:$A),SUMIFS('DB Costi-Ore YtD'!$F:$F,'DB Costi-Ore YtD'!$A:$A,I$1,'DB Costi-Ore YtD'!$B:$B,$A32,'DB Costi-Ore YtD'!$E:$E,$C32)-SUM($D32:H32),0)</f>
        <v>129.5</v>
      </c>
      <c r="J32" s="9">
        <f>IF((J$1*1)&lt;=MAX('DB Costi-Ore YtD'!$A:$A),SUMIFS('DB Costi-Ore YtD'!$F:$F,'DB Costi-Ore YtD'!$A:$A,J$1,'DB Costi-Ore YtD'!$B:$B,$A32,'DB Costi-Ore YtD'!$E:$E,$C32)-SUM($D32:I32),0)</f>
        <v>0</v>
      </c>
      <c r="K32" s="9">
        <f>IF((K$1*1)&lt;=MAX('DB Costi-Ore YtD'!$A:$A),SUMIFS('DB Costi-Ore YtD'!$F:$F,'DB Costi-Ore YtD'!$A:$A,K$1,'DB Costi-Ore YtD'!$B:$B,$A32,'DB Costi-Ore YtD'!$E:$E,$C32)-SUM($D32:J32),0)</f>
        <v>0</v>
      </c>
      <c r="L32" s="9">
        <f>IF((L$1*1)&lt;=MAX('DB Costi-Ore YtD'!$A:$A),SUMIFS('DB Costi-Ore YtD'!$F:$F,'DB Costi-Ore YtD'!$A:$A,L$1,'DB Costi-Ore YtD'!$B:$B,$A32,'DB Costi-Ore YtD'!$E:$E,$C32)-SUM($D32:K32),0)</f>
        <v>0</v>
      </c>
      <c r="M32" s="9">
        <f>IF((M$1*1)&lt;=MAX('DB Costi-Ore YtD'!$A:$A),SUMIFS('DB Costi-Ore YtD'!$F:$F,'DB Costi-Ore YtD'!$A:$A,M$1,'DB Costi-Ore YtD'!$B:$B,$A32,'DB Costi-Ore YtD'!$E:$E,$C32)-SUM($D32:L32),0)</f>
        <v>0</v>
      </c>
      <c r="N32" s="9">
        <f>IF((N$1*1)&lt;=MAX('DB Costi-Ore YtD'!$A:$A),SUMIFS('DB Costi-Ore YtD'!$F:$F,'DB Costi-Ore YtD'!$A:$A,N$1,'DB Costi-Ore YtD'!$B:$B,$A32,'DB Costi-Ore YtD'!$E:$E,$C32)-SUM($D32:M32),0)</f>
        <v>0</v>
      </c>
      <c r="O32" s="9">
        <f>IF((O$1*1)&lt;=MAX('DB Costi-Ore YtD'!$A:$A),SUMIFS('DB Costi-Ore YtD'!$F:$F,'DB Costi-Ore YtD'!$A:$A,O$1,'DB Costi-Ore YtD'!$B:$B,$A32,'DB Costi-Ore YtD'!$E:$E,$C32)-SUM($D32:N32),0)</f>
        <v>0</v>
      </c>
    </row>
    <row r="33" spans="1:15" x14ac:dyDescent="0.3">
      <c r="A33" s="9" t="s">
        <v>91</v>
      </c>
      <c r="B33" s="9" t="s">
        <v>92</v>
      </c>
      <c r="C33" s="9" t="s">
        <v>5</v>
      </c>
      <c r="D33" s="9">
        <f>IF((D$1*1)&lt;=MAX('DB Costi-Ore YtD'!$A:$A),SUMIFS('DB Costi-Ore YtD'!$F:$F,'DB Costi-Ore YtD'!$A:$A,D$1,'DB Costi-Ore YtD'!$B:$B,$A33,'DB Costi-Ore YtD'!$E:$E,$C33),0)</f>
        <v>147</v>
      </c>
      <c r="E33" s="9">
        <f>IF((E$1*1)&lt;=MAX('DB Costi-Ore YtD'!$A:$A),SUMIFS('DB Costi-Ore YtD'!$F:$F,'DB Costi-Ore YtD'!$A:$A,E$1,'DB Costi-Ore YtD'!$B:$B,$A33,'DB Costi-Ore YtD'!$E:$E,$C33)-SUM($D33:D33),0)</f>
        <v>136.5</v>
      </c>
      <c r="F33" s="9">
        <f>IF((F$1*1)&lt;=MAX('DB Costi-Ore YtD'!$A:$A),SUMIFS('DB Costi-Ore YtD'!$F:$F,'DB Costi-Ore YtD'!$A:$A,F$1,'DB Costi-Ore YtD'!$B:$B,$A33,'DB Costi-Ore YtD'!$E:$E,$C33)-SUM($D33:E33),0)</f>
        <v>139.5</v>
      </c>
      <c r="G33" s="9">
        <f>IF((G$1*1)&lt;=MAX('DB Costi-Ore YtD'!$A:$A),SUMIFS('DB Costi-Ore YtD'!$F:$F,'DB Costi-Ore YtD'!$A:$A,G$1,'DB Costi-Ore YtD'!$B:$B,$A33,'DB Costi-Ore YtD'!$E:$E,$C33)-SUM($D33:F33),0)</f>
        <v>130.75</v>
      </c>
      <c r="H33" s="9">
        <f>IF((H$1*1)&lt;=MAX('DB Costi-Ore YtD'!$A:$A),SUMIFS('DB Costi-Ore YtD'!$F:$F,'DB Costi-Ore YtD'!$A:$A,H$1,'DB Costi-Ore YtD'!$B:$B,$A33,'DB Costi-Ore YtD'!$E:$E,$C33)-SUM($D33:G33),0)</f>
        <v>147</v>
      </c>
      <c r="I33" s="9">
        <f>IF((I$1*1)&lt;=MAX('DB Costi-Ore YtD'!$A:$A),SUMIFS('DB Costi-Ore YtD'!$F:$F,'DB Costi-Ore YtD'!$A:$A,I$1,'DB Costi-Ore YtD'!$B:$B,$A33,'DB Costi-Ore YtD'!$E:$E,$C33)-SUM($D33:H33),0)</f>
        <v>138.5</v>
      </c>
      <c r="J33" s="9">
        <f>IF((J$1*1)&lt;=MAX('DB Costi-Ore YtD'!$A:$A),SUMIFS('DB Costi-Ore YtD'!$F:$F,'DB Costi-Ore YtD'!$A:$A,J$1,'DB Costi-Ore YtD'!$B:$B,$A33,'DB Costi-Ore YtD'!$E:$E,$C33)-SUM($D33:I33),0)</f>
        <v>0</v>
      </c>
      <c r="K33" s="9">
        <f>IF((K$1*1)&lt;=MAX('DB Costi-Ore YtD'!$A:$A),SUMIFS('DB Costi-Ore YtD'!$F:$F,'DB Costi-Ore YtD'!$A:$A,K$1,'DB Costi-Ore YtD'!$B:$B,$A33,'DB Costi-Ore YtD'!$E:$E,$C33)-SUM($D33:J33),0)</f>
        <v>0</v>
      </c>
      <c r="L33" s="9">
        <f>IF((L$1*1)&lt;=MAX('DB Costi-Ore YtD'!$A:$A),SUMIFS('DB Costi-Ore YtD'!$F:$F,'DB Costi-Ore YtD'!$A:$A,L$1,'DB Costi-Ore YtD'!$B:$B,$A33,'DB Costi-Ore YtD'!$E:$E,$C33)-SUM($D33:K33),0)</f>
        <v>0</v>
      </c>
      <c r="M33" s="9">
        <f>IF((M$1*1)&lt;=MAX('DB Costi-Ore YtD'!$A:$A),SUMIFS('DB Costi-Ore YtD'!$F:$F,'DB Costi-Ore YtD'!$A:$A,M$1,'DB Costi-Ore YtD'!$B:$B,$A33,'DB Costi-Ore YtD'!$E:$E,$C33)-SUM($D33:L33),0)</f>
        <v>0</v>
      </c>
      <c r="N33" s="9">
        <f>IF((N$1*1)&lt;=MAX('DB Costi-Ore YtD'!$A:$A),SUMIFS('DB Costi-Ore YtD'!$F:$F,'DB Costi-Ore YtD'!$A:$A,N$1,'DB Costi-Ore YtD'!$B:$B,$A33,'DB Costi-Ore YtD'!$E:$E,$C33)-SUM($D33:M33),0)</f>
        <v>0</v>
      </c>
      <c r="O33" s="9">
        <f>IF((O$1*1)&lt;=MAX('DB Costi-Ore YtD'!$A:$A),SUMIFS('DB Costi-Ore YtD'!$F:$F,'DB Costi-Ore YtD'!$A:$A,O$1,'DB Costi-Ore YtD'!$B:$B,$A33,'DB Costi-Ore YtD'!$E:$E,$C33)-SUM($D33:N33),0)</f>
        <v>0</v>
      </c>
    </row>
    <row r="34" spans="1:15" x14ac:dyDescent="0.3">
      <c r="A34" s="9" t="s">
        <v>93</v>
      </c>
      <c r="B34" s="9" t="s">
        <v>94</v>
      </c>
      <c r="C34" s="9" t="s">
        <v>2</v>
      </c>
      <c r="D34" s="9">
        <f>IF((D$1*1)&lt;=MAX('DB Costi-Ore YtD'!$A:$A),SUMIFS('DB Costi-Ore YtD'!$F:$F,'DB Costi-Ore YtD'!$A:$A,D$1,'DB Costi-Ore YtD'!$B:$B,$A34,'DB Costi-Ore YtD'!$E:$E,$C34),0)</f>
        <v>83</v>
      </c>
      <c r="E34" s="9">
        <f>IF((E$1*1)&lt;=MAX('DB Costi-Ore YtD'!$A:$A),SUMIFS('DB Costi-Ore YtD'!$F:$F,'DB Costi-Ore YtD'!$A:$A,E$1,'DB Costi-Ore YtD'!$B:$B,$A34,'DB Costi-Ore YtD'!$E:$E,$C34)-SUM($D34:D34),0)</f>
        <v>98.5</v>
      </c>
      <c r="F34" s="9">
        <f>IF((F$1*1)&lt;=MAX('DB Costi-Ore YtD'!$A:$A),SUMIFS('DB Costi-Ore YtD'!$F:$F,'DB Costi-Ore YtD'!$A:$A,F$1,'DB Costi-Ore YtD'!$B:$B,$A34,'DB Costi-Ore YtD'!$E:$E,$C34)-SUM($D34:E34),0)</f>
        <v>111.5</v>
      </c>
      <c r="G34" s="9">
        <f>IF((G$1*1)&lt;=MAX('DB Costi-Ore YtD'!$A:$A),SUMIFS('DB Costi-Ore YtD'!$F:$F,'DB Costi-Ore YtD'!$A:$A,G$1,'DB Costi-Ore YtD'!$B:$B,$A34,'DB Costi-Ore YtD'!$E:$E,$C34)-SUM($D34:F34),0)</f>
        <v>106.5</v>
      </c>
      <c r="H34" s="9">
        <f>IF((H$1*1)&lt;=MAX('DB Costi-Ore YtD'!$A:$A),SUMIFS('DB Costi-Ore YtD'!$F:$F,'DB Costi-Ore YtD'!$A:$A,H$1,'DB Costi-Ore YtD'!$B:$B,$A34,'DB Costi-Ore YtD'!$E:$E,$C34)-SUM($D34:G34),0)</f>
        <v>91</v>
      </c>
      <c r="I34" s="9">
        <f>IF((I$1*1)&lt;=MAX('DB Costi-Ore YtD'!$A:$A),SUMIFS('DB Costi-Ore YtD'!$F:$F,'DB Costi-Ore YtD'!$A:$A,I$1,'DB Costi-Ore YtD'!$B:$B,$A34,'DB Costi-Ore YtD'!$E:$E,$C34)-SUM($D34:H34),0)</f>
        <v>105.5</v>
      </c>
      <c r="J34" s="9">
        <f>IF((J$1*1)&lt;=MAX('DB Costi-Ore YtD'!$A:$A),SUMIFS('DB Costi-Ore YtD'!$F:$F,'DB Costi-Ore YtD'!$A:$A,J$1,'DB Costi-Ore YtD'!$B:$B,$A34,'DB Costi-Ore YtD'!$E:$E,$C34)-SUM($D34:I34),0)</f>
        <v>0</v>
      </c>
      <c r="K34" s="9">
        <f>IF((K$1*1)&lt;=MAX('DB Costi-Ore YtD'!$A:$A),SUMIFS('DB Costi-Ore YtD'!$F:$F,'DB Costi-Ore YtD'!$A:$A,K$1,'DB Costi-Ore YtD'!$B:$B,$A34,'DB Costi-Ore YtD'!$E:$E,$C34)-SUM($D34:J34),0)</f>
        <v>0</v>
      </c>
      <c r="L34" s="9">
        <f>IF((L$1*1)&lt;=MAX('DB Costi-Ore YtD'!$A:$A),SUMIFS('DB Costi-Ore YtD'!$F:$F,'DB Costi-Ore YtD'!$A:$A,L$1,'DB Costi-Ore YtD'!$B:$B,$A34,'DB Costi-Ore YtD'!$E:$E,$C34)-SUM($D34:K34),0)</f>
        <v>0</v>
      </c>
      <c r="M34" s="9">
        <f>IF((M$1*1)&lt;=MAX('DB Costi-Ore YtD'!$A:$A),SUMIFS('DB Costi-Ore YtD'!$F:$F,'DB Costi-Ore YtD'!$A:$A,M$1,'DB Costi-Ore YtD'!$B:$B,$A34,'DB Costi-Ore YtD'!$E:$E,$C34)-SUM($D34:L34),0)</f>
        <v>0</v>
      </c>
      <c r="N34" s="9">
        <f>IF((N$1*1)&lt;=MAX('DB Costi-Ore YtD'!$A:$A),SUMIFS('DB Costi-Ore YtD'!$F:$F,'DB Costi-Ore YtD'!$A:$A,N$1,'DB Costi-Ore YtD'!$B:$B,$A34,'DB Costi-Ore YtD'!$E:$E,$C34)-SUM($D34:M34),0)</f>
        <v>0</v>
      </c>
      <c r="O34" s="9">
        <f>IF((O$1*1)&lt;=MAX('DB Costi-Ore YtD'!$A:$A),SUMIFS('DB Costi-Ore YtD'!$F:$F,'DB Costi-Ore YtD'!$A:$A,O$1,'DB Costi-Ore YtD'!$B:$B,$A34,'DB Costi-Ore YtD'!$E:$E,$C34)-SUM($D34:N34),0)</f>
        <v>0</v>
      </c>
    </row>
    <row r="35" spans="1:15" x14ac:dyDescent="0.3">
      <c r="A35" s="9" t="s">
        <v>95</v>
      </c>
      <c r="B35" s="9" t="s">
        <v>96</v>
      </c>
      <c r="C35" s="9" t="s">
        <v>3</v>
      </c>
      <c r="D35" s="9">
        <f>IF((D$1*1)&lt;=MAX('DB Costi-Ore YtD'!$A:$A),SUMIFS('DB Costi-Ore YtD'!$F:$F,'DB Costi-Ore YtD'!$A:$A,D$1,'DB Costi-Ore YtD'!$B:$B,$A35,'DB Costi-Ore YtD'!$E:$E,$C35),0)</f>
        <v>119</v>
      </c>
      <c r="E35" s="9">
        <f>IF((E$1*1)&lt;=MAX('DB Costi-Ore YtD'!$A:$A),SUMIFS('DB Costi-Ore YtD'!$F:$F,'DB Costi-Ore YtD'!$A:$A,E$1,'DB Costi-Ore YtD'!$B:$B,$A35,'DB Costi-Ore YtD'!$E:$E,$C35)-SUM($D35:D35),0)</f>
        <v>152</v>
      </c>
      <c r="F35" s="9">
        <f>IF((F$1*1)&lt;=MAX('DB Costi-Ore YtD'!$A:$A),SUMIFS('DB Costi-Ore YtD'!$F:$F,'DB Costi-Ore YtD'!$A:$A,F$1,'DB Costi-Ore YtD'!$B:$B,$A35,'DB Costi-Ore YtD'!$E:$E,$C35)-SUM($D35:E35),0)</f>
        <v>158.75</v>
      </c>
      <c r="G35" s="9">
        <f>IF((G$1*1)&lt;=MAX('DB Costi-Ore YtD'!$A:$A),SUMIFS('DB Costi-Ore YtD'!$F:$F,'DB Costi-Ore YtD'!$A:$A,G$1,'DB Costi-Ore YtD'!$B:$B,$A35,'DB Costi-Ore YtD'!$E:$E,$C35)-SUM($D35:F35),0)</f>
        <v>151</v>
      </c>
      <c r="H35" s="9">
        <f>IF((H$1*1)&lt;=MAX('DB Costi-Ore YtD'!$A:$A),SUMIFS('DB Costi-Ore YtD'!$F:$F,'DB Costi-Ore YtD'!$A:$A,H$1,'DB Costi-Ore YtD'!$B:$B,$A35,'DB Costi-Ore YtD'!$E:$E,$C35)-SUM($D35:G35),0)</f>
        <v>150.25</v>
      </c>
      <c r="I35" s="9">
        <f>IF((I$1*1)&lt;=MAX('DB Costi-Ore YtD'!$A:$A),SUMIFS('DB Costi-Ore YtD'!$F:$F,'DB Costi-Ore YtD'!$A:$A,I$1,'DB Costi-Ore YtD'!$B:$B,$A35,'DB Costi-Ore YtD'!$E:$E,$C35)-SUM($D35:H35),0)</f>
        <v>149.5</v>
      </c>
      <c r="J35" s="9">
        <f>IF((J$1*1)&lt;=MAX('DB Costi-Ore YtD'!$A:$A),SUMIFS('DB Costi-Ore YtD'!$F:$F,'DB Costi-Ore YtD'!$A:$A,J$1,'DB Costi-Ore YtD'!$B:$B,$A35,'DB Costi-Ore YtD'!$E:$E,$C35)-SUM($D35:I35),0)</f>
        <v>0</v>
      </c>
      <c r="K35" s="9">
        <f>IF((K$1*1)&lt;=MAX('DB Costi-Ore YtD'!$A:$A),SUMIFS('DB Costi-Ore YtD'!$F:$F,'DB Costi-Ore YtD'!$A:$A,K$1,'DB Costi-Ore YtD'!$B:$B,$A35,'DB Costi-Ore YtD'!$E:$E,$C35)-SUM($D35:J35),0)</f>
        <v>0</v>
      </c>
      <c r="L35" s="9">
        <f>IF((L$1*1)&lt;=MAX('DB Costi-Ore YtD'!$A:$A),SUMIFS('DB Costi-Ore YtD'!$F:$F,'DB Costi-Ore YtD'!$A:$A,L$1,'DB Costi-Ore YtD'!$B:$B,$A35,'DB Costi-Ore YtD'!$E:$E,$C35)-SUM($D35:K35),0)</f>
        <v>0</v>
      </c>
      <c r="M35" s="9">
        <f>IF((M$1*1)&lt;=MAX('DB Costi-Ore YtD'!$A:$A),SUMIFS('DB Costi-Ore YtD'!$F:$F,'DB Costi-Ore YtD'!$A:$A,M$1,'DB Costi-Ore YtD'!$B:$B,$A35,'DB Costi-Ore YtD'!$E:$E,$C35)-SUM($D35:L35),0)</f>
        <v>0</v>
      </c>
      <c r="N35" s="9">
        <f>IF((N$1*1)&lt;=MAX('DB Costi-Ore YtD'!$A:$A),SUMIFS('DB Costi-Ore YtD'!$F:$F,'DB Costi-Ore YtD'!$A:$A,N$1,'DB Costi-Ore YtD'!$B:$B,$A35,'DB Costi-Ore YtD'!$E:$E,$C35)-SUM($D35:M35),0)</f>
        <v>0</v>
      </c>
      <c r="O35" s="9">
        <f>IF((O$1*1)&lt;=MAX('DB Costi-Ore YtD'!$A:$A),SUMIFS('DB Costi-Ore YtD'!$F:$F,'DB Costi-Ore YtD'!$A:$A,O$1,'DB Costi-Ore YtD'!$B:$B,$A35,'DB Costi-Ore YtD'!$E:$E,$C35)-SUM($D35:N35),0)</f>
        <v>0</v>
      </c>
    </row>
    <row r="36" spans="1:15" x14ac:dyDescent="0.3">
      <c r="A36" s="9" t="s">
        <v>97</v>
      </c>
      <c r="B36" s="9" t="s">
        <v>98</v>
      </c>
      <c r="C36" s="9" t="s">
        <v>2</v>
      </c>
      <c r="D36" s="9">
        <f>IF((D$1*1)&lt;=MAX('DB Costi-Ore YtD'!$A:$A),SUMIFS('DB Costi-Ore YtD'!$F:$F,'DB Costi-Ore YtD'!$A:$A,D$1,'DB Costi-Ore YtD'!$B:$B,$A36,'DB Costi-Ore YtD'!$E:$E,$C36),0)</f>
        <v>151</v>
      </c>
      <c r="E36" s="9">
        <f>IF((E$1*1)&lt;=MAX('DB Costi-Ore YtD'!$A:$A),SUMIFS('DB Costi-Ore YtD'!$F:$F,'DB Costi-Ore YtD'!$A:$A,E$1,'DB Costi-Ore YtD'!$B:$B,$A36,'DB Costi-Ore YtD'!$E:$E,$C36)-SUM($D36:D36),0)</f>
        <v>141.5</v>
      </c>
      <c r="F36" s="9">
        <f>IF((F$1*1)&lt;=MAX('DB Costi-Ore YtD'!$A:$A),SUMIFS('DB Costi-Ore YtD'!$F:$F,'DB Costi-Ore YtD'!$A:$A,F$1,'DB Costi-Ore YtD'!$B:$B,$A36,'DB Costi-Ore YtD'!$E:$E,$C36)-SUM($D36:E36),0)</f>
        <v>143.5</v>
      </c>
      <c r="G36" s="9">
        <f>IF((G$1*1)&lt;=MAX('DB Costi-Ore YtD'!$A:$A),SUMIFS('DB Costi-Ore YtD'!$F:$F,'DB Costi-Ore YtD'!$A:$A,G$1,'DB Costi-Ore YtD'!$B:$B,$A36,'DB Costi-Ore YtD'!$E:$E,$C36)-SUM($D36:F36),0)</f>
        <v>128</v>
      </c>
      <c r="H36" s="9">
        <f>IF((H$1*1)&lt;=MAX('DB Costi-Ore YtD'!$A:$A),SUMIFS('DB Costi-Ore YtD'!$F:$F,'DB Costi-Ore YtD'!$A:$A,H$1,'DB Costi-Ore YtD'!$B:$B,$A36,'DB Costi-Ore YtD'!$E:$E,$C36)-SUM($D36:G36),0)</f>
        <v>136</v>
      </c>
      <c r="I36" s="9">
        <f>IF((I$1*1)&lt;=MAX('DB Costi-Ore YtD'!$A:$A),SUMIFS('DB Costi-Ore YtD'!$F:$F,'DB Costi-Ore YtD'!$A:$A,I$1,'DB Costi-Ore YtD'!$B:$B,$A36,'DB Costi-Ore YtD'!$E:$E,$C36)-SUM($D36:H36),0)</f>
        <v>120.5</v>
      </c>
      <c r="J36" s="9">
        <f>IF((J$1*1)&lt;=MAX('DB Costi-Ore YtD'!$A:$A),SUMIFS('DB Costi-Ore YtD'!$F:$F,'DB Costi-Ore YtD'!$A:$A,J$1,'DB Costi-Ore YtD'!$B:$B,$A36,'DB Costi-Ore YtD'!$E:$E,$C36)-SUM($D36:I36),0)</f>
        <v>0</v>
      </c>
      <c r="K36" s="9">
        <f>IF((K$1*1)&lt;=MAX('DB Costi-Ore YtD'!$A:$A),SUMIFS('DB Costi-Ore YtD'!$F:$F,'DB Costi-Ore YtD'!$A:$A,K$1,'DB Costi-Ore YtD'!$B:$B,$A36,'DB Costi-Ore YtD'!$E:$E,$C36)-SUM($D36:J36),0)</f>
        <v>0</v>
      </c>
      <c r="L36" s="9">
        <f>IF((L$1*1)&lt;=MAX('DB Costi-Ore YtD'!$A:$A),SUMIFS('DB Costi-Ore YtD'!$F:$F,'DB Costi-Ore YtD'!$A:$A,L$1,'DB Costi-Ore YtD'!$B:$B,$A36,'DB Costi-Ore YtD'!$E:$E,$C36)-SUM($D36:K36),0)</f>
        <v>0</v>
      </c>
      <c r="M36" s="9">
        <f>IF((M$1*1)&lt;=MAX('DB Costi-Ore YtD'!$A:$A),SUMIFS('DB Costi-Ore YtD'!$F:$F,'DB Costi-Ore YtD'!$A:$A,M$1,'DB Costi-Ore YtD'!$B:$B,$A36,'DB Costi-Ore YtD'!$E:$E,$C36)-SUM($D36:L36),0)</f>
        <v>0</v>
      </c>
      <c r="N36" s="9">
        <f>IF((N$1*1)&lt;=MAX('DB Costi-Ore YtD'!$A:$A),SUMIFS('DB Costi-Ore YtD'!$F:$F,'DB Costi-Ore YtD'!$A:$A,N$1,'DB Costi-Ore YtD'!$B:$B,$A36,'DB Costi-Ore YtD'!$E:$E,$C36)-SUM($D36:M36),0)</f>
        <v>0</v>
      </c>
      <c r="O36" s="9">
        <f>IF((O$1*1)&lt;=MAX('DB Costi-Ore YtD'!$A:$A),SUMIFS('DB Costi-Ore YtD'!$F:$F,'DB Costi-Ore YtD'!$A:$A,O$1,'DB Costi-Ore YtD'!$B:$B,$A36,'DB Costi-Ore YtD'!$E:$E,$C36)-SUM($D36:N36),0)</f>
        <v>0</v>
      </c>
    </row>
    <row r="37" spans="1:15" x14ac:dyDescent="0.3">
      <c r="A37" s="9" t="s">
        <v>99</v>
      </c>
      <c r="B37" s="9" t="s">
        <v>100</v>
      </c>
      <c r="C37" s="9" t="s">
        <v>2</v>
      </c>
      <c r="D37" s="9">
        <f>IF((D$1*1)&lt;=MAX('DB Costi-Ore YtD'!$A:$A),SUMIFS('DB Costi-Ore YtD'!$F:$F,'DB Costi-Ore YtD'!$A:$A,D$1,'DB Costi-Ore YtD'!$B:$B,$A37,'DB Costi-Ore YtD'!$E:$E,$C37),0)</f>
        <v>96</v>
      </c>
      <c r="E37" s="9">
        <f>IF((E$1*1)&lt;=MAX('DB Costi-Ore YtD'!$A:$A),SUMIFS('DB Costi-Ore YtD'!$F:$F,'DB Costi-Ore YtD'!$A:$A,E$1,'DB Costi-Ore YtD'!$B:$B,$A37,'DB Costi-Ore YtD'!$E:$E,$C37)-SUM($D37:D37),0)</f>
        <v>69.75</v>
      </c>
      <c r="F37" s="9">
        <f>IF((F$1*1)&lt;=MAX('DB Costi-Ore YtD'!$A:$A),SUMIFS('DB Costi-Ore YtD'!$F:$F,'DB Costi-Ore YtD'!$A:$A,F$1,'DB Costi-Ore YtD'!$B:$B,$A37,'DB Costi-Ore YtD'!$E:$E,$C37)-SUM($D37:E37),0)</f>
        <v>92.5</v>
      </c>
      <c r="G37" s="9">
        <f>IF((G$1*1)&lt;=MAX('DB Costi-Ore YtD'!$A:$A),SUMIFS('DB Costi-Ore YtD'!$F:$F,'DB Costi-Ore YtD'!$A:$A,G$1,'DB Costi-Ore YtD'!$B:$B,$A37,'DB Costi-Ore YtD'!$E:$E,$C37)-SUM($D37:F37),0)</f>
        <v>94</v>
      </c>
      <c r="H37" s="9">
        <f>IF((H$1*1)&lt;=MAX('DB Costi-Ore YtD'!$A:$A),SUMIFS('DB Costi-Ore YtD'!$F:$F,'DB Costi-Ore YtD'!$A:$A,H$1,'DB Costi-Ore YtD'!$B:$B,$A37,'DB Costi-Ore YtD'!$E:$E,$C37)-SUM($D37:G37),0)</f>
        <v>112.25</v>
      </c>
      <c r="I37" s="9">
        <f>IF((I$1*1)&lt;=MAX('DB Costi-Ore YtD'!$A:$A),SUMIFS('DB Costi-Ore YtD'!$F:$F,'DB Costi-Ore YtD'!$A:$A,I$1,'DB Costi-Ore YtD'!$B:$B,$A37,'DB Costi-Ore YtD'!$E:$E,$C37)-SUM($D37:H37),0)</f>
        <v>78.5</v>
      </c>
      <c r="J37" s="9">
        <f>IF((J$1*1)&lt;=MAX('DB Costi-Ore YtD'!$A:$A),SUMIFS('DB Costi-Ore YtD'!$F:$F,'DB Costi-Ore YtD'!$A:$A,J$1,'DB Costi-Ore YtD'!$B:$B,$A37,'DB Costi-Ore YtD'!$E:$E,$C37)-SUM($D37:I37),0)</f>
        <v>0</v>
      </c>
      <c r="K37" s="9">
        <f>IF((K$1*1)&lt;=MAX('DB Costi-Ore YtD'!$A:$A),SUMIFS('DB Costi-Ore YtD'!$F:$F,'DB Costi-Ore YtD'!$A:$A,K$1,'DB Costi-Ore YtD'!$B:$B,$A37,'DB Costi-Ore YtD'!$E:$E,$C37)-SUM($D37:J37),0)</f>
        <v>0</v>
      </c>
      <c r="L37" s="9">
        <f>IF((L$1*1)&lt;=MAX('DB Costi-Ore YtD'!$A:$A),SUMIFS('DB Costi-Ore YtD'!$F:$F,'DB Costi-Ore YtD'!$A:$A,L$1,'DB Costi-Ore YtD'!$B:$B,$A37,'DB Costi-Ore YtD'!$E:$E,$C37)-SUM($D37:K37),0)</f>
        <v>0</v>
      </c>
      <c r="M37" s="9">
        <f>IF((M$1*1)&lt;=MAX('DB Costi-Ore YtD'!$A:$A),SUMIFS('DB Costi-Ore YtD'!$F:$F,'DB Costi-Ore YtD'!$A:$A,M$1,'DB Costi-Ore YtD'!$B:$B,$A37,'DB Costi-Ore YtD'!$E:$E,$C37)-SUM($D37:L37),0)</f>
        <v>0</v>
      </c>
      <c r="N37" s="9">
        <f>IF((N$1*1)&lt;=MAX('DB Costi-Ore YtD'!$A:$A),SUMIFS('DB Costi-Ore YtD'!$F:$F,'DB Costi-Ore YtD'!$A:$A,N$1,'DB Costi-Ore YtD'!$B:$B,$A37,'DB Costi-Ore YtD'!$E:$E,$C37)-SUM($D37:M37),0)</f>
        <v>0</v>
      </c>
      <c r="O37" s="9">
        <f>IF((O$1*1)&lt;=MAX('DB Costi-Ore YtD'!$A:$A),SUMIFS('DB Costi-Ore YtD'!$F:$F,'DB Costi-Ore YtD'!$A:$A,O$1,'DB Costi-Ore YtD'!$B:$B,$A37,'DB Costi-Ore YtD'!$E:$E,$C37)-SUM($D37:N37),0)</f>
        <v>0</v>
      </c>
    </row>
    <row r="38" spans="1:15" x14ac:dyDescent="0.3">
      <c r="A38" s="9" t="s">
        <v>101</v>
      </c>
      <c r="B38" s="9" t="s">
        <v>102</v>
      </c>
      <c r="C38" s="9" t="s">
        <v>13</v>
      </c>
      <c r="D38" s="9">
        <f>IF((D$1*1)&lt;=MAX('DB Costi-Ore YtD'!$A:$A),SUMIFS('DB Costi-Ore YtD'!$F:$F,'DB Costi-Ore YtD'!$A:$A,D$1,'DB Costi-Ore YtD'!$B:$B,$A38,'DB Costi-Ore YtD'!$E:$E,$C38),0)</f>
        <v>47.75</v>
      </c>
      <c r="E38" s="9">
        <f>IF((E$1*1)&lt;=MAX('DB Costi-Ore YtD'!$A:$A),SUMIFS('DB Costi-Ore YtD'!$F:$F,'DB Costi-Ore YtD'!$A:$A,E$1,'DB Costi-Ore YtD'!$B:$B,$A38,'DB Costi-Ore YtD'!$E:$E,$C38)-SUM($D38:D38),0)</f>
        <v>95.5</v>
      </c>
      <c r="F38" s="9">
        <f>IF((F$1*1)&lt;=MAX('DB Costi-Ore YtD'!$A:$A),SUMIFS('DB Costi-Ore YtD'!$F:$F,'DB Costi-Ore YtD'!$A:$A,F$1,'DB Costi-Ore YtD'!$B:$B,$A38,'DB Costi-Ore YtD'!$E:$E,$C38)-SUM($D38:E38),0)</f>
        <v>100.75</v>
      </c>
      <c r="G38" s="9">
        <f>IF((G$1*1)&lt;=MAX('DB Costi-Ore YtD'!$A:$A),SUMIFS('DB Costi-Ore YtD'!$F:$F,'DB Costi-Ore YtD'!$A:$A,G$1,'DB Costi-Ore YtD'!$B:$B,$A38,'DB Costi-Ore YtD'!$E:$E,$C38)-SUM($D38:F38),0)</f>
        <v>100.25</v>
      </c>
      <c r="H38" s="9">
        <f>IF((H$1*1)&lt;=MAX('DB Costi-Ore YtD'!$A:$A),SUMIFS('DB Costi-Ore YtD'!$F:$F,'DB Costi-Ore YtD'!$A:$A,H$1,'DB Costi-Ore YtD'!$B:$B,$A38,'DB Costi-Ore YtD'!$E:$E,$C38)-SUM($D38:G38),0)</f>
        <v>113</v>
      </c>
      <c r="I38" s="9">
        <f>IF((I$1*1)&lt;=MAX('DB Costi-Ore YtD'!$A:$A),SUMIFS('DB Costi-Ore YtD'!$F:$F,'DB Costi-Ore YtD'!$A:$A,I$1,'DB Costi-Ore YtD'!$B:$B,$A38,'DB Costi-Ore YtD'!$E:$E,$C38)-SUM($D38:H38),0)</f>
        <v>100.25</v>
      </c>
      <c r="J38" s="9">
        <f>IF((J$1*1)&lt;=MAX('DB Costi-Ore YtD'!$A:$A),SUMIFS('DB Costi-Ore YtD'!$F:$F,'DB Costi-Ore YtD'!$A:$A,J$1,'DB Costi-Ore YtD'!$B:$B,$A38,'DB Costi-Ore YtD'!$E:$E,$C38)-SUM($D38:I38),0)</f>
        <v>0</v>
      </c>
      <c r="K38" s="9">
        <f>IF((K$1*1)&lt;=MAX('DB Costi-Ore YtD'!$A:$A),SUMIFS('DB Costi-Ore YtD'!$F:$F,'DB Costi-Ore YtD'!$A:$A,K$1,'DB Costi-Ore YtD'!$B:$B,$A38,'DB Costi-Ore YtD'!$E:$E,$C38)-SUM($D38:J38),0)</f>
        <v>0</v>
      </c>
      <c r="L38" s="9">
        <f>IF((L$1*1)&lt;=MAX('DB Costi-Ore YtD'!$A:$A),SUMIFS('DB Costi-Ore YtD'!$F:$F,'DB Costi-Ore YtD'!$A:$A,L$1,'DB Costi-Ore YtD'!$B:$B,$A38,'DB Costi-Ore YtD'!$E:$E,$C38)-SUM($D38:K38),0)</f>
        <v>0</v>
      </c>
      <c r="M38" s="9">
        <f>IF((M$1*1)&lt;=MAX('DB Costi-Ore YtD'!$A:$A),SUMIFS('DB Costi-Ore YtD'!$F:$F,'DB Costi-Ore YtD'!$A:$A,M$1,'DB Costi-Ore YtD'!$B:$B,$A38,'DB Costi-Ore YtD'!$E:$E,$C38)-SUM($D38:L38),0)</f>
        <v>0</v>
      </c>
      <c r="N38" s="9">
        <f>IF((N$1*1)&lt;=MAX('DB Costi-Ore YtD'!$A:$A),SUMIFS('DB Costi-Ore YtD'!$F:$F,'DB Costi-Ore YtD'!$A:$A,N$1,'DB Costi-Ore YtD'!$B:$B,$A38,'DB Costi-Ore YtD'!$E:$E,$C38)-SUM($D38:M38),0)</f>
        <v>0</v>
      </c>
      <c r="O38" s="9">
        <f>IF((O$1*1)&lt;=MAX('DB Costi-Ore YtD'!$A:$A),SUMIFS('DB Costi-Ore YtD'!$F:$F,'DB Costi-Ore YtD'!$A:$A,O$1,'DB Costi-Ore YtD'!$B:$B,$A38,'DB Costi-Ore YtD'!$E:$E,$C38)-SUM($D38:N38),0)</f>
        <v>0</v>
      </c>
    </row>
    <row r="39" spans="1:15" x14ac:dyDescent="0.3">
      <c r="A39" s="9" t="s">
        <v>103</v>
      </c>
      <c r="B39" s="9" t="s">
        <v>104</v>
      </c>
      <c r="C39" s="9" t="s">
        <v>2</v>
      </c>
      <c r="D39" s="9">
        <f>IF((D$1*1)&lt;=MAX('DB Costi-Ore YtD'!$A:$A),SUMIFS('DB Costi-Ore YtD'!$F:$F,'DB Costi-Ore YtD'!$A:$A,D$1,'DB Costi-Ore YtD'!$B:$B,$A39,'DB Costi-Ore YtD'!$E:$E,$C39),0)</f>
        <v>21</v>
      </c>
      <c r="E39" s="9">
        <f>IF((E$1*1)&lt;=MAX('DB Costi-Ore YtD'!$A:$A),SUMIFS('DB Costi-Ore YtD'!$F:$F,'DB Costi-Ore YtD'!$A:$A,E$1,'DB Costi-Ore YtD'!$B:$B,$A39,'DB Costi-Ore YtD'!$E:$E,$C39)-SUM($D39:D39),0)</f>
        <v>84</v>
      </c>
      <c r="F39" s="9">
        <f>IF((F$1*1)&lt;=MAX('DB Costi-Ore YtD'!$A:$A),SUMIFS('DB Costi-Ore YtD'!$F:$F,'DB Costi-Ore YtD'!$A:$A,F$1,'DB Costi-Ore YtD'!$B:$B,$A39,'DB Costi-Ore YtD'!$E:$E,$C39)-SUM($D39:E39),0)</f>
        <v>84</v>
      </c>
      <c r="G39" s="9">
        <f>IF((G$1*1)&lt;=MAX('DB Costi-Ore YtD'!$A:$A),SUMIFS('DB Costi-Ore YtD'!$F:$F,'DB Costi-Ore YtD'!$A:$A,G$1,'DB Costi-Ore YtD'!$B:$B,$A39,'DB Costi-Ore YtD'!$E:$E,$C39)-SUM($D39:F39),0)</f>
        <v>72.75</v>
      </c>
      <c r="H39" s="9">
        <f>IF((H$1*1)&lt;=MAX('DB Costi-Ore YtD'!$A:$A),SUMIFS('DB Costi-Ore YtD'!$F:$F,'DB Costi-Ore YtD'!$A:$A,H$1,'DB Costi-Ore YtD'!$B:$B,$A39,'DB Costi-Ore YtD'!$E:$E,$C39)-SUM($D39:G39),0)</f>
        <v>-261.75</v>
      </c>
      <c r="I39" s="9">
        <f>IF((I$1*1)&lt;=MAX('DB Costi-Ore YtD'!$A:$A),SUMIFS('DB Costi-Ore YtD'!$F:$F,'DB Costi-Ore YtD'!$A:$A,I$1,'DB Costi-Ore YtD'!$B:$B,$A39,'DB Costi-Ore YtD'!$E:$E,$C39)-SUM($D39:H39),0)</f>
        <v>0</v>
      </c>
      <c r="J39" s="9">
        <f>IF((J$1*1)&lt;=MAX('DB Costi-Ore YtD'!$A:$A),SUMIFS('DB Costi-Ore YtD'!$F:$F,'DB Costi-Ore YtD'!$A:$A,J$1,'DB Costi-Ore YtD'!$B:$B,$A39,'DB Costi-Ore YtD'!$E:$E,$C39)-SUM($D39:I39),0)</f>
        <v>0</v>
      </c>
      <c r="K39" s="9">
        <f>IF((K$1*1)&lt;=MAX('DB Costi-Ore YtD'!$A:$A),SUMIFS('DB Costi-Ore YtD'!$F:$F,'DB Costi-Ore YtD'!$A:$A,K$1,'DB Costi-Ore YtD'!$B:$B,$A39,'DB Costi-Ore YtD'!$E:$E,$C39)-SUM($D39:J39),0)</f>
        <v>0</v>
      </c>
      <c r="L39" s="9">
        <f>IF((L$1*1)&lt;=MAX('DB Costi-Ore YtD'!$A:$A),SUMIFS('DB Costi-Ore YtD'!$F:$F,'DB Costi-Ore YtD'!$A:$A,L$1,'DB Costi-Ore YtD'!$B:$B,$A39,'DB Costi-Ore YtD'!$E:$E,$C39)-SUM($D39:K39),0)</f>
        <v>0</v>
      </c>
      <c r="M39" s="9">
        <f>IF((M$1*1)&lt;=MAX('DB Costi-Ore YtD'!$A:$A),SUMIFS('DB Costi-Ore YtD'!$F:$F,'DB Costi-Ore YtD'!$A:$A,M$1,'DB Costi-Ore YtD'!$B:$B,$A39,'DB Costi-Ore YtD'!$E:$E,$C39)-SUM($D39:L39),0)</f>
        <v>0</v>
      </c>
      <c r="N39" s="9">
        <f>IF((N$1*1)&lt;=MAX('DB Costi-Ore YtD'!$A:$A),SUMIFS('DB Costi-Ore YtD'!$F:$F,'DB Costi-Ore YtD'!$A:$A,N$1,'DB Costi-Ore YtD'!$B:$B,$A39,'DB Costi-Ore YtD'!$E:$E,$C39)-SUM($D39:M39),0)</f>
        <v>0</v>
      </c>
      <c r="O39" s="9">
        <f>IF((O$1*1)&lt;=MAX('DB Costi-Ore YtD'!$A:$A),SUMIFS('DB Costi-Ore YtD'!$F:$F,'DB Costi-Ore YtD'!$A:$A,O$1,'DB Costi-Ore YtD'!$B:$B,$A39,'DB Costi-Ore YtD'!$E:$E,$C39)-SUM($D39:N39),0)</f>
        <v>0</v>
      </c>
    </row>
    <row r="40" spans="1:15" x14ac:dyDescent="0.3">
      <c r="A40" s="9" t="s">
        <v>105</v>
      </c>
      <c r="B40" s="9" t="s">
        <v>106</v>
      </c>
      <c r="C40" s="9" t="s">
        <v>2</v>
      </c>
      <c r="D40" s="9">
        <f>IF((D$1*1)&lt;=MAX('DB Costi-Ore YtD'!$A:$A),SUMIFS('DB Costi-Ore YtD'!$F:$F,'DB Costi-Ore YtD'!$A:$A,D$1,'DB Costi-Ore YtD'!$B:$B,$A40,'DB Costi-Ore YtD'!$E:$E,$C40),0)</f>
        <v>136.5</v>
      </c>
      <c r="E40" s="9">
        <f>IF((E$1*1)&lt;=MAX('DB Costi-Ore YtD'!$A:$A),SUMIFS('DB Costi-Ore YtD'!$F:$F,'DB Costi-Ore YtD'!$A:$A,E$1,'DB Costi-Ore YtD'!$B:$B,$A40,'DB Costi-Ore YtD'!$E:$E,$C40)-SUM($D40:D40),0)</f>
        <v>136.5</v>
      </c>
      <c r="F40" s="9">
        <f>IF((F$1*1)&lt;=MAX('DB Costi-Ore YtD'!$A:$A),SUMIFS('DB Costi-Ore YtD'!$F:$F,'DB Costi-Ore YtD'!$A:$A,F$1,'DB Costi-Ore YtD'!$B:$B,$A40,'DB Costi-Ore YtD'!$E:$E,$C40)-SUM($D40:E40),0)</f>
        <v>148.75</v>
      </c>
      <c r="G40" s="9">
        <f>IF((G$1*1)&lt;=MAX('DB Costi-Ore YtD'!$A:$A),SUMIFS('DB Costi-Ore YtD'!$F:$F,'DB Costi-Ore YtD'!$A:$A,G$1,'DB Costi-Ore YtD'!$B:$B,$A40,'DB Costi-Ore YtD'!$E:$E,$C40)-SUM($D40:F40),0)</f>
        <v>136</v>
      </c>
      <c r="H40" s="9">
        <f>IF((H$1*1)&lt;=MAX('DB Costi-Ore YtD'!$A:$A),SUMIFS('DB Costi-Ore YtD'!$F:$F,'DB Costi-Ore YtD'!$A:$A,H$1,'DB Costi-Ore YtD'!$B:$B,$A40,'DB Costi-Ore YtD'!$E:$E,$C40)-SUM($D40:G40),0)</f>
        <v>134</v>
      </c>
      <c r="I40" s="9">
        <f>IF((I$1*1)&lt;=MAX('DB Costi-Ore YtD'!$A:$A),SUMIFS('DB Costi-Ore YtD'!$F:$F,'DB Costi-Ore YtD'!$A:$A,I$1,'DB Costi-Ore YtD'!$B:$B,$A40,'DB Costi-Ore YtD'!$E:$E,$C40)-SUM($D40:H40),0)</f>
        <v>144.5</v>
      </c>
      <c r="J40" s="9">
        <f>IF((J$1*1)&lt;=MAX('DB Costi-Ore YtD'!$A:$A),SUMIFS('DB Costi-Ore YtD'!$F:$F,'DB Costi-Ore YtD'!$A:$A,J$1,'DB Costi-Ore YtD'!$B:$B,$A40,'DB Costi-Ore YtD'!$E:$E,$C40)-SUM($D40:I40),0)</f>
        <v>0</v>
      </c>
      <c r="K40" s="9">
        <f>IF((K$1*1)&lt;=MAX('DB Costi-Ore YtD'!$A:$A),SUMIFS('DB Costi-Ore YtD'!$F:$F,'DB Costi-Ore YtD'!$A:$A,K$1,'DB Costi-Ore YtD'!$B:$B,$A40,'DB Costi-Ore YtD'!$E:$E,$C40)-SUM($D40:J40),0)</f>
        <v>0</v>
      </c>
      <c r="L40" s="9">
        <f>IF((L$1*1)&lt;=MAX('DB Costi-Ore YtD'!$A:$A),SUMIFS('DB Costi-Ore YtD'!$F:$F,'DB Costi-Ore YtD'!$A:$A,L$1,'DB Costi-Ore YtD'!$B:$B,$A40,'DB Costi-Ore YtD'!$E:$E,$C40)-SUM($D40:K40),0)</f>
        <v>0</v>
      </c>
      <c r="M40" s="9">
        <f>IF((M$1*1)&lt;=MAX('DB Costi-Ore YtD'!$A:$A),SUMIFS('DB Costi-Ore YtD'!$F:$F,'DB Costi-Ore YtD'!$A:$A,M$1,'DB Costi-Ore YtD'!$B:$B,$A40,'DB Costi-Ore YtD'!$E:$E,$C40)-SUM($D40:L40),0)</f>
        <v>0</v>
      </c>
      <c r="N40" s="9">
        <f>IF((N$1*1)&lt;=MAX('DB Costi-Ore YtD'!$A:$A),SUMIFS('DB Costi-Ore YtD'!$F:$F,'DB Costi-Ore YtD'!$A:$A,N$1,'DB Costi-Ore YtD'!$B:$B,$A40,'DB Costi-Ore YtD'!$E:$E,$C40)-SUM($D40:M40),0)</f>
        <v>0</v>
      </c>
      <c r="O40" s="9">
        <f>IF((O$1*1)&lt;=MAX('DB Costi-Ore YtD'!$A:$A),SUMIFS('DB Costi-Ore YtD'!$F:$F,'DB Costi-Ore YtD'!$A:$A,O$1,'DB Costi-Ore YtD'!$B:$B,$A40,'DB Costi-Ore YtD'!$E:$E,$C40)-SUM($D40:N40),0)</f>
        <v>0</v>
      </c>
    </row>
    <row r="41" spans="1:15" x14ac:dyDescent="0.3">
      <c r="A41" s="9" t="s">
        <v>107</v>
      </c>
      <c r="B41" s="9" t="s">
        <v>108</v>
      </c>
      <c r="C41" s="9" t="s">
        <v>2</v>
      </c>
      <c r="D41" s="9">
        <f>IF((D$1*1)&lt;=MAX('DB Costi-Ore YtD'!$A:$A),SUMIFS('DB Costi-Ore YtD'!$F:$F,'DB Costi-Ore YtD'!$A:$A,D$1,'DB Costi-Ore YtD'!$B:$B,$A41,'DB Costi-Ore YtD'!$E:$E,$C41),0)</f>
        <v>71</v>
      </c>
      <c r="E41" s="9">
        <f>IF((E$1*1)&lt;=MAX('DB Costi-Ore YtD'!$A:$A),SUMIFS('DB Costi-Ore YtD'!$F:$F,'DB Costi-Ore YtD'!$A:$A,E$1,'DB Costi-Ore YtD'!$B:$B,$A41,'DB Costi-Ore YtD'!$E:$E,$C41)-SUM($D41:D41),0)</f>
        <v>34</v>
      </c>
      <c r="F41" s="9">
        <f>IF((F$1*1)&lt;=MAX('DB Costi-Ore YtD'!$A:$A),SUMIFS('DB Costi-Ore YtD'!$F:$F,'DB Costi-Ore YtD'!$A:$A,F$1,'DB Costi-Ore YtD'!$B:$B,$A41,'DB Costi-Ore YtD'!$E:$E,$C41)-SUM($D41:E41),0)</f>
        <v>75.75</v>
      </c>
      <c r="G41" s="9">
        <f>IF((G$1*1)&lt;=MAX('DB Costi-Ore YtD'!$A:$A),SUMIFS('DB Costi-Ore YtD'!$F:$F,'DB Costi-Ore YtD'!$A:$A,G$1,'DB Costi-Ore YtD'!$B:$B,$A41,'DB Costi-Ore YtD'!$E:$E,$C41)-SUM($D41:F41),0)</f>
        <v>105.75</v>
      </c>
      <c r="H41" s="9">
        <f>IF((H$1*1)&lt;=MAX('DB Costi-Ore YtD'!$A:$A),SUMIFS('DB Costi-Ore YtD'!$F:$F,'DB Costi-Ore YtD'!$A:$A,H$1,'DB Costi-Ore YtD'!$B:$B,$A41,'DB Costi-Ore YtD'!$E:$E,$C41)-SUM($D41:G41),0)</f>
        <v>97</v>
      </c>
      <c r="I41" s="9">
        <f>IF((I$1*1)&lt;=MAX('DB Costi-Ore YtD'!$A:$A),SUMIFS('DB Costi-Ore YtD'!$F:$F,'DB Costi-Ore YtD'!$A:$A,I$1,'DB Costi-Ore YtD'!$B:$B,$A41,'DB Costi-Ore YtD'!$E:$E,$C41)-SUM($D41:H41),0)</f>
        <v>98</v>
      </c>
      <c r="J41" s="9">
        <f>IF((J$1*1)&lt;=MAX('DB Costi-Ore YtD'!$A:$A),SUMIFS('DB Costi-Ore YtD'!$F:$F,'DB Costi-Ore YtD'!$A:$A,J$1,'DB Costi-Ore YtD'!$B:$B,$A41,'DB Costi-Ore YtD'!$E:$E,$C41)-SUM($D41:I41),0)</f>
        <v>0</v>
      </c>
      <c r="K41" s="9">
        <f>IF((K$1*1)&lt;=MAX('DB Costi-Ore YtD'!$A:$A),SUMIFS('DB Costi-Ore YtD'!$F:$F,'DB Costi-Ore YtD'!$A:$A,K$1,'DB Costi-Ore YtD'!$B:$B,$A41,'DB Costi-Ore YtD'!$E:$E,$C41)-SUM($D41:J41),0)</f>
        <v>0</v>
      </c>
      <c r="L41" s="9">
        <f>IF((L$1*1)&lt;=MAX('DB Costi-Ore YtD'!$A:$A),SUMIFS('DB Costi-Ore YtD'!$F:$F,'DB Costi-Ore YtD'!$A:$A,L$1,'DB Costi-Ore YtD'!$B:$B,$A41,'DB Costi-Ore YtD'!$E:$E,$C41)-SUM($D41:K41),0)</f>
        <v>0</v>
      </c>
      <c r="M41" s="9">
        <f>IF((M$1*1)&lt;=MAX('DB Costi-Ore YtD'!$A:$A),SUMIFS('DB Costi-Ore YtD'!$F:$F,'DB Costi-Ore YtD'!$A:$A,M$1,'DB Costi-Ore YtD'!$B:$B,$A41,'DB Costi-Ore YtD'!$E:$E,$C41)-SUM($D41:L41),0)</f>
        <v>0</v>
      </c>
      <c r="N41" s="9">
        <f>IF((N$1*1)&lt;=MAX('DB Costi-Ore YtD'!$A:$A),SUMIFS('DB Costi-Ore YtD'!$F:$F,'DB Costi-Ore YtD'!$A:$A,N$1,'DB Costi-Ore YtD'!$B:$B,$A41,'DB Costi-Ore YtD'!$E:$E,$C41)-SUM($D41:M41),0)</f>
        <v>0</v>
      </c>
      <c r="O41" s="9">
        <f>IF((O$1*1)&lt;=MAX('DB Costi-Ore YtD'!$A:$A),SUMIFS('DB Costi-Ore YtD'!$F:$F,'DB Costi-Ore YtD'!$A:$A,O$1,'DB Costi-Ore YtD'!$B:$B,$A41,'DB Costi-Ore YtD'!$E:$E,$C41)-SUM($D41:N41),0)</f>
        <v>0</v>
      </c>
    </row>
    <row r="42" spans="1:15" x14ac:dyDescent="0.3">
      <c r="A42" s="9" t="s">
        <v>109</v>
      </c>
      <c r="B42" s="9" t="s">
        <v>110</v>
      </c>
      <c r="C42" s="9" t="s">
        <v>6</v>
      </c>
      <c r="D42" s="9">
        <f>IF((D$1*1)&lt;=MAX('DB Costi-Ore YtD'!$A:$A),SUMIFS('DB Costi-Ore YtD'!$F:$F,'DB Costi-Ore YtD'!$A:$A,D$1,'DB Costi-Ore YtD'!$B:$B,$A42,'DB Costi-Ore YtD'!$E:$E,$C42),0)</f>
        <v>142.75</v>
      </c>
      <c r="E42" s="9">
        <f>IF((E$1*1)&lt;=MAX('DB Costi-Ore YtD'!$A:$A),SUMIFS('DB Costi-Ore YtD'!$F:$F,'DB Costi-Ore YtD'!$A:$A,E$1,'DB Costi-Ore YtD'!$B:$B,$A42,'DB Costi-Ore YtD'!$E:$E,$C42)-SUM($D42:D42),0)</f>
        <v>120</v>
      </c>
      <c r="F42" s="9">
        <f>IF((F$1*1)&lt;=MAX('DB Costi-Ore YtD'!$A:$A),SUMIFS('DB Costi-Ore YtD'!$F:$F,'DB Costi-Ore YtD'!$A:$A,F$1,'DB Costi-Ore YtD'!$B:$B,$A42,'DB Costi-Ore YtD'!$E:$E,$C42)-SUM($D42:E42),0)</f>
        <v>159.25</v>
      </c>
      <c r="G42" s="9">
        <f>IF((G$1*1)&lt;=MAX('DB Costi-Ore YtD'!$A:$A),SUMIFS('DB Costi-Ore YtD'!$F:$F,'DB Costi-Ore YtD'!$A:$A,G$1,'DB Costi-Ore YtD'!$B:$B,$A42,'DB Costi-Ore YtD'!$E:$E,$C42)-SUM($D42:F42),0)</f>
        <v>151.5</v>
      </c>
      <c r="H42" s="9">
        <f>IF((H$1*1)&lt;=MAX('DB Costi-Ore YtD'!$A:$A),SUMIFS('DB Costi-Ore YtD'!$F:$F,'DB Costi-Ore YtD'!$A:$A,H$1,'DB Costi-Ore YtD'!$B:$B,$A42,'DB Costi-Ore YtD'!$E:$E,$C42)-SUM($D42:G42),0)</f>
        <v>144.5</v>
      </c>
      <c r="I42" s="9">
        <f>IF((I$1*1)&lt;=MAX('DB Costi-Ore YtD'!$A:$A),SUMIFS('DB Costi-Ore YtD'!$F:$F,'DB Costi-Ore YtD'!$A:$A,I$1,'DB Costi-Ore YtD'!$B:$B,$A42,'DB Costi-Ore YtD'!$E:$E,$C42)-SUM($D42:H42),0)</f>
        <v>113</v>
      </c>
      <c r="J42" s="9">
        <f>IF((J$1*1)&lt;=MAX('DB Costi-Ore YtD'!$A:$A),SUMIFS('DB Costi-Ore YtD'!$F:$F,'DB Costi-Ore YtD'!$A:$A,J$1,'DB Costi-Ore YtD'!$B:$B,$A42,'DB Costi-Ore YtD'!$E:$E,$C42)-SUM($D42:I42),0)</f>
        <v>0</v>
      </c>
      <c r="K42" s="9">
        <f>IF((K$1*1)&lt;=MAX('DB Costi-Ore YtD'!$A:$A),SUMIFS('DB Costi-Ore YtD'!$F:$F,'DB Costi-Ore YtD'!$A:$A,K$1,'DB Costi-Ore YtD'!$B:$B,$A42,'DB Costi-Ore YtD'!$E:$E,$C42)-SUM($D42:J42),0)</f>
        <v>0</v>
      </c>
      <c r="L42" s="9">
        <f>IF((L$1*1)&lt;=MAX('DB Costi-Ore YtD'!$A:$A),SUMIFS('DB Costi-Ore YtD'!$F:$F,'DB Costi-Ore YtD'!$A:$A,L$1,'DB Costi-Ore YtD'!$B:$B,$A42,'DB Costi-Ore YtD'!$E:$E,$C42)-SUM($D42:K42),0)</f>
        <v>0</v>
      </c>
      <c r="M42" s="9">
        <f>IF((M$1*1)&lt;=MAX('DB Costi-Ore YtD'!$A:$A),SUMIFS('DB Costi-Ore YtD'!$F:$F,'DB Costi-Ore YtD'!$A:$A,M$1,'DB Costi-Ore YtD'!$B:$B,$A42,'DB Costi-Ore YtD'!$E:$E,$C42)-SUM($D42:L42),0)</f>
        <v>0</v>
      </c>
      <c r="N42" s="9">
        <f>IF((N$1*1)&lt;=MAX('DB Costi-Ore YtD'!$A:$A),SUMIFS('DB Costi-Ore YtD'!$F:$F,'DB Costi-Ore YtD'!$A:$A,N$1,'DB Costi-Ore YtD'!$B:$B,$A42,'DB Costi-Ore YtD'!$E:$E,$C42)-SUM($D42:M42),0)</f>
        <v>0</v>
      </c>
      <c r="O42" s="9">
        <f>IF((O$1*1)&lt;=MAX('DB Costi-Ore YtD'!$A:$A),SUMIFS('DB Costi-Ore YtD'!$F:$F,'DB Costi-Ore YtD'!$A:$A,O$1,'DB Costi-Ore YtD'!$B:$B,$A42,'DB Costi-Ore YtD'!$E:$E,$C42)-SUM($D42:N42),0)</f>
        <v>0</v>
      </c>
    </row>
    <row r="43" spans="1:15" x14ac:dyDescent="0.3">
      <c r="A43" s="9" t="s">
        <v>111</v>
      </c>
      <c r="B43" s="9" t="s">
        <v>112</v>
      </c>
      <c r="C43" s="9" t="s">
        <v>14</v>
      </c>
      <c r="D43" s="9">
        <f>IF((D$1*1)&lt;=MAX('DB Costi-Ore YtD'!$A:$A),SUMIFS('DB Costi-Ore YtD'!$F:$F,'DB Costi-Ore YtD'!$A:$A,D$1,'DB Costi-Ore YtD'!$B:$B,$A43,'DB Costi-Ore YtD'!$E:$E,$C43),0)</f>
        <v>144</v>
      </c>
      <c r="E43" s="9">
        <f>IF((E$1*1)&lt;=MAX('DB Costi-Ore YtD'!$A:$A),SUMIFS('DB Costi-Ore YtD'!$F:$F,'DB Costi-Ore YtD'!$A:$A,E$1,'DB Costi-Ore YtD'!$B:$B,$A43,'DB Costi-Ore YtD'!$E:$E,$C43)-SUM($D43:D43),0)</f>
        <v>152</v>
      </c>
      <c r="F43" s="9">
        <f>IF((F$1*1)&lt;=MAX('DB Costi-Ore YtD'!$A:$A),SUMIFS('DB Costi-Ore YtD'!$F:$F,'DB Costi-Ore YtD'!$A:$A,F$1,'DB Costi-Ore YtD'!$B:$B,$A43,'DB Costi-Ore YtD'!$E:$E,$C43)-SUM($D43:E43),0)</f>
        <v>160</v>
      </c>
      <c r="G43" s="9">
        <f>IF((G$1*1)&lt;=MAX('DB Costi-Ore YtD'!$A:$A),SUMIFS('DB Costi-Ore YtD'!$F:$F,'DB Costi-Ore YtD'!$A:$A,G$1,'DB Costi-Ore YtD'!$B:$B,$A43,'DB Costi-Ore YtD'!$E:$E,$C43)-SUM($D43:F43),0)</f>
        <v>136.5</v>
      </c>
      <c r="H43" s="9">
        <f>IF((H$1*1)&lt;=MAX('DB Costi-Ore YtD'!$A:$A),SUMIFS('DB Costi-Ore YtD'!$F:$F,'DB Costi-Ore YtD'!$A:$A,H$1,'DB Costi-Ore YtD'!$B:$B,$A43,'DB Costi-Ore YtD'!$E:$E,$C43)-SUM($D43:G43),0)</f>
        <v>159.5</v>
      </c>
      <c r="I43" s="9">
        <f>IF((I$1*1)&lt;=MAX('DB Costi-Ore YtD'!$A:$A),SUMIFS('DB Costi-Ore YtD'!$F:$F,'DB Costi-Ore YtD'!$A:$A,I$1,'DB Costi-Ore YtD'!$B:$B,$A43,'DB Costi-Ore YtD'!$E:$E,$C43)-SUM($D43:H43),0)</f>
        <v>152</v>
      </c>
      <c r="J43" s="9">
        <f>IF((J$1*1)&lt;=MAX('DB Costi-Ore YtD'!$A:$A),SUMIFS('DB Costi-Ore YtD'!$F:$F,'DB Costi-Ore YtD'!$A:$A,J$1,'DB Costi-Ore YtD'!$B:$B,$A43,'DB Costi-Ore YtD'!$E:$E,$C43)-SUM($D43:I43),0)</f>
        <v>0</v>
      </c>
      <c r="K43" s="9">
        <f>IF((K$1*1)&lt;=MAX('DB Costi-Ore YtD'!$A:$A),SUMIFS('DB Costi-Ore YtD'!$F:$F,'DB Costi-Ore YtD'!$A:$A,K$1,'DB Costi-Ore YtD'!$B:$B,$A43,'DB Costi-Ore YtD'!$E:$E,$C43)-SUM($D43:J43),0)</f>
        <v>0</v>
      </c>
      <c r="L43" s="9">
        <f>IF((L$1*1)&lt;=MAX('DB Costi-Ore YtD'!$A:$A),SUMIFS('DB Costi-Ore YtD'!$F:$F,'DB Costi-Ore YtD'!$A:$A,L$1,'DB Costi-Ore YtD'!$B:$B,$A43,'DB Costi-Ore YtD'!$E:$E,$C43)-SUM($D43:K43),0)</f>
        <v>0</v>
      </c>
      <c r="M43" s="9">
        <f>IF((M$1*1)&lt;=MAX('DB Costi-Ore YtD'!$A:$A),SUMIFS('DB Costi-Ore YtD'!$F:$F,'DB Costi-Ore YtD'!$A:$A,M$1,'DB Costi-Ore YtD'!$B:$B,$A43,'DB Costi-Ore YtD'!$E:$E,$C43)-SUM($D43:L43),0)</f>
        <v>0</v>
      </c>
      <c r="N43" s="9">
        <f>IF((N$1*1)&lt;=MAX('DB Costi-Ore YtD'!$A:$A),SUMIFS('DB Costi-Ore YtD'!$F:$F,'DB Costi-Ore YtD'!$A:$A,N$1,'DB Costi-Ore YtD'!$B:$B,$A43,'DB Costi-Ore YtD'!$E:$E,$C43)-SUM($D43:M43),0)</f>
        <v>0</v>
      </c>
      <c r="O43" s="9">
        <f>IF((O$1*1)&lt;=MAX('DB Costi-Ore YtD'!$A:$A),SUMIFS('DB Costi-Ore YtD'!$F:$F,'DB Costi-Ore YtD'!$A:$A,O$1,'DB Costi-Ore YtD'!$B:$B,$A43,'DB Costi-Ore YtD'!$E:$E,$C43)-SUM($D43:N43),0)</f>
        <v>0</v>
      </c>
    </row>
    <row r="44" spans="1:15" x14ac:dyDescent="0.3">
      <c r="A44" s="9" t="s">
        <v>113</v>
      </c>
      <c r="B44" s="9" t="s">
        <v>114</v>
      </c>
      <c r="C44" s="9" t="s">
        <v>3</v>
      </c>
      <c r="D44" s="9">
        <f>IF((D$1*1)&lt;=MAX('DB Costi-Ore YtD'!$A:$A),SUMIFS('DB Costi-Ore YtD'!$F:$F,'DB Costi-Ore YtD'!$A:$A,D$1,'DB Costi-Ore YtD'!$B:$B,$A44,'DB Costi-Ore YtD'!$E:$E,$C44),0)</f>
        <v>108</v>
      </c>
      <c r="E44" s="9">
        <f>IF((E$1*1)&lt;=MAX('DB Costi-Ore YtD'!$A:$A),SUMIFS('DB Costi-Ore YtD'!$F:$F,'DB Costi-Ore YtD'!$A:$A,E$1,'DB Costi-Ore YtD'!$B:$B,$A44,'DB Costi-Ore YtD'!$E:$E,$C44)-SUM($D44:D44),0)</f>
        <v>119.5</v>
      </c>
      <c r="F44" s="9">
        <f>IF((F$1*1)&lt;=MAX('DB Costi-Ore YtD'!$A:$A),SUMIFS('DB Costi-Ore YtD'!$F:$F,'DB Costi-Ore YtD'!$A:$A,F$1,'DB Costi-Ore YtD'!$B:$B,$A44,'DB Costi-Ore YtD'!$E:$E,$C44)-SUM($D44:E44),0)</f>
        <v>117.75</v>
      </c>
      <c r="G44" s="9">
        <f>IF((G$1*1)&lt;=MAX('DB Costi-Ore YtD'!$A:$A),SUMIFS('DB Costi-Ore YtD'!$F:$F,'DB Costi-Ore YtD'!$A:$A,G$1,'DB Costi-Ore YtD'!$B:$B,$A44,'DB Costi-Ore YtD'!$E:$E,$C44)-SUM($D44:F44),0)</f>
        <v>113</v>
      </c>
      <c r="H44" s="9">
        <f>IF((H$1*1)&lt;=MAX('DB Costi-Ore YtD'!$A:$A),SUMIFS('DB Costi-Ore YtD'!$F:$F,'DB Costi-Ore YtD'!$A:$A,H$1,'DB Costi-Ore YtD'!$B:$B,$A44,'DB Costi-Ore YtD'!$E:$E,$C44)-SUM($D44:G44),0)</f>
        <v>108</v>
      </c>
      <c r="I44" s="9">
        <f>IF((I$1*1)&lt;=MAX('DB Costi-Ore YtD'!$A:$A),SUMIFS('DB Costi-Ore YtD'!$F:$F,'DB Costi-Ore YtD'!$A:$A,I$1,'DB Costi-Ore YtD'!$B:$B,$A44,'DB Costi-Ore YtD'!$E:$E,$C44)-SUM($D44:H44),0)</f>
        <v>114</v>
      </c>
      <c r="J44" s="9">
        <f>IF((J$1*1)&lt;=MAX('DB Costi-Ore YtD'!$A:$A),SUMIFS('DB Costi-Ore YtD'!$F:$F,'DB Costi-Ore YtD'!$A:$A,J$1,'DB Costi-Ore YtD'!$B:$B,$A44,'DB Costi-Ore YtD'!$E:$E,$C44)-SUM($D44:I44),0)</f>
        <v>0</v>
      </c>
      <c r="K44" s="9">
        <f>IF((K$1*1)&lt;=MAX('DB Costi-Ore YtD'!$A:$A),SUMIFS('DB Costi-Ore YtD'!$F:$F,'DB Costi-Ore YtD'!$A:$A,K$1,'DB Costi-Ore YtD'!$B:$B,$A44,'DB Costi-Ore YtD'!$E:$E,$C44)-SUM($D44:J44),0)</f>
        <v>0</v>
      </c>
      <c r="L44" s="9">
        <f>IF((L$1*1)&lt;=MAX('DB Costi-Ore YtD'!$A:$A),SUMIFS('DB Costi-Ore YtD'!$F:$F,'DB Costi-Ore YtD'!$A:$A,L$1,'DB Costi-Ore YtD'!$B:$B,$A44,'DB Costi-Ore YtD'!$E:$E,$C44)-SUM($D44:K44),0)</f>
        <v>0</v>
      </c>
      <c r="M44" s="9">
        <f>IF((M$1*1)&lt;=MAX('DB Costi-Ore YtD'!$A:$A),SUMIFS('DB Costi-Ore YtD'!$F:$F,'DB Costi-Ore YtD'!$A:$A,M$1,'DB Costi-Ore YtD'!$B:$B,$A44,'DB Costi-Ore YtD'!$E:$E,$C44)-SUM($D44:L44),0)</f>
        <v>0</v>
      </c>
      <c r="N44" s="9">
        <f>IF((N$1*1)&lt;=MAX('DB Costi-Ore YtD'!$A:$A),SUMIFS('DB Costi-Ore YtD'!$F:$F,'DB Costi-Ore YtD'!$A:$A,N$1,'DB Costi-Ore YtD'!$B:$B,$A44,'DB Costi-Ore YtD'!$E:$E,$C44)-SUM($D44:M44),0)</f>
        <v>0</v>
      </c>
      <c r="O44" s="9">
        <f>IF((O$1*1)&lt;=MAX('DB Costi-Ore YtD'!$A:$A),SUMIFS('DB Costi-Ore YtD'!$F:$F,'DB Costi-Ore YtD'!$A:$A,O$1,'DB Costi-Ore YtD'!$B:$B,$A44,'DB Costi-Ore YtD'!$E:$E,$C44)-SUM($D44:N44),0)</f>
        <v>0</v>
      </c>
    </row>
    <row r="45" spans="1:15" x14ac:dyDescent="0.3">
      <c r="A45" s="9" t="s">
        <v>115</v>
      </c>
      <c r="B45" s="9" t="s">
        <v>116</v>
      </c>
      <c r="C45" s="9" t="s">
        <v>2</v>
      </c>
      <c r="D45" s="9">
        <f>IF((D$1*1)&lt;=MAX('DB Costi-Ore YtD'!$A:$A),SUMIFS('DB Costi-Ore YtD'!$F:$F,'DB Costi-Ore YtD'!$A:$A,D$1,'DB Costi-Ore YtD'!$B:$B,$A45,'DB Costi-Ore YtD'!$E:$E,$C45),0)</f>
        <v>63</v>
      </c>
      <c r="E45" s="9">
        <f>IF((E$1*1)&lt;=MAX('DB Costi-Ore YtD'!$A:$A),SUMIFS('DB Costi-Ore YtD'!$F:$F,'DB Costi-Ore YtD'!$A:$A,E$1,'DB Costi-Ore YtD'!$B:$B,$A45,'DB Costi-Ore YtD'!$E:$E,$C45)-SUM($D45:D45),0)</f>
        <v>104.5</v>
      </c>
      <c r="F45" s="9">
        <f>IF((F$1*1)&lt;=MAX('DB Costi-Ore YtD'!$A:$A),SUMIFS('DB Costi-Ore YtD'!$F:$F,'DB Costi-Ore YtD'!$A:$A,F$1,'DB Costi-Ore YtD'!$B:$B,$A45,'DB Costi-Ore YtD'!$E:$E,$C45)-SUM($D45:E45),0)</f>
        <v>97.25</v>
      </c>
      <c r="G45" s="9">
        <f>IF((G$1*1)&lt;=MAX('DB Costi-Ore YtD'!$A:$A),SUMIFS('DB Costi-Ore YtD'!$F:$F,'DB Costi-Ore YtD'!$A:$A,G$1,'DB Costi-Ore YtD'!$B:$B,$A45,'DB Costi-Ore YtD'!$E:$E,$C45)-SUM($D45:F45),0)</f>
        <v>104.5</v>
      </c>
      <c r="H45" s="9">
        <f>IF((H$1*1)&lt;=MAX('DB Costi-Ore YtD'!$A:$A),SUMIFS('DB Costi-Ore YtD'!$F:$F,'DB Costi-Ore YtD'!$A:$A,H$1,'DB Costi-Ore YtD'!$B:$B,$A45,'DB Costi-Ore YtD'!$E:$E,$C45)-SUM($D45:G45),0)</f>
        <v>94.5</v>
      </c>
      <c r="I45" s="9">
        <f>IF((I$1*1)&lt;=MAX('DB Costi-Ore YtD'!$A:$A),SUMIFS('DB Costi-Ore YtD'!$F:$F,'DB Costi-Ore YtD'!$A:$A,I$1,'DB Costi-Ore YtD'!$B:$B,$A45,'DB Costi-Ore YtD'!$E:$E,$C45)-SUM($D45:H45),0)</f>
        <v>99.5</v>
      </c>
      <c r="J45" s="9">
        <f>IF((J$1*1)&lt;=MAX('DB Costi-Ore YtD'!$A:$A),SUMIFS('DB Costi-Ore YtD'!$F:$F,'DB Costi-Ore YtD'!$A:$A,J$1,'DB Costi-Ore YtD'!$B:$B,$A45,'DB Costi-Ore YtD'!$E:$E,$C45)-SUM($D45:I45),0)</f>
        <v>0</v>
      </c>
      <c r="K45" s="9">
        <f>IF((K$1*1)&lt;=MAX('DB Costi-Ore YtD'!$A:$A),SUMIFS('DB Costi-Ore YtD'!$F:$F,'DB Costi-Ore YtD'!$A:$A,K$1,'DB Costi-Ore YtD'!$B:$B,$A45,'DB Costi-Ore YtD'!$E:$E,$C45)-SUM($D45:J45),0)</f>
        <v>0</v>
      </c>
      <c r="L45" s="9">
        <f>IF((L$1*1)&lt;=MAX('DB Costi-Ore YtD'!$A:$A),SUMIFS('DB Costi-Ore YtD'!$F:$F,'DB Costi-Ore YtD'!$A:$A,L$1,'DB Costi-Ore YtD'!$B:$B,$A45,'DB Costi-Ore YtD'!$E:$E,$C45)-SUM($D45:K45),0)</f>
        <v>0</v>
      </c>
      <c r="M45" s="9">
        <f>IF((M$1*1)&lt;=MAX('DB Costi-Ore YtD'!$A:$A),SUMIFS('DB Costi-Ore YtD'!$F:$F,'DB Costi-Ore YtD'!$A:$A,M$1,'DB Costi-Ore YtD'!$B:$B,$A45,'DB Costi-Ore YtD'!$E:$E,$C45)-SUM($D45:L45),0)</f>
        <v>0</v>
      </c>
      <c r="N45" s="9">
        <f>IF((N$1*1)&lt;=MAX('DB Costi-Ore YtD'!$A:$A),SUMIFS('DB Costi-Ore YtD'!$F:$F,'DB Costi-Ore YtD'!$A:$A,N$1,'DB Costi-Ore YtD'!$B:$B,$A45,'DB Costi-Ore YtD'!$E:$E,$C45)-SUM($D45:M45),0)</f>
        <v>0</v>
      </c>
      <c r="O45" s="9">
        <f>IF((O$1*1)&lt;=MAX('DB Costi-Ore YtD'!$A:$A),SUMIFS('DB Costi-Ore YtD'!$F:$F,'DB Costi-Ore YtD'!$A:$A,O$1,'DB Costi-Ore YtD'!$B:$B,$A45,'DB Costi-Ore YtD'!$E:$E,$C45)-SUM($D45:N45),0)</f>
        <v>0</v>
      </c>
    </row>
    <row r="46" spans="1:15" x14ac:dyDescent="0.3">
      <c r="A46" s="9" t="s">
        <v>117</v>
      </c>
      <c r="B46" s="9" t="s">
        <v>118</v>
      </c>
      <c r="C46" s="9" t="s">
        <v>2</v>
      </c>
      <c r="D46" s="9">
        <f>IF((D$1*1)&lt;=MAX('DB Costi-Ore YtD'!$A:$A),SUMIFS('DB Costi-Ore YtD'!$F:$F,'DB Costi-Ore YtD'!$A:$A,D$1,'DB Costi-Ore YtD'!$B:$B,$A46,'DB Costi-Ore YtD'!$E:$E,$C46),0)</f>
        <v>89.75</v>
      </c>
      <c r="E46" s="9">
        <f>IF((E$1*1)&lt;=MAX('DB Costi-Ore YtD'!$A:$A),SUMIFS('DB Costi-Ore YtD'!$F:$F,'DB Costi-Ore YtD'!$A:$A,E$1,'DB Costi-Ore YtD'!$B:$B,$A46,'DB Costi-Ore YtD'!$E:$E,$C46)-SUM($D46:D46),0)</f>
        <v>122</v>
      </c>
      <c r="F46" s="9">
        <f>IF((F$1*1)&lt;=MAX('DB Costi-Ore YtD'!$A:$A),SUMIFS('DB Costi-Ore YtD'!$F:$F,'DB Costi-Ore YtD'!$A:$A,F$1,'DB Costi-Ore YtD'!$B:$B,$A46,'DB Costi-Ore YtD'!$E:$E,$C46)-SUM($D46:E46),0)</f>
        <v>120</v>
      </c>
      <c r="G46" s="9">
        <f>IF((G$1*1)&lt;=MAX('DB Costi-Ore YtD'!$A:$A),SUMIFS('DB Costi-Ore YtD'!$F:$F,'DB Costi-Ore YtD'!$A:$A,G$1,'DB Costi-Ore YtD'!$B:$B,$A46,'DB Costi-Ore YtD'!$E:$E,$C46)-SUM($D46:F46),0)</f>
        <v>123.25</v>
      </c>
      <c r="H46" s="9">
        <f>IF((H$1*1)&lt;=MAX('DB Costi-Ore YtD'!$A:$A),SUMIFS('DB Costi-Ore YtD'!$F:$F,'DB Costi-Ore YtD'!$A:$A,H$1,'DB Costi-Ore YtD'!$B:$B,$A46,'DB Costi-Ore YtD'!$E:$E,$C46)-SUM($D46:G46),0)</f>
        <v>128.75</v>
      </c>
      <c r="I46" s="9">
        <f>IF((I$1*1)&lt;=MAX('DB Costi-Ore YtD'!$A:$A),SUMIFS('DB Costi-Ore YtD'!$F:$F,'DB Costi-Ore YtD'!$A:$A,I$1,'DB Costi-Ore YtD'!$B:$B,$A46,'DB Costi-Ore YtD'!$E:$E,$C46)-SUM($D46:H46),0)</f>
        <v>132</v>
      </c>
      <c r="J46" s="9">
        <f>IF((J$1*1)&lt;=MAX('DB Costi-Ore YtD'!$A:$A),SUMIFS('DB Costi-Ore YtD'!$F:$F,'DB Costi-Ore YtD'!$A:$A,J$1,'DB Costi-Ore YtD'!$B:$B,$A46,'DB Costi-Ore YtD'!$E:$E,$C46)-SUM($D46:I46),0)</f>
        <v>0</v>
      </c>
      <c r="K46" s="9">
        <f>IF((K$1*1)&lt;=MAX('DB Costi-Ore YtD'!$A:$A),SUMIFS('DB Costi-Ore YtD'!$F:$F,'DB Costi-Ore YtD'!$A:$A,K$1,'DB Costi-Ore YtD'!$B:$B,$A46,'DB Costi-Ore YtD'!$E:$E,$C46)-SUM($D46:J46),0)</f>
        <v>0</v>
      </c>
      <c r="L46" s="9">
        <f>IF((L$1*1)&lt;=MAX('DB Costi-Ore YtD'!$A:$A),SUMIFS('DB Costi-Ore YtD'!$F:$F,'DB Costi-Ore YtD'!$A:$A,L$1,'DB Costi-Ore YtD'!$B:$B,$A46,'DB Costi-Ore YtD'!$E:$E,$C46)-SUM($D46:K46),0)</f>
        <v>0</v>
      </c>
      <c r="M46" s="9">
        <f>IF((M$1*1)&lt;=MAX('DB Costi-Ore YtD'!$A:$A),SUMIFS('DB Costi-Ore YtD'!$F:$F,'DB Costi-Ore YtD'!$A:$A,M$1,'DB Costi-Ore YtD'!$B:$B,$A46,'DB Costi-Ore YtD'!$E:$E,$C46)-SUM($D46:L46),0)</f>
        <v>0</v>
      </c>
      <c r="N46" s="9">
        <f>IF((N$1*1)&lt;=MAX('DB Costi-Ore YtD'!$A:$A),SUMIFS('DB Costi-Ore YtD'!$F:$F,'DB Costi-Ore YtD'!$A:$A,N$1,'DB Costi-Ore YtD'!$B:$B,$A46,'DB Costi-Ore YtD'!$E:$E,$C46)-SUM($D46:M46),0)</f>
        <v>0</v>
      </c>
      <c r="O46" s="9">
        <f>IF((O$1*1)&lt;=MAX('DB Costi-Ore YtD'!$A:$A),SUMIFS('DB Costi-Ore YtD'!$F:$F,'DB Costi-Ore YtD'!$A:$A,O$1,'DB Costi-Ore YtD'!$B:$B,$A46,'DB Costi-Ore YtD'!$E:$E,$C46)-SUM($D46:N46),0)</f>
        <v>0</v>
      </c>
    </row>
    <row r="47" spans="1:15" x14ac:dyDescent="0.3">
      <c r="A47" s="9" t="s">
        <v>119</v>
      </c>
      <c r="B47" s="9" t="s">
        <v>120</v>
      </c>
      <c r="C47" s="9" t="s">
        <v>2</v>
      </c>
      <c r="D47" s="9">
        <f>IF((D$1*1)&lt;=MAX('DB Costi-Ore YtD'!$A:$A),SUMIFS('DB Costi-Ore YtD'!$F:$F,'DB Costi-Ore YtD'!$A:$A,D$1,'DB Costi-Ore YtD'!$B:$B,$A47,'DB Costi-Ore YtD'!$E:$E,$C47),0)</f>
        <v>144</v>
      </c>
      <c r="E47" s="9">
        <f>IF((E$1*1)&lt;=MAX('DB Costi-Ore YtD'!$A:$A),SUMIFS('DB Costi-Ore YtD'!$F:$F,'DB Costi-Ore YtD'!$A:$A,E$1,'DB Costi-Ore YtD'!$B:$B,$A47,'DB Costi-Ore YtD'!$E:$E,$C47)-SUM($D47:D47),0)</f>
        <v>146</v>
      </c>
      <c r="F47" s="9">
        <f>IF((F$1*1)&lt;=MAX('DB Costi-Ore YtD'!$A:$A),SUMIFS('DB Costi-Ore YtD'!$F:$F,'DB Costi-Ore YtD'!$A:$A,F$1,'DB Costi-Ore YtD'!$B:$B,$A47,'DB Costi-Ore YtD'!$E:$E,$C47)-SUM($D47:E47),0)</f>
        <v>157</v>
      </c>
      <c r="G47" s="9">
        <f>IF((G$1*1)&lt;=MAX('DB Costi-Ore YtD'!$A:$A),SUMIFS('DB Costi-Ore YtD'!$F:$F,'DB Costi-Ore YtD'!$A:$A,G$1,'DB Costi-Ore YtD'!$B:$B,$A47,'DB Costi-Ore YtD'!$E:$E,$C47)-SUM($D47:F47),0)</f>
        <v>155.5</v>
      </c>
      <c r="H47" s="9">
        <f>IF((H$1*1)&lt;=MAX('DB Costi-Ore YtD'!$A:$A),SUMIFS('DB Costi-Ore YtD'!$F:$F,'DB Costi-Ore YtD'!$A:$A,H$1,'DB Costi-Ore YtD'!$B:$B,$A47,'DB Costi-Ore YtD'!$E:$E,$C47)-SUM($D47:G47),0)</f>
        <v>111</v>
      </c>
      <c r="I47" s="9">
        <f>IF((I$1*1)&lt;=MAX('DB Costi-Ore YtD'!$A:$A),SUMIFS('DB Costi-Ore YtD'!$F:$F,'DB Costi-Ore YtD'!$A:$A,I$1,'DB Costi-Ore YtD'!$B:$B,$A47,'DB Costi-Ore YtD'!$E:$E,$C47)-SUM($D47:H47),0)</f>
        <v>152</v>
      </c>
      <c r="J47" s="9">
        <f>IF((J$1*1)&lt;=MAX('DB Costi-Ore YtD'!$A:$A),SUMIFS('DB Costi-Ore YtD'!$F:$F,'DB Costi-Ore YtD'!$A:$A,J$1,'DB Costi-Ore YtD'!$B:$B,$A47,'DB Costi-Ore YtD'!$E:$E,$C47)-SUM($D47:I47),0)</f>
        <v>0</v>
      </c>
      <c r="K47" s="9">
        <f>IF((K$1*1)&lt;=MAX('DB Costi-Ore YtD'!$A:$A),SUMIFS('DB Costi-Ore YtD'!$F:$F,'DB Costi-Ore YtD'!$A:$A,K$1,'DB Costi-Ore YtD'!$B:$B,$A47,'DB Costi-Ore YtD'!$E:$E,$C47)-SUM($D47:J47),0)</f>
        <v>0</v>
      </c>
      <c r="L47" s="9">
        <f>IF((L$1*1)&lt;=MAX('DB Costi-Ore YtD'!$A:$A),SUMIFS('DB Costi-Ore YtD'!$F:$F,'DB Costi-Ore YtD'!$A:$A,L$1,'DB Costi-Ore YtD'!$B:$B,$A47,'DB Costi-Ore YtD'!$E:$E,$C47)-SUM($D47:K47),0)</f>
        <v>0</v>
      </c>
      <c r="M47" s="9">
        <f>IF((M$1*1)&lt;=MAX('DB Costi-Ore YtD'!$A:$A),SUMIFS('DB Costi-Ore YtD'!$F:$F,'DB Costi-Ore YtD'!$A:$A,M$1,'DB Costi-Ore YtD'!$B:$B,$A47,'DB Costi-Ore YtD'!$E:$E,$C47)-SUM($D47:L47),0)</f>
        <v>0</v>
      </c>
      <c r="N47" s="9">
        <f>IF((N$1*1)&lt;=MAX('DB Costi-Ore YtD'!$A:$A),SUMIFS('DB Costi-Ore YtD'!$F:$F,'DB Costi-Ore YtD'!$A:$A,N$1,'DB Costi-Ore YtD'!$B:$B,$A47,'DB Costi-Ore YtD'!$E:$E,$C47)-SUM($D47:M47),0)</f>
        <v>0</v>
      </c>
      <c r="O47" s="9">
        <f>IF((O$1*1)&lt;=MAX('DB Costi-Ore YtD'!$A:$A),SUMIFS('DB Costi-Ore YtD'!$F:$F,'DB Costi-Ore YtD'!$A:$A,O$1,'DB Costi-Ore YtD'!$B:$B,$A47,'DB Costi-Ore YtD'!$E:$E,$C47)-SUM($D47:N47),0)</f>
        <v>0</v>
      </c>
    </row>
    <row r="48" spans="1:15" x14ac:dyDescent="0.3">
      <c r="A48" s="9" t="s">
        <v>121</v>
      </c>
      <c r="B48" s="9" t="s">
        <v>122</v>
      </c>
      <c r="C48" s="9" t="s">
        <v>3</v>
      </c>
      <c r="D48" s="9">
        <f>IF((D$1*1)&lt;=MAX('DB Costi-Ore YtD'!$A:$A),SUMIFS('DB Costi-Ore YtD'!$F:$F,'DB Costi-Ore YtD'!$A:$A,D$1,'DB Costi-Ore YtD'!$B:$B,$A48,'DB Costi-Ore YtD'!$E:$E,$C48),0)</f>
        <v>153.5</v>
      </c>
      <c r="E48" s="9">
        <f>IF((E$1*1)&lt;=MAX('DB Costi-Ore YtD'!$A:$A),SUMIFS('DB Costi-Ore YtD'!$F:$F,'DB Costi-Ore YtD'!$A:$A,E$1,'DB Costi-Ore YtD'!$B:$B,$A48,'DB Costi-Ore YtD'!$E:$E,$C48)-SUM($D48:D48),0)</f>
        <v>91</v>
      </c>
      <c r="F48" s="9">
        <f>IF((F$1*1)&lt;=MAX('DB Costi-Ore YtD'!$A:$A),SUMIFS('DB Costi-Ore YtD'!$F:$F,'DB Costi-Ore YtD'!$A:$A,F$1,'DB Costi-Ore YtD'!$B:$B,$A48,'DB Costi-Ore YtD'!$E:$E,$C48)-SUM($D48:E48),0)</f>
        <v>141.5</v>
      </c>
      <c r="G48" s="9">
        <f>IF((G$1*1)&lt;=MAX('DB Costi-Ore YtD'!$A:$A),SUMIFS('DB Costi-Ore YtD'!$F:$F,'DB Costi-Ore YtD'!$A:$A,G$1,'DB Costi-Ore YtD'!$B:$B,$A48,'DB Costi-Ore YtD'!$E:$E,$C48)-SUM($D48:F48),0)</f>
        <v>151.5</v>
      </c>
      <c r="H48" s="9">
        <f>IF((H$1*1)&lt;=MAX('DB Costi-Ore YtD'!$A:$A),SUMIFS('DB Costi-Ore YtD'!$F:$F,'DB Costi-Ore YtD'!$A:$A,H$1,'DB Costi-Ore YtD'!$B:$B,$A48,'DB Costi-Ore YtD'!$E:$E,$C48)-SUM($D48:G48),0)</f>
        <v>144.5</v>
      </c>
      <c r="I48" s="9">
        <f>IF((I$1*1)&lt;=MAX('DB Costi-Ore YtD'!$A:$A),SUMIFS('DB Costi-Ore YtD'!$F:$F,'DB Costi-Ore YtD'!$A:$A,I$1,'DB Costi-Ore YtD'!$B:$B,$A48,'DB Costi-Ore YtD'!$E:$E,$C48)-SUM($D48:H48),0)</f>
        <v>137</v>
      </c>
      <c r="J48" s="9">
        <f>IF((J$1*1)&lt;=MAX('DB Costi-Ore YtD'!$A:$A),SUMIFS('DB Costi-Ore YtD'!$F:$F,'DB Costi-Ore YtD'!$A:$A,J$1,'DB Costi-Ore YtD'!$B:$B,$A48,'DB Costi-Ore YtD'!$E:$E,$C48)-SUM($D48:I48),0)</f>
        <v>0</v>
      </c>
      <c r="K48" s="9">
        <f>IF((K$1*1)&lt;=MAX('DB Costi-Ore YtD'!$A:$A),SUMIFS('DB Costi-Ore YtD'!$F:$F,'DB Costi-Ore YtD'!$A:$A,K$1,'DB Costi-Ore YtD'!$B:$B,$A48,'DB Costi-Ore YtD'!$E:$E,$C48)-SUM($D48:J48),0)</f>
        <v>0</v>
      </c>
      <c r="L48" s="9">
        <f>IF((L$1*1)&lt;=MAX('DB Costi-Ore YtD'!$A:$A),SUMIFS('DB Costi-Ore YtD'!$F:$F,'DB Costi-Ore YtD'!$A:$A,L$1,'DB Costi-Ore YtD'!$B:$B,$A48,'DB Costi-Ore YtD'!$E:$E,$C48)-SUM($D48:K48),0)</f>
        <v>0</v>
      </c>
      <c r="M48" s="9">
        <f>IF((M$1*1)&lt;=MAX('DB Costi-Ore YtD'!$A:$A),SUMIFS('DB Costi-Ore YtD'!$F:$F,'DB Costi-Ore YtD'!$A:$A,M$1,'DB Costi-Ore YtD'!$B:$B,$A48,'DB Costi-Ore YtD'!$E:$E,$C48)-SUM($D48:L48),0)</f>
        <v>0</v>
      </c>
      <c r="N48" s="9">
        <f>IF((N$1*1)&lt;=MAX('DB Costi-Ore YtD'!$A:$A),SUMIFS('DB Costi-Ore YtD'!$F:$F,'DB Costi-Ore YtD'!$A:$A,N$1,'DB Costi-Ore YtD'!$B:$B,$A48,'DB Costi-Ore YtD'!$E:$E,$C48)-SUM($D48:M48),0)</f>
        <v>0</v>
      </c>
      <c r="O48" s="9">
        <f>IF((O$1*1)&lt;=MAX('DB Costi-Ore YtD'!$A:$A),SUMIFS('DB Costi-Ore YtD'!$F:$F,'DB Costi-Ore YtD'!$A:$A,O$1,'DB Costi-Ore YtD'!$B:$B,$A48,'DB Costi-Ore YtD'!$E:$E,$C48)-SUM($D48:N48),0)</f>
        <v>0</v>
      </c>
    </row>
    <row r="49" spans="1:15" x14ac:dyDescent="0.3">
      <c r="A49" s="9" t="s">
        <v>123</v>
      </c>
      <c r="B49" s="9" t="s">
        <v>124</v>
      </c>
      <c r="C49" s="9" t="s">
        <v>5</v>
      </c>
      <c r="D49" s="9">
        <f>IF((D$1*1)&lt;=MAX('DB Costi-Ore YtD'!$A:$A),SUMIFS('DB Costi-Ore YtD'!$F:$F,'DB Costi-Ore YtD'!$A:$A,D$1,'DB Costi-Ore YtD'!$B:$B,$A49,'DB Costi-Ore YtD'!$E:$E,$C49),0)</f>
        <v>111.5</v>
      </c>
      <c r="E49" s="9">
        <f>IF((E$1*1)&lt;=MAX('DB Costi-Ore YtD'!$A:$A),SUMIFS('DB Costi-Ore YtD'!$F:$F,'DB Costi-Ore YtD'!$A:$A,E$1,'DB Costi-Ore YtD'!$B:$B,$A49,'DB Costi-Ore YtD'!$E:$E,$C49)-SUM($D49:D49),0)</f>
        <v>55.25</v>
      </c>
      <c r="F49" s="9">
        <f>IF((F$1*1)&lt;=MAX('DB Costi-Ore YtD'!$A:$A),SUMIFS('DB Costi-Ore YtD'!$F:$F,'DB Costi-Ore YtD'!$A:$A,F$1,'DB Costi-Ore YtD'!$B:$B,$A49,'DB Costi-Ore YtD'!$E:$E,$C49)-SUM($D49:E49),0)</f>
        <v>99.75</v>
      </c>
      <c r="G49" s="9">
        <f>IF((G$1*1)&lt;=MAX('DB Costi-Ore YtD'!$A:$A),SUMIFS('DB Costi-Ore YtD'!$F:$F,'DB Costi-Ore YtD'!$A:$A,G$1,'DB Costi-Ore YtD'!$B:$B,$A49,'DB Costi-Ore YtD'!$E:$E,$C49)-SUM($D49:F49),0)</f>
        <v>105.75</v>
      </c>
      <c r="H49" s="9">
        <f>IF((H$1*1)&lt;=MAX('DB Costi-Ore YtD'!$A:$A),SUMIFS('DB Costi-Ore YtD'!$F:$F,'DB Costi-Ore YtD'!$A:$A,H$1,'DB Costi-Ore YtD'!$B:$B,$A49,'DB Costi-Ore YtD'!$E:$E,$C49)-SUM($D49:G49),0)</f>
        <v>106.5</v>
      </c>
      <c r="I49" s="9">
        <f>IF((I$1*1)&lt;=MAX('DB Costi-Ore YtD'!$A:$A),SUMIFS('DB Costi-Ore YtD'!$F:$F,'DB Costi-Ore YtD'!$A:$A,I$1,'DB Costi-Ore YtD'!$B:$B,$A49,'DB Costi-Ore YtD'!$E:$E,$C49)-SUM($D49:H49),0)</f>
        <v>0</v>
      </c>
      <c r="J49" s="9">
        <f>IF((J$1*1)&lt;=MAX('DB Costi-Ore YtD'!$A:$A),SUMIFS('DB Costi-Ore YtD'!$F:$F,'DB Costi-Ore YtD'!$A:$A,J$1,'DB Costi-Ore YtD'!$B:$B,$A49,'DB Costi-Ore YtD'!$E:$E,$C49)-SUM($D49:I49),0)</f>
        <v>0</v>
      </c>
      <c r="K49" s="9">
        <f>IF((K$1*1)&lt;=MAX('DB Costi-Ore YtD'!$A:$A),SUMIFS('DB Costi-Ore YtD'!$F:$F,'DB Costi-Ore YtD'!$A:$A,K$1,'DB Costi-Ore YtD'!$B:$B,$A49,'DB Costi-Ore YtD'!$E:$E,$C49)-SUM($D49:J49),0)</f>
        <v>0</v>
      </c>
      <c r="L49" s="9">
        <f>IF((L$1*1)&lt;=MAX('DB Costi-Ore YtD'!$A:$A),SUMIFS('DB Costi-Ore YtD'!$F:$F,'DB Costi-Ore YtD'!$A:$A,L$1,'DB Costi-Ore YtD'!$B:$B,$A49,'DB Costi-Ore YtD'!$E:$E,$C49)-SUM($D49:K49),0)</f>
        <v>0</v>
      </c>
      <c r="M49" s="9">
        <f>IF((M$1*1)&lt;=MAX('DB Costi-Ore YtD'!$A:$A),SUMIFS('DB Costi-Ore YtD'!$F:$F,'DB Costi-Ore YtD'!$A:$A,M$1,'DB Costi-Ore YtD'!$B:$B,$A49,'DB Costi-Ore YtD'!$E:$E,$C49)-SUM($D49:L49),0)</f>
        <v>0</v>
      </c>
      <c r="N49" s="9">
        <f>IF((N$1*1)&lt;=MAX('DB Costi-Ore YtD'!$A:$A),SUMIFS('DB Costi-Ore YtD'!$F:$F,'DB Costi-Ore YtD'!$A:$A,N$1,'DB Costi-Ore YtD'!$B:$B,$A49,'DB Costi-Ore YtD'!$E:$E,$C49)-SUM($D49:M49),0)</f>
        <v>0</v>
      </c>
      <c r="O49" s="9">
        <f>IF((O$1*1)&lt;=MAX('DB Costi-Ore YtD'!$A:$A),SUMIFS('DB Costi-Ore YtD'!$F:$F,'DB Costi-Ore YtD'!$A:$A,O$1,'DB Costi-Ore YtD'!$B:$B,$A49,'DB Costi-Ore YtD'!$E:$E,$C49)-SUM($D49:N49),0)</f>
        <v>0</v>
      </c>
    </row>
    <row r="50" spans="1:15" x14ac:dyDescent="0.3">
      <c r="A50" s="9" t="s">
        <v>125</v>
      </c>
      <c r="B50" s="9" t="s">
        <v>126</v>
      </c>
      <c r="C50" s="9" t="s">
        <v>2</v>
      </c>
      <c r="D50" s="9">
        <f>IF((D$1*1)&lt;=MAX('DB Costi-Ore YtD'!$A:$A),SUMIFS('DB Costi-Ore YtD'!$F:$F,'DB Costi-Ore YtD'!$A:$A,D$1,'DB Costi-Ore YtD'!$B:$B,$A50,'DB Costi-Ore YtD'!$E:$E,$C50),0)</f>
        <v>135.5</v>
      </c>
      <c r="E50" s="9">
        <f>IF((E$1*1)&lt;=MAX('DB Costi-Ore YtD'!$A:$A),SUMIFS('DB Costi-Ore YtD'!$F:$F,'DB Costi-Ore YtD'!$A:$A,E$1,'DB Costi-Ore YtD'!$B:$B,$A50,'DB Costi-Ore YtD'!$E:$E,$C50)-SUM($D50:D50),0)</f>
        <v>137</v>
      </c>
      <c r="F50" s="9">
        <f>IF((F$1*1)&lt;=MAX('DB Costi-Ore YtD'!$A:$A),SUMIFS('DB Costi-Ore YtD'!$F:$F,'DB Costi-Ore YtD'!$A:$A,F$1,'DB Costi-Ore YtD'!$B:$B,$A50,'DB Costi-Ore YtD'!$E:$E,$C50)-SUM($D50:E50),0)</f>
        <v>151.5</v>
      </c>
      <c r="G50" s="9">
        <f>IF((G$1*1)&lt;=MAX('DB Costi-Ore YtD'!$A:$A),SUMIFS('DB Costi-Ore YtD'!$F:$F,'DB Costi-Ore YtD'!$A:$A,G$1,'DB Costi-Ore YtD'!$B:$B,$A50,'DB Costi-Ore YtD'!$E:$E,$C50)-SUM($D50:F50),0)</f>
        <v>159.5</v>
      </c>
      <c r="H50" s="9">
        <f>IF((H$1*1)&lt;=MAX('DB Costi-Ore YtD'!$A:$A),SUMIFS('DB Costi-Ore YtD'!$F:$F,'DB Costi-Ore YtD'!$A:$A,H$1,'DB Costi-Ore YtD'!$B:$B,$A50,'DB Costi-Ore YtD'!$E:$E,$C50)-SUM($D50:G50),0)</f>
        <v>144.5</v>
      </c>
      <c r="I50" s="9">
        <f>IF((I$1*1)&lt;=MAX('DB Costi-Ore YtD'!$A:$A),SUMIFS('DB Costi-Ore YtD'!$F:$F,'DB Costi-Ore YtD'!$A:$A,I$1,'DB Costi-Ore YtD'!$B:$B,$A50,'DB Costi-Ore YtD'!$E:$E,$C50)-SUM($D50:H50),0)</f>
        <v>144</v>
      </c>
      <c r="J50" s="9">
        <f>IF((J$1*1)&lt;=MAX('DB Costi-Ore YtD'!$A:$A),SUMIFS('DB Costi-Ore YtD'!$F:$F,'DB Costi-Ore YtD'!$A:$A,J$1,'DB Costi-Ore YtD'!$B:$B,$A50,'DB Costi-Ore YtD'!$E:$E,$C50)-SUM($D50:I50),0)</f>
        <v>0</v>
      </c>
      <c r="K50" s="9">
        <f>IF((K$1*1)&lt;=MAX('DB Costi-Ore YtD'!$A:$A),SUMIFS('DB Costi-Ore YtD'!$F:$F,'DB Costi-Ore YtD'!$A:$A,K$1,'DB Costi-Ore YtD'!$B:$B,$A50,'DB Costi-Ore YtD'!$E:$E,$C50)-SUM($D50:J50),0)</f>
        <v>0</v>
      </c>
      <c r="L50" s="9">
        <f>IF((L$1*1)&lt;=MAX('DB Costi-Ore YtD'!$A:$A),SUMIFS('DB Costi-Ore YtD'!$F:$F,'DB Costi-Ore YtD'!$A:$A,L$1,'DB Costi-Ore YtD'!$B:$B,$A50,'DB Costi-Ore YtD'!$E:$E,$C50)-SUM($D50:K50),0)</f>
        <v>0</v>
      </c>
      <c r="M50" s="9">
        <f>IF((M$1*1)&lt;=MAX('DB Costi-Ore YtD'!$A:$A),SUMIFS('DB Costi-Ore YtD'!$F:$F,'DB Costi-Ore YtD'!$A:$A,M$1,'DB Costi-Ore YtD'!$B:$B,$A50,'DB Costi-Ore YtD'!$E:$E,$C50)-SUM($D50:L50),0)</f>
        <v>0</v>
      </c>
      <c r="N50" s="9">
        <f>IF((N$1*1)&lt;=MAX('DB Costi-Ore YtD'!$A:$A),SUMIFS('DB Costi-Ore YtD'!$F:$F,'DB Costi-Ore YtD'!$A:$A,N$1,'DB Costi-Ore YtD'!$B:$B,$A50,'DB Costi-Ore YtD'!$E:$E,$C50)-SUM($D50:M50),0)</f>
        <v>0</v>
      </c>
      <c r="O50" s="9">
        <f>IF((O$1*1)&lt;=MAX('DB Costi-Ore YtD'!$A:$A),SUMIFS('DB Costi-Ore YtD'!$F:$F,'DB Costi-Ore YtD'!$A:$A,O$1,'DB Costi-Ore YtD'!$B:$B,$A50,'DB Costi-Ore YtD'!$E:$E,$C50)-SUM($D50:N50),0)</f>
        <v>0</v>
      </c>
    </row>
    <row r="51" spans="1:15" x14ac:dyDescent="0.3">
      <c r="A51" s="9" t="s">
        <v>127</v>
      </c>
      <c r="B51" s="9" t="s">
        <v>128</v>
      </c>
      <c r="C51" s="9" t="s">
        <v>2</v>
      </c>
      <c r="D51" s="9">
        <f>IF((D$1*1)&lt;=MAX('DB Costi-Ore YtD'!$A:$A),SUMIFS('DB Costi-Ore YtD'!$F:$F,'DB Costi-Ore YtD'!$A:$A,D$1,'DB Costi-Ore YtD'!$B:$B,$A51,'DB Costi-Ore YtD'!$E:$E,$C51),0)</f>
        <v>140.5</v>
      </c>
      <c r="E51" s="9">
        <f>IF((E$1*1)&lt;=MAX('DB Costi-Ore YtD'!$A:$A),SUMIFS('DB Costi-Ore YtD'!$F:$F,'DB Costi-Ore YtD'!$A:$A,E$1,'DB Costi-Ore YtD'!$B:$B,$A51,'DB Costi-Ore YtD'!$E:$E,$C51)-SUM($D51:D51),0)</f>
        <v>148.5</v>
      </c>
      <c r="F51" s="9">
        <f>IF((F$1*1)&lt;=MAX('DB Costi-Ore YtD'!$A:$A),SUMIFS('DB Costi-Ore YtD'!$F:$F,'DB Costi-Ore YtD'!$A:$A,F$1,'DB Costi-Ore YtD'!$B:$B,$A51,'DB Costi-Ore YtD'!$E:$E,$C51)-SUM($D51:E51),0)</f>
        <v>119</v>
      </c>
      <c r="G51" s="9">
        <f>IF((G$1*1)&lt;=MAX('DB Costi-Ore YtD'!$A:$A),SUMIFS('DB Costi-Ore YtD'!$F:$F,'DB Costi-Ore YtD'!$A:$A,G$1,'DB Costi-Ore YtD'!$B:$B,$A51,'DB Costi-Ore YtD'!$E:$E,$C51)-SUM($D51:F51),0)</f>
        <v>98.5</v>
      </c>
      <c r="H51" s="9">
        <f>IF((H$1*1)&lt;=MAX('DB Costi-Ore YtD'!$A:$A),SUMIFS('DB Costi-Ore YtD'!$F:$F,'DB Costi-Ore YtD'!$A:$A,H$1,'DB Costi-Ore YtD'!$B:$B,$A51,'DB Costi-Ore YtD'!$E:$E,$C51)-SUM($D51:G51),0)</f>
        <v>137</v>
      </c>
      <c r="I51" s="9">
        <f>IF((I$1*1)&lt;=MAX('DB Costi-Ore YtD'!$A:$A),SUMIFS('DB Costi-Ore YtD'!$F:$F,'DB Costi-Ore YtD'!$A:$A,I$1,'DB Costi-Ore YtD'!$B:$B,$A51,'DB Costi-Ore YtD'!$E:$E,$C51)-SUM($D51:H51),0)</f>
        <v>128.5</v>
      </c>
      <c r="J51" s="9">
        <f>IF((J$1*1)&lt;=MAX('DB Costi-Ore YtD'!$A:$A),SUMIFS('DB Costi-Ore YtD'!$F:$F,'DB Costi-Ore YtD'!$A:$A,J$1,'DB Costi-Ore YtD'!$B:$B,$A51,'DB Costi-Ore YtD'!$E:$E,$C51)-SUM($D51:I51),0)</f>
        <v>0</v>
      </c>
      <c r="K51" s="9">
        <f>IF((K$1*1)&lt;=MAX('DB Costi-Ore YtD'!$A:$A),SUMIFS('DB Costi-Ore YtD'!$F:$F,'DB Costi-Ore YtD'!$A:$A,K$1,'DB Costi-Ore YtD'!$B:$B,$A51,'DB Costi-Ore YtD'!$E:$E,$C51)-SUM($D51:J51),0)</f>
        <v>0</v>
      </c>
      <c r="L51" s="9">
        <f>IF((L$1*1)&lt;=MAX('DB Costi-Ore YtD'!$A:$A),SUMIFS('DB Costi-Ore YtD'!$F:$F,'DB Costi-Ore YtD'!$A:$A,L$1,'DB Costi-Ore YtD'!$B:$B,$A51,'DB Costi-Ore YtD'!$E:$E,$C51)-SUM($D51:K51),0)</f>
        <v>0</v>
      </c>
      <c r="M51" s="9">
        <f>IF((M$1*1)&lt;=MAX('DB Costi-Ore YtD'!$A:$A),SUMIFS('DB Costi-Ore YtD'!$F:$F,'DB Costi-Ore YtD'!$A:$A,M$1,'DB Costi-Ore YtD'!$B:$B,$A51,'DB Costi-Ore YtD'!$E:$E,$C51)-SUM($D51:L51),0)</f>
        <v>0</v>
      </c>
      <c r="N51" s="9">
        <f>IF((N$1*1)&lt;=MAX('DB Costi-Ore YtD'!$A:$A),SUMIFS('DB Costi-Ore YtD'!$F:$F,'DB Costi-Ore YtD'!$A:$A,N$1,'DB Costi-Ore YtD'!$B:$B,$A51,'DB Costi-Ore YtD'!$E:$E,$C51)-SUM($D51:M51),0)</f>
        <v>0</v>
      </c>
      <c r="O51" s="9">
        <f>IF((O$1*1)&lt;=MAX('DB Costi-Ore YtD'!$A:$A),SUMIFS('DB Costi-Ore YtD'!$F:$F,'DB Costi-Ore YtD'!$A:$A,O$1,'DB Costi-Ore YtD'!$B:$B,$A51,'DB Costi-Ore YtD'!$E:$E,$C51)-SUM($D51:N51),0)</f>
        <v>0</v>
      </c>
    </row>
    <row r="52" spans="1:15" x14ac:dyDescent="0.3">
      <c r="A52" s="9" t="s">
        <v>129</v>
      </c>
      <c r="B52" s="9" t="s">
        <v>130</v>
      </c>
      <c r="C52" s="9" t="s">
        <v>11</v>
      </c>
      <c r="D52" s="9">
        <f>IF((D$1*1)&lt;=MAX('DB Costi-Ore YtD'!$A:$A),SUMIFS('DB Costi-Ore YtD'!$F:$F,'DB Costi-Ore YtD'!$A:$A,D$1,'DB Costi-Ore YtD'!$B:$B,$A52,'DB Costi-Ore YtD'!$E:$E,$C52),0)</f>
        <v>137.75</v>
      </c>
      <c r="E52" s="9">
        <f>IF((E$1*1)&lt;=MAX('DB Costi-Ore YtD'!$A:$A),SUMIFS('DB Costi-Ore YtD'!$F:$F,'DB Costi-Ore YtD'!$A:$A,E$1,'DB Costi-Ore YtD'!$B:$B,$A52,'DB Costi-Ore YtD'!$E:$E,$C52)-SUM($D52:D52),0)</f>
        <v>111.75</v>
      </c>
      <c r="F52" s="9">
        <f>IF((F$1*1)&lt;=MAX('DB Costi-Ore YtD'!$A:$A),SUMIFS('DB Costi-Ore YtD'!$F:$F,'DB Costi-Ore YtD'!$A:$A,F$1,'DB Costi-Ore YtD'!$B:$B,$A52,'DB Costi-Ore YtD'!$E:$E,$C52)-SUM($D52:E52),0)</f>
        <v>160.5</v>
      </c>
      <c r="G52" s="9">
        <f>IF((G$1*1)&lt;=MAX('DB Costi-Ore YtD'!$A:$A),SUMIFS('DB Costi-Ore YtD'!$F:$F,'DB Costi-Ore YtD'!$A:$A,G$1,'DB Costi-Ore YtD'!$B:$B,$A52,'DB Costi-Ore YtD'!$E:$E,$C52)-SUM($D52:F52),0)</f>
        <v>128</v>
      </c>
      <c r="H52" s="9">
        <f>IF((H$1*1)&lt;=MAX('DB Costi-Ore YtD'!$A:$A),SUMIFS('DB Costi-Ore YtD'!$F:$F,'DB Costi-Ore YtD'!$A:$A,H$1,'DB Costi-Ore YtD'!$B:$B,$A52,'DB Costi-Ore YtD'!$E:$E,$C52)-SUM($D52:G52),0)</f>
        <v>152</v>
      </c>
      <c r="I52" s="9">
        <f>IF((I$1*1)&lt;=MAX('DB Costi-Ore YtD'!$A:$A),SUMIFS('DB Costi-Ore YtD'!$F:$F,'DB Costi-Ore YtD'!$A:$A,I$1,'DB Costi-Ore YtD'!$B:$B,$A52,'DB Costi-Ore YtD'!$E:$E,$C52)-SUM($D52:H52),0)</f>
        <v>105.5</v>
      </c>
      <c r="J52" s="9">
        <f>IF((J$1*1)&lt;=MAX('DB Costi-Ore YtD'!$A:$A),SUMIFS('DB Costi-Ore YtD'!$F:$F,'DB Costi-Ore YtD'!$A:$A,J$1,'DB Costi-Ore YtD'!$B:$B,$A52,'DB Costi-Ore YtD'!$E:$E,$C52)-SUM($D52:I52),0)</f>
        <v>0</v>
      </c>
      <c r="K52" s="9">
        <f>IF((K$1*1)&lt;=MAX('DB Costi-Ore YtD'!$A:$A),SUMIFS('DB Costi-Ore YtD'!$F:$F,'DB Costi-Ore YtD'!$A:$A,K$1,'DB Costi-Ore YtD'!$B:$B,$A52,'DB Costi-Ore YtD'!$E:$E,$C52)-SUM($D52:J52),0)</f>
        <v>0</v>
      </c>
      <c r="L52" s="9">
        <f>IF((L$1*1)&lt;=MAX('DB Costi-Ore YtD'!$A:$A),SUMIFS('DB Costi-Ore YtD'!$F:$F,'DB Costi-Ore YtD'!$A:$A,L$1,'DB Costi-Ore YtD'!$B:$B,$A52,'DB Costi-Ore YtD'!$E:$E,$C52)-SUM($D52:K52),0)</f>
        <v>0</v>
      </c>
      <c r="M52" s="9">
        <f>IF((M$1*1)&lt;=MAX('DB Costi-Ore YtD'!$A:$A),SUMIFS('DB Costi-Ore YtD'!$F:$F,'DB Costi-Ore YtD'!$A:$A,M$1,'DB Costi-Ore YtD'!$B:$B,$A52,'DB Costi-Ore YtD'!$E:$E,$C52)-SUM($D52:L52),0)</f>
        <v>0</v>
      </c>
      <c r="N52" s="9">
        <f>IF((N$1*1)&lt;=MAX('DB Costi-Ore YtD'!$A:$A),SUMIFS('DB Costi-Ore YtD'!$F:$F,'DB Costi-Ore YtD'!$A:$A,N$1,'DB Costi-Ore YtD'!$B:$B,$A52,'DB Costi-Ore YtD'!$E:$E,$C52)-SUM($D52:M52),0)</f>
        <v>0</v>
      </c>
      <c r="O52" s="9">
        <f>IF((O$1*1)&lt;=MAX('DB Costi-Ore YtD'!$A:$A),SUMIFS('DB Costi-Ore YtD'!$F:$F,'DB Costi-Ore YtD'!$A:$A,O$1,'DB Costi-Ore YtD'!$B:$B,$A52,'DB Costi-Ore YtD'!$E:$E,$C52)-SUM($D52:N52),0)</f>
        <v>0</v>
      </c>
    </row>
    <row r="53" spans="1:15" x14ac:dyDescent="0.3">
      <c r="A53" s="9" t="s">
        <v>131</v>
      </c>
      <c r="B53" s="9" t="s">
        <v>132</v>
      </c>
      <c r="C53" s="9" t="s">
        <v>2</v>
      </c>
      <c r="D53" s="9">
        <f>IF((D$1*1)&lt;=MAX('DB Costi-Ore YtD'!$A:$A),SUMIFS('DB Costi-Ore YtD'!$F:$F,'DB Costi-Ore YtD'!$A:$A,D$1,'DB Costi-Ore YtD'!$B:$B,$A53,'DB Costi-Ore YtD'!$E:$E,$C53),0)</f>
        <v>136</v>
      </c>
      <c r="E53" s="9">
        <f>IF((E$1*1)&lt;=MAX('DB Costi-Ore YtD'!$A:$A),SUMIFS('DB Costi-Ore YtD'!$F:$F,'DB Costi-Ore YtD'!$A:$A,E$1,'DB Costi-Ore YtD'!$B:$B,$A53,'DB Costi-Ore YtD'!$E:$E,$C53)-SUM($D53:D53),0)</f>
        <v>68.5</v>
      </c>
      <c r="F53" s="9">
        <f>IF((F$1*1)&lt;=MAX('DB Costi-Ore YtD'!$A:$A),SUMIFS('DB Costi-Ore YtD'!$F:$F,'DB Costi-Ore YtD'!$A:$A,F$1,'DB Costi-Ore YtD'!$B:$B,$A53,'DB Costi-Ore YtD'!$E:$E,$C53)-SUM($D53:E53),0)</f>
        <v>30.5</v>
      </c>
      <c r="G53" s="9">
        <f>IF((G$1*1)&lt;=MAX('DB Costi-Ore YtD'!$A:$A),SUMIFS('DB Costi-Ore YtD'!$F:$F,'DB Costi-Ore YtD'!$A:$A,G$1,'DB Costi-Ore YtD'!$B:$B,$A53,'DB Costi-Ore YtD'!$E:$E,$C53)-SUM($D53:F53),0)</f>
        <v>0</v>
      </c>
      <c r="H53" s="9">
        <f>IF((H$1*1)&lt;=MAX('DB Costi-Ore YtD'!$A:$A),SUMIFS('DB Costi-Ore YtD'!$F:$F,'DB Costi-Ore YtD'!$A:$A,H$1,'DB Costi-Ore YtD'!$B:$B,$A53,'DB Costi-Ore YtD'!$E:$E,$C53)-SUM($D53:G53),0)</f>
        <v>96.25</v>
      </c>
      <c r="I53" s="9">
        <f>IF((I$1*1)&lt;=MAX('DB Costi-Ore YtD'!$A:$A),SUMIFS('DB Costi-Ore YtD'!$F:$F,'DB Costi-Ore YtD'!$A:$A,I$1,'DB Costi-Ore YtD'!$B:$B,$A53,'DB Costi-Ore YtD'!$E:$E,$C53)-SUM($D53:H53),0)</f>
        <v>129.25</v>
      </c>
      <c r="J53" s="9">
        <f>IF((J$1*1)&lt;=MAX('DB Costi-Ore YtD'!$A:$A),SUMIFS('DB Costi-Ore YtD'!$F:$F,'DB Costi-Ore YtD'!$A:$A,J$1,'DB Costi-Ore YtD'!$B:$B,$A53,'DB Costi-Ore YtD'!$E:$E,$C53)-SUM($D53:I53),0)</f>
        <v>0</v>
      </c>
      <c r="K53" s="9">
        <f>IF((K$1*1)&lt;=MAX('DB Costi-Ore YtD'!$A:$A),SUMIFS('DB Costi-Ore YtD'!$F:$F,'DB Costi-Ore YtD'!$A:$A,K$1,'DB Costi-Ore YtD'!$B:$B,$A53,'DB Costi-Ore YtD'!$E:$E,$C53)-SUM($D53:J53),0)</f>
        <v>0</v>
      </c>
      <c r="L53" s="9">
        <f>IF((L$1*1)&lt;=MAX('DB Costi-Ore YtD'!$A:$A),SUMIFS('DB Costi-Ore YtD'!$F:$F,'DB Costi-Ore YtD'!$A:$A,L$1,'DB Costi-Ore YtD'!$B:$B,$A53,'DB Costi-Ore YtD'!$E:$E,$C53)-SUM($D53:K53),0)</f>
        <v>0</v>
      </c>
      <c r="M53" s="9">
        <f>IF((M$1*1)&lt;=MAX('DB Costi-Ore YtD'!$A:$A),SUMIFS('DB Costi-Ore YtD'!$F:$F,'DB Costi-Ore YtD'!$A:$A,M$1,'DB Costi-Ore YtD'!$B:$B,$A53,'DB Costi-Ore YtD'!$E:$E,$C53)-SUM($D53:L53),0)</f>
        <v>0</v>
      </c>
      <c r="N53" s="9">
        <f>IF((N$1*1)&lt;=MAX('DB Costi-Ore YtD'!$A:$A),SUMIFS('DB Costi-Ore YtD'!$F:$F,'DB Costi-Ore YtD'!$A:$A,N$1,'DB Costi-Ore YtD'!$B:$B,$A53,'DB Costi-Ore YtD'!$E:$E,$C53)-SUM($D53:M53),0)</f>
        <v>0</v>
      </c>
      <c r="O53" s="9">
        <f>IF((O$1*1)&lt;=MAX('DB Costi-Ore YtD'!$A:$A),SUMIFS('DB Costi-Ore YtD'!$F:$F,'DB Costi-Ore YtD'!$A:$A,O$1,'DB Costi-Ore YtD'!$B:$B,$A53,'DB Costi-Ore YtD'!$E:$E,$C53)-SUM($D53:N53),0)</f>
        <v>0</v>
      </c>
    </row>
    <row r="54" spans="1:15" x14ac:dyDescent="0.3">
      <c r="A54" s="9" t="s">
        <v>133</v>
      </c>
      <c r="B54" s="9" t="s">
        <v>134</v>
      </c>
      <c r="C54" s="9" t="s">
        <v>2</v>
      </c>
      <c r="D54" s="9">
        <f>IF((D$1*1)&lt;=MAX('DB Costi-Ore YtD'!$A:$A),SUMIFS('DB Costi-Ore YtD'!$F:$F,'DB Costi-Ore YtD'!$A:$A,D$1,'DB Costi-Ore YtD'!$B:$B,$A54,'DB Costi-Ore YtD'!$E:$E,$C54),0)</f>
        <v>105.5</v>
      </c>
      <c r="E54" s="9">
        <f>IF((E$1*1)&lt;=MAX('DB Costi-Ore YtD'!$A:$A),SUMIFS('DB Costi-Ore YtD'!$F:$F,'DB Costi-Ore YtD'!$A:$A,E$1,'DB Costi-Ore YtD'!$B:$B,$A54,'DB Costi-Ore YtD'!$E:$E,$C54)-SUM($D54:D54),0)</f>
        <v>0</v>
      </c>
      <c r="F54" s="9">
        <f>IF((F$1*1)&lt;=MAX('DB Costi-Ore YtD'!$A:$A),SUMIFS('DB Costi-Ore YtD'!$F:$F,'DB Costi-Ore YtD'!$A:$A,F$1,'DB Costi-Ore YtD'!$B:$B,$A54,'DB Costi-Ore YtD'!$E:$E,$C54)-SUM($D54:E54),0)</f>
        <v>41.5</v>
      </c>
      <c r="G54" s="9">
        <f>IF((G$1*1)&lt;=MAX('DB Costi-Ore YtD'!$A:$A),SUMIFS('DB Costi-Ore YtD'!$F:$F,'DB Costi-Ore YtD'!$A:$A,G$1,'DB Costi-Ore YtD'!$B:$B,$A54,'DB Costi-Ore YtD'!$E:$E,$C54)-SUM($D54:F54),0)</f>
        <v>143.5</v>
      </c>
      <c r="H54" s="9">
        <f>IF((H$1*1)&lt;=MAX('DB Costi-Ore YtD'!$A:$A),SUMIFS('DB Costi-Ore YtD'!$F:$F,'DB Costi-Ore YtD'!$A:$A,H$1,'DB Costi-Ore YtD'!$B:$B,$A54,'DB Costi-Ore YtD'!$E:$E,$C54)-SUM($D54:G54),0)</f>
        <v>140.75</v>
      </c>
      <c r="I54" s="9">
        <f>IF((I$1*1)&lt;=MAX('DB Costi-Ore YtD'!$A:$A),SUMIFS('DB Costi-Ore YtD'!$F:$F,'DB Costi-Ore YtD'!$A:$A,I$1,'DB Costi-Ore YtD'!$B:$B,$A54,'DB Costi-Ore YtD'!$E:$E,$C54)-SUM($D54:H54),0)</f>
        <v>146.5</v>
      </c>
      <c r="J54" s="9">
        <f>IF((J$1*1)&lt;=MAX('DB Costi-Ore YtD'!$A:$A),SUMIFS('DB Costi-Ore YtD'!$F:$F,'DB Costi-Ore YtD'!$A:$A,J$1,'DB Costi-Ore YtD'!$B:$B,$A54,'DB Costi-Ore YtD'!$E:$E,$C54)-SUM($D54:I54),0)</f>
        <v>0</v>
      </c>
      <c r="K54" s="9">
        <f>IF((K$1*1)&lt;=MAX('DB Costi-Ore YtD'!$A:$A),SUMIFS('DB Costi-Ore YtD'!$F:$F,'DB Costi-Ore YtD'!$A:$A,K$1,'DB Costi-Ore YtD'!$B:$B,$A54,'DB Costi-Ore YtD'!$E:$E,$C54)-SUM($D54:J54),0)</f>
        <v>0</v>
      </c>
      <c r="L54" s="9">
        <f>IF((L$1*1)&lt;=MAX('DB Costi-Ore YtD'!$A:$A),SUMIFS('DB Costi-Ore YtD'!$F:$F,'DB Costi-Ore YtD'!$A:$A,L$1,'DB Costi-Ore YtD'!$B:$B,$A54,'DB Costi-Ore YtD'!$E:$E,$C54)-SUM($D54:K54),0)</f>
        <v>0</v>
      </c>
      <c r="M54" s="9">
        <f>IF((M$1*1)&lt;=MAX('DB Costi-Ore YtD'!$A:$A),SUMIFS('DB Costi-Ore YtD'!$F:$F,'DB Costi-Ore YtD'!$A:$A,M$1,'DB Costi-Ore YtD'!$B:$B,$A54,'DB Costi-Ore YtD'!$E:$E,$C54)-SUM($D54:L54),0)</f>
        <v>0</v>
      </c>
      <c r="N54" s="9">
        <f>IF((N$1*1)&lt;=MAX('DB Costi-Ore YtD'!$A:$A),SUMIFS('DB Costi-Ore YtD'!$F:$F,'DB Costi-Ore YtD'!$A:$A,N$1,'DB Costi-Ore YtD'!$B:$B,$A54,'DB Costi-Ore YtD'!$E:$E,$C54)-SUM($D54:M54),0)</f>
        <v>0</v>
      </c>
      <c r="O54" s="9">
        <f>IF((O$1*1)&lt;=MAX('DB Costi-Ore YtD'!$A:$A),SUMIFS('DB Costi-Ore YtD'!$F:$F,'DB Costi-Ore YtD'!$A:$A,O$1,'DB Costi-Ore YtD'!$B:$B,$A54,'DB Costi-Ore YtD'!$E:$E,$C54)-SUM($D54:N54),0)</f>
        <v>0</v>
      </c>
    </row>
    <row r="55" spans="1:15" x14ac:dyDescent="0.3">
      <c r="A55" s="9" t="s">
        <v>135</v>
      </c>
      <c r="B55" s="9" t="s">
        <v>136</v>
      </c>
      <c r="C55" s="9" t="s">
        <v>3</v>
      </c>
      <c r="D55" s="9">
        <f>IF((D$1*1)&lt;=MAX('DB Costi-Ore YtD'!$A:$A),SUMIFS('DB Costi-Ore YtD'!$F:$F,'DB Costi-Ore YtD'!$A:$A,D$1,'DB Costi-Ore YtD'!$B:$B,$A55,'DB Costi-Ore YtD'!$E:$E,$C55),0)</f>
        <v>0</v>
      </c>
      <c r="E55" s="9">
        <f>IF((E$1*1)&lt;=MAX('DB Costi-Ore YtD'!$A:$A),SUMIFS('DB Costi-Ore YtD'!$F:$F,'DB Costi-Ore YtD'!$A:$A,E$1,'DB Costi-Ore YtD'!$B:$B,$A55,'DB Costi-Ore YtD'!$E:$E,$C55)-SUM($D55:D55),0)</f>
        <v>0</v>
      </c>
      <c r="F55" s="9">
        <f>IF((F$1*1)&lt;=MAX('DB Costi-Ore YtD'!$A:$A),SUMIFS('DB Costi-Ore YtD'!$F:$F,'DB Costi-Ore YtD'!$A:$A,F$1,'DB Costi-Ore YtD'!$B:$B,$A55,'DB Costi-Ore YtD'!$E:$E,$C55)-SUM($D55:E55),0)</f>
        <v>0</v>
      </c>
      <c r="G55" s="9">
        <f>IF((G$1*1)&lt;=MAX('DB Costi-Ore YtD'!$A:$A),SUMIFS('DB Costi-Ore YtD'!$F:$F,'DB Costi-Ore YtD'!$A:$A,G$1,'DB Costi-Ore YtD'!$B:$B,$A55,'DB Costi-Ore YtD'!$E:$E,$C55)-SUM($D55:F55),0)</f>
        <v>0</v>
      </c>
      <c r="H55" s="9">
        <f>IF((H$1*1)&lt;=MAX('DB Costi-Ore YtD'!$A:$A),SUMIFS('DB Costi-Ore YtD'!$F:$F,'DB Costi-Ore YtD'!$A:$A,H$1,'DB Costi-Ore YtD'!$B:$B,$A55,'DB Costi-Ore YtD'!$E:$E,$C55)-SUM($D55:G55),0)</f>
        <v>0</v>
      </c>
      <c r="I55" s="9">
        <f>IF((I$1*1)&lt;=MAX('DB Costi-Ore YtD'!$A:$A),SUMIFS('DB Costi-Ore YtD'!$F:$F,'DB Costi-Ore YtD'!$A:$A,I$1,'DB Costi-Ore YtD'!$B:$B,$A55,'DB Costi-Ore YtD'!$E:$E,$C55)-SUM($D55:H55),0)</f>
        <v>0</v>
      </c>
      <c r="J55" s="9">
        <f>IF((J$1*1)&lt;=MAX('DB Costi-Ore YtD'!$A:$A),SUMIFS('DB Costi-Ore YtD'!$F:$F,'DB Costi-Ore YtD'!$A:$A,J$1,'DB Costi-Ore YtD'!$B:$B,$A55,'DB Costi-Ore YtD'!$E:$E,$C55)-SUM($D55:I55),0)</f>
        <v>0</v>
      </c>
      <c r="K55" s="9">
        <f>IF((K$1*1)&lt;=MAX('DB Costi-Ore YtD'!$A:$A),SUMIFS('DB Costi-Ore YtD'!$F:$F,'DB Costi-Ore YtD'!$A:$A,K$1,'DB Costi-Ore YtD'!$B:$B,$A55,'DB Costi-Ore YtD'!$E:$E,$C55)-SUM($D55:J55),0)</f>
        <v>0</v>
      </c>
      <c r="L55" s="9">
        <f>IF((L$1*1)&lt;=MAX('DB Costi-Ore YtD'!$A:$A),SUMIFS('DB Costi-Ore YtD'!$F:$F,'DB Costi-Ore YtD'!$A:$A,L$1,'DB Costi-Ore YtD'!$B:$B,$A55,'DB Costi-Ore YtD'!$E:$E,$C55)-SUM($D55:K55),0)</f>
        <v>0</v>
      </c>
      <c r="M55" s="9">
        <f>IF((M$1*1)&lt;=MAX('DB Costi-Ore YtD'!$A:$A),SUMIFS('DB Costi-Ore YtD'!$F:$F,'DB Costi-Ore YtD'!$A:$A,M$1,'DB Costi-Ore YtD'!$B:$B,$A55,'DB Costi-Ore YtD'!$E:$E,$C55)-SUM($D55:L55),0)</f>
        <v>0</v>
      </c>
      <c r="N55" s="9">
        <f>IF((N$1*1)&lt;=MAX('DB Costi-Ore YtD'!$A:$A),SUMIFS('DB Costi-Ore YtD'!$F:$F,'DB Costi-Ore YtD'!$A:$A,N$1,'DB Costi-Ore YtD'!$B:$B,$A55,'DB Costi-Ore YtD'!$E:$E,$C55)-SUM($D55:M55),0)</f>
        <v>0</v>
      </c>
      <c r="O55" s="9">
        <f>IF((O$1*1)&lt;=MAX('DB Costi-Ore YtD'!$A:$A),SUMIFS('DB Costi-Ore YtD'!$F:$F,'DB Costi-Ore YtD'!$A:$A,O$1,'DB Costi-Ore YtD'!$B:$B,$A55,'DB Costi-Ore YtD'!$E:$E,$C55)-SUM($D55:N55),0)</f>
        <v>0</v>
      </c>
    </row>
    <row r="56" spans="1:15" x14ac:dyDescent="0.3">
      <c r="A56" s="9" t="s">
        <v>137</v>
      </c>
      <c r="B56" s="9" t="s">
        <v>138</v>
      </c>
      <c r="C56" s="9" t="s">
        <v>2</v>
      </c>
      <c r="D56" s="9">
        <f>IF((D$1*1)&lt;=MAX('DB Costi-Ore YtD'!$A:$A),SUMIFS('DB Costi-Ore YtD'!$F:$F,'DB Costi-Ore YtD'!$A:$A,D$1,'DB Costi-Ore YtD'!$B:$B,$A56,'DB Costi-Ore YtD'!$E:$E,$C56),0)</f>
        <v>104.5</v>
      </c>
      <c r="E56" s="9">
        <f>IF((E$1*1)&lt;=MAX('DB Costi-Ore YtD'!$A:$A),SUMIFS('DB Costi-Ore YtD'!$F:$F,'DB Costi-Ore YtD'!$A:$A,E$1,'DB Costi-Ore YtD'!$B:$B,$A56,'DB Costi-Ore YtD'!$E:$E,$C56)-SUM($D56:D56),0)</f>
        <v>140.5</v>
      </c>
      <c r="F56" s="9">
        <f>IF((F$1*1)&lt;=MAX('DB Costi-Ore YtD'!$A:$A),SUMIFS('DB Costi-Ore YtD'!$F:$F,'DB Costi-Ore YtD'!$A:$A,F$1,'DB Costi-Ore YtD'!$B:$B,$A56,'DB Costi-Ore YtD'!$E:$E,$C56)-SUM($D56:E56),0)</f>
        <v>72.75</v>
      </c>
      <c r="G56" s="9">
        <f>IF((G$1*1)&lt;=MAX('DB Costi-Ore YtD'!$A:$A),SUMIFS('DB Costi-Ore YtD'!$F:$F,'DB Costi-Ore YtD'!$A:$A,G$1,'DB Costi-Ore YtD'!$B:$B,$A56,'DB Costi-Ore YtD'!$E:$E,$C56)-SUM($D56:F56),0)</f>
        <v>130</v>
      </c>
      <c r="H56" s="9">
        <f>IF((H$1*1)&lt;=MAX('DB Costi-Ore YtD'!$A:$A),SUMIFS('DB Costi-Ore YtD'!$F:$F,'DB Costi-Ore YtD'!$A:$A,H$1,'DB Costi-Ore YtD'!$B:$B,$A56,'DB Costi-Ore YtD'!$E:$E,$C56)-SUM($D56:G56),0)</f>
        <v>140</v>
      </c>
      <c r="I56" s="9">
        <f>IF((I$1*1)&lt;=MAX('DB Costi-Ore YtD'!$A:$A),SUMIFS('DB Costi-Ore YtD'!$F:$F,'DB Costi-Ore YtD'!$A:$A,I$1,'DB Costi-Ore YtD'!$B:$B,$A56,'DB Costi-Ore YtD'!$E:$E,$C56)-SUM($D56:H56),0)</f>
        <v>135</v>
      </c>
      <c r="J56" s="9">
        <f>IF((J$1*1)&lt;=MAX('DB Costi-Ore YtD'!$A:$A),SUMIFS('DB Costi-Ore YtD'!$F:$F,'DB Costi-Ore YtD'!$A:$A,J$1,'DB Costi-Ore YtD'!$B:$B,$A56,'DB Costi-Ore YtD'!$E:$E,$C56)-SUM($D56:I56),0)</f>
        <v>0</v>
      </c>
      <c r="K56" s="9">
        <f>IF((K$1*1)&lt;=MAX('DB Costi-Ore YtD'!$A:$A),SUMIFS('DB Costi-Ore YtD'!$F:$F,'DB Costi-Ore YtD'!$A:$A,K$1,'DB Costi-Ore YtD'!$B:$B,$A56,'DB Costi-Ore YtD'!$E:$E,$C56)-SUM($D56:J56),0)</f>
        <v>0</v>
      </c>
      <c r="L56" s="9">
        <f>IF((L$1*1)&lt;=MAX('DB Costi-Ore YtD'!$A:$A),SUMIFS('DB Costi-Ore YtD'!$F:$F,'DB Costi-Ore YtD'!$A:$A,L$1,'DB Costi-Ore YtD'!$B:$B,$A56,'DB Costi-Ore YtD'!$E:$E,$C56)-SUM($D56:K56),0)</f>
        <v>0</v>
      </c>
      <c r="M56" s="9">
        <f>IF((M$1*1)&lt;=MAX('DB Costi-Ore YtD'!$A:$A),SUMIFS('DB Costi-Ore YtD'!$F:$F,'DB Costi-Ore YtD'!$A:$A,M$1,'DB Costi-Ore YtD'!$B:$B,$A56,'DB Costi-Ore YtD'!$E:$E,$C56)-SUM($D56:L56),0)</f>
        <v>0</v>
      </c>
      <c r="N56" s="9">
        <f>IF((N$1*1)&lt;=MAX('DB Costi-Ore YtD'!$A:$A),SUMIFS('DB Costi-Ore YtD'!$F:$F,'DB Costi-Ore YtD'!$A:$A,N$1,'DB Costi-Ore YtD'!$B:$B,$A56,'DB Costi-Ore YtD'!$E:$E,$C56)-SUM($D56:M56),0)</f>
        <v>0</v>
      </c>
      <c r="O56" s="9">
        <f>IF((O$1*1)&lt;=MAX('DB Costi-Ore YtD'!$A:$A),SUMIFS('DB Costi-Ore YtD'!$F:$F,'DB Costi-Ore YtD'!$A:$A,O$1,'DB Costi-Ore YtD'!$B:$B,$A56,'DB Costi-Ore YtD'!$E:$E,$C56)-SUM($D56:N56),0)</f>
        <v>0</v>
      </c>
    </row>
    <row r="57" spans="1:15" x14ac:dyDescent="0.3">
      <c r="A57" s="9" t="s">
        <v>139</v>
      </c>
      <c r="B57" s="9" t="s">
        <v>140</v>
      </c>
      <c r="C57" s="9" t="s">
        <v>13</v>
      </c>
      <c r="D57" s="9">
        <f>IF((D$1*1)&lt;=MAX('DB Costi-Ore YtD'!$A:$A),SUMIFS('DB Costi-Ore YtD'!$F:$F,'DB Costi-Ore YtD'!$A:$A,D$1,'DB Costi-Ore YtD'!$B:$B,$A57,'DB Costi-Ore YtD'!$E:$E,$C57),0)</f>
        <v>160.75</v>
      </c>
      <c r="E57" s="9">
        <f>IF((E$1*1)&lt;=MAX('DB Costi-Ore YtD'!$A:$A),SUMIFS('DB Costi-Ore YtD'!$F:$F,'DB Costi-Ore YtD'!$A:$A,E$1,'DB Costi-Ore YtD'!$B:$B,$A57,'DB Costi-Ore YtD'!$E:$E,$C57)-SUM($D57:D57),0)</f>
        <v>142.75</v>
      </c>
      <c r="F57" s="9">
        <f>IF((F$1*1)&lt;=MAX('DB Costi-Ore YtD'!$A:$A),SUMIFS('DB Costi-Ore YtD'!$F:$F,'DB Costi-Ore YtD'!$A:$A,F$1,'DB Costi-Ore YtD'!$B:$B,$A57,'DB Costi-Ore YtD'!$E:$E,$C57)-SUM($D57:E57),0)</f>
        <v>170</v>
      </c>
      <c r="G57" s="9">
        <f>IF((G$1*1)&lt;=MAX('DB Costi-Ore YtD'!$A:$A),SUMIFS('DB Costi-Ore YtD'!$F:$F,'DB Costi-Ore YtD'!$A:$A,G$1,'DB Costi-Ore YtD'!$B:$B,$A57,'DB Costi-Ore YtD'!$E:$E,$C57)-SUM($D57:F57),0)</f>
        <v>171</v>
      </c>
      <c r="H57" s="9">
        <f>IF((H$1*1)&lt;=MAX('DB Costi-Ore YtD'!$A:$A),SUMIFS('DB Costi-Ore YtD'!$F:$F,'DB Costi-Ore YtD'!$A:$A,H$1,'DB Costi-Ore YtD'!$B:$B,$A57,'DB Costi-Ore YtD'!$E:$E,$C57)-SUM($D57:G57),0)</f>
        <v>144.75</v>
      </c>
      <c r="I57" s="9">
        <f>IF((I$1*1)&lt;=MAX('DB Costi-Ore YtD'!$A:$A),SUMIFS('DB Costi-Ore YtD'!$F:$F,'DB Costi-Ore YtD'!$A:$A,I$1,'DB Costi-Ore YtD'!$B:$B,$A57,'DB Costi-Ore YtD'!$E:$E,$C57)-SUM($D57:H57),0)</f>
        <v>126.25</v>
      </c>
      <c r="J57" s="9">
        <f>IF((J$1*1)&lt;=MAX('DB Costi-Ore YtD'!$A:$A),SUMIFS('DB Costi-Ore YtD'!$F:$F,'DB Costi-Ore YtD'!$A:$A,J$1,'DB Costi-Ore YtD'!$B:$B,$A57,'DB Costi-Ore YtD'!$E:$E,$C57)-SUM($D57:I57),0)</f>
        <v>0</v>
      </c>
      <c r="K57" s="9">
        <f>IF((K$1*1)&lt;=MAX('DB Costi-Ore YtD'!$A:$A),SUMIFS('DB Costi-Ore YtD'!$F:$F,'DB Costi-Ore YtD'!$A:$A,K$1,'DB Costi-Ore YtD'!$B:$B,$A57,'DB Costi-Ore YtD'!$E:$E,$C57)-SUM($D57:J57),0)</f>
        <v>0</v>
      </c>
      <c r="L57" s="9">
        <f>IF((L$1*1)&lt;=MAX('DB Costi-Ore YtD'!$A:$A),SUMIFS('DB Costi-Ore YtD'!$F:$F,'DB Costi-Ore YtD'!$A:$A,L$1,'DB Costi-Ore YtD'!$B:$B,$A57,'DB Costi-Ore YtD'!$E:$E,$C57)-SUM($D57:K57),0)</f>
        <v>0</v>
      </c>
      <c r="M57" s="9">
        <f>IF((M$1*1)&lt;=MAX('DB Costi-Ore YtD'!$A:$A),SUMIFS('DB Costi-Ore YtD'!$F:$F,'DB Costi-Ore YtD'!$A:$A,M$1,'DB Costi-Ore YtD'!$B:$B,$A57,'DB Costi-Ore YtD'!$E:$E,$C57)-SUM($D57:L57),0)</f>
        <v>0</v>
      </c>
      <c r="N57" s="9">
        <f>IF((N$1*1)&lt;=MAX('DB Costi-Ore YtD'!$A:$A),SUMIFS('DB Costi-Ore YtD'!$F:$F,'DB Costi-Ore YtD'!$A:$A,N$1,'DB Costi-Ore YtD'!$B:$B,$A57,'DB Costi-Ore YtD'!$E:$E,$C57)-SUM($D57:M57),0)</f>
        <v>0</v>
      </c>
      <c r="O57" s="9">
        <f>IF((O$1*1)&lt;=MAX('DB Costi-Ore YtD'!$A:$A),SUMIFS('DB Costi-Ore YtD'!$F:$F,'DB Costi-Ore YtD'!$A:$A,O$1,'DB Costi-Ore YtD'!$B:$B,$A57,'DB Costi-Ore YtD'!$E:$E,$C57)-SUM($D57:N57),0)</f>
        <v>0</v>
      </c>
    </row>
    <row r="58" spans="1:15" x14ac:dyDescent="0.3">
      <c r="A58" s="9" t="s">
        <v>141</v>
      </c>
      <c r="B58" s="9" t="s">
        <v>142</v>
      </c>
      <c r="C58" s="9" t="s">
        <v>11</v>
      </c>
      <c r="D58" s="9">
        <f>IF((D$1*1)&lt;=MAX('DB Costi-Ore YtD'!$A:$A),SUMIFS('DB Costi-Ore YtD'!$F:$F,'DB Costi-Ore YtD'!$A:$A,D$1,'DB Costi-Ore YtD'!$B:$B,$A58,'DB Costi-Ore YtD'!$E:$E,$C58),0)</f>
        <v>70.5</v>
      </c>
      <c r="E58" s="9">
        <f>IF((E$1*1)&lt;=MAX('DB Costi-Ore YtD'!$A:$A),SUMIFS('DB Costi-Ore YtD'!$F:$F,'DB Costi-Ore YtD'!$A:$A,E$1,'DB Costi-Ore YtD'!$B:$B,$A58,'DB Costi-Ore YtD'!$E:$E,$C58)-SUM($D58:D58),0)</f>
        <v>75</v>
      </c>
      <c r="F58" s="9">
        <f>IF((F$1*1)&lt;=MAX('DB Costi-Ore YtD'!$A:$A),SUMIFS('DB Costi-Ore YtD'!$F:$F,'DB Costi-Ore YtD'!$A:$A,F$1,'DB Costi-Ore YtD'!$B:$B,$A58,'DB Costi-Ore YtD'!$E:$E,$C58)-SUM($D58:E58),0)</f>
        <v>60.25</v>
      </c>
      <c r="G58" s="9">
        <f>IF((G$1*1)&lt;=MAX('DB Costi-Ore YtD'!$A:$A),SUMIFS('DB Costi-Ore YtD'!$F:$F,'DB Costi-Ore YtD'!$A:$A,G$1,'DB Costi-Ore YtD'!$B:$B,$A58,'DB Costi-Ore YtD'!$E:$E,$C58)-SUM($D58:F58),0)</f>
        <v>57.5</v>
      </c>
      <c r="H58" s="9">
        <f>IF((H$1*1)&lt;=MAX('DB Costi-Ore YtD'!$A:$A),SUMIFS('DB Costi-Ore YtD'!$F:$F,'DB Costi-Ore YtD'!$A:$A,H$1,'DB Costi-Ore YtD'!$B:$B,$A58,'DB Costi-Ore YtD'!$E:$E,$C58)-SUM($D58:G58),0)</f>
        <v>58.5</v>
      </c>
      <c r="I58" s="9">
        <f>IF((I$1*1)&lt;=MAX('DB Costi-Ore YtD'!$A:$A),SUMIFS('DB Costi-Ore YtD'!$F:$F,'DB Costi-Ore YtD'!$A:$A,I$1,'DB Costi-Ore YtD'!$B:$B,$A58,'DB Costi-Ore YtD'!$E:$E,$C58)-SUM($D58:H58),0)</f>
        <v>69.5</v>
      </c>
      <c r="J58" s="9">
        <f>IF((J$1*1)&lt;=MAX('DB Costi-Ore YtD'!$A:$A),SUMIFS('DB Costi-Ore YtD'!$F:$F,'DB Costi-Ore YtD'!$A:$A,J$1,'DB Costi-Ore YtD'!$B:$B,$A58,'DB Costi-Ore YtD'!$E:$E,$C58)-SUM($D58:I58),0)</f>
        <v>0</v>
      </c>
      <c r="K58" s="9">
        <f>IF((K$1*1)&lt;=MAX('DB Costi-Ore YtD'!$A:$A),SUMIFS('DB Costi-Ore YtD'!$F:$F,'DB Costi-Ore YtD'!$A:$A,K$1,'DB Costi-Ore YtD'!$B:$B,$A58,'DB Costi-Ore YtD'!$E:$E,$C58)-SUM($D58:J58),0)</f>
        <v>0</v>
      </c>
      <c r="L58" s="9">
        <f>IF((L$1*1)&lt;=MAX('DB Costi-Ore YtD'!$A:$A),SUMIFS('DB Costi-Ore YtD'!$F:$F,'DB Costi-Ore YtD'!$A:$A,L$1,'DB Costi-Ore YtD'!$B:$B,$A58,'DB Costi-Ore YtD'!$E:$E,$C58)-SUM($D58:K58),0)</f>
        <v>0</v>
      </c>
      <c r="M58" s="9">
        <f>IF((M$1*1)&lt;=MAX('DB Costi-Ore YtD'!$A:$A),SUMIFS('DB Costi-Ore YtD'!$F:$F,'DB Costi-Ore YtD'!$A:$A,M$1,'DB Costi-Ore YtD'!$B:$B,$A58,'DB Costi-Ore YtD'!$E:$E,$C58)-SUM($D58:L58),0)</f>
        <v>0</v>
      </c>
      <c r="N58" s="9">
        <f>IF((N$1*1)&lt;=MAX('DB Costi-Ore YtD'!$A:$A),SUMIFS('DB Costi-Ore YtD'!$F:$F,'DB Costi-Ore YtD'!$A:$A,N$1,'DB Costi-Ore YtD'!$B:$B,$A58,'DB Costi-Ore YtD'!$E:$E,$C58)-SUM($D58:M58),0)</f>
        <v>0</v>
      </c>
      <c r="O58" s="9">
        <f>IF((O$1*1)&lt;=MAX('DB Costi-Ore YtD'!$A:$A),SUMIFS('DB Costi-Ore YtD'!$F:$F,'DB Costi-Ore YtD'!$A:$A,O$1,'DB Costi-Ore YtD'!$B:$B,$A58,'DB Costi-Ore YtD'!$E:$E,$C58)-SUM($D58:N58),0)</f>
        <v>0</v>
      </c>
    </row>
    <row r="59" spans="1:15" x14ac:dyDescent="0.3">
      <c r="A59" s="9" t="s">
        <v>143</v>
      </c>
      <c r="B59" s="9" t="s">
        <v>144</v>
      </c>
      <c r="C59" s="9" t="s">
        <v>2</v>
      </c>
      <c r="D59" s="9">
        <f>IF((D$1*1)&lt;=MAX('DB Costi-Ore YtD'!$A:$A),SUMIFS('DB Costi-Ore YtD'!$F:$F,'DB Costi-Ore YtD'!$A:$A,D$1,'DB Costi-Ore YtD'!$B:$B,$A59,'DB Costi-Ore YtD'!$E:$E,$C59),0)</f>
        <v>135.25</v>
      </c>
      <c r="E59" s="9">
        <f>IF((E$1*1)&lt;=MAX('DB Costi-Ore YtD'!$A:$A),SUMIFS('DB Costi-Ore YtD'!$F:$F,'DB Costi-Ore YtD'!$A:$A,E$1,'DB Costi-Ore YtD'!$B:$B,$A59,'DB Costi-Ore YtD'!$E:$E,$C59)-SUM($D59:D59),0)</f>
        <v>112</v>
      </c>
      <c r="F59" s="9">
        <f>IF((F$1*1)&lt;=MAX('DB Costi-Ore YtD'!$A:$A),SUMIFS('DB Costi-Ore YtD'!$F:$F,'DB Costi-Ore YtD'!$A:$A,F$1,'DB Costi-Ore YtD'!$B:$B,$A59,'DB Costi-Ore YtD'!$E:$E,$C59)-SUM($D59:E59),0)</f>
        <v>116.25</v>
      </c>
      <c r="G59" s="9">
        <f>IF((G$1*1)&lt;=MAX('DB Costi-Ore YtD'!$A:$A),SUMIFS('DB Costi-Ore YtD'!$F:$F,'DB Costi-Ore YtD'!$A:$A,G$1,'DB Costi-Ore YtD'!$B:$B,$A59,'DB Costi-Ore YtD'!$E:$E,$C59)-SUM($D59:F59),0)</f>
        <v>120.25</v>
      </c>
      <c r="H59" s="9">
        <f>IF((H$1*1)&lt;=MAX('DB Costi-Ore YtD'!$A:$A),SUMIFS('DB Costi-Ore YtD'!$F:$F,'DB Costi-Ore YtD'!$A:$A,H$1,'DB Costi-Ore YtD'!$B:$B,$A59,'DB Costi-Ore YtD'!$E:$E,$C59)-SUM($D59:G59),0)</f>
        <v>75.25</v>
      </c>
      <c r="I59" s="9">
        <f>IF((I$1*1)&lt;=MAX('DB Costi-Ore YtD'!$A:$A),SUMIFS('DB Costi-Ore YtD'!$F:$F,'DB Costi-Ore YtD'!$A:$A,I$1,'DB Costi-Ore YtD'!$B:$B,$A59,'DB Costi-Ore YtD'!$E:$E,$C59)-SUM($D59:H59),0)</f>
        <v>79.75</v>
      </c>
      <c r="J59" s="9">
        <f>IF((J$1*1)&lt;=MAX('DB Costi-Ore YtD'!$A:$A),SUMIFS('DB Costi-Ore YtD'!$F:$F,'DB Costi-Ore YtD'!$A:$A,J$1,'DB Costi-Ore YtD'!$B:$B,$A59,'DB Costi-Ore YtD'!$E:$E,$C59)-SUM($D59:I59),0)</f>
        <v>0</v>
      </c>
      <c r="K59" s="9">
        <f>IF((K$1*1)&lt;=MAX('DB Costi-Ore YtD'!$A:$A),SUMIFS('DB Costi-Ore YtD'!$F:$F,'DB Costi-Ore YtD'!$A:$A,K$1,'DB Costi-Ore YtD'!$B:$B,$A59,'DB Costi-Ore YtD'!$E:$E,$C59)-SUM($D59:J59),0)</f>
        <v>0</v>
      </c>
      <c r="L59" s="9">
        <f>IF((L$1*1)&lt;=MAX('DB Costi-Ore YtD'!$A:$A),SUMIFS('DB Costi-Ore YtD'!$F:$F,'DB Costi-Ore YtD'!$A:$A,L$1,'DB Costi-Ore YtD'!$B:$B,$A59,'DB Costi-Ore YtD'!$E:$E,$C59)-SUM($D59:K59),0)</f>
        <v>0</v>
      </c>
      <c r="M59" s="9">
        <f>IF((M$1*1)&lt;=MAX('DB Costi-Ore YtD'!$A:$A),SUMIFS('DB Costi-Ore YtD'!$F:$F,'DB Costi-Ore YtD'!$A:$A,M$1,'DB Costi-Ore YtD'!$B:$B,$A59,'DB Costi-Ore YtD'!$E:$E,$C59)-SUM($D59:L59),0)</f>
        <v>0</v>
      </c>
      <c r="N59" s="9">
        <f>IF((N$1*1)&lt;=MAX('DB Costi-Ore YtD'!$A:$A),SUMIFS('DB Costi-Ore YtD'!$F:$F,'DB Costi-Ore YtD'!$A:$A,N$1,'DB Costi-Ore YtD'!$B:$B,$A59,'DB Costi-Ore YtD'!$E:$E,$C59)-SUM($D59:M59),0)</f>
        <v>0</v>
      </c>
      <c r="O59" s="9">
        <f>IF((O$1*1)&lt;=MAX('DB Costi-Ore YtD'!$A:$A),SUMIFS('DB Costi-Ore YtD'!$F:$F,'DB Costi-Ore YtD'!$A:$A,O$1,'DB Costi-Ore YtD'!$B:$B,$A59,'DB Costi-Ore YtD'!$E:$E,$C59)-SUM($D59:N59),0)</f>
        <v>0</v>
      </c>
    </row>
    <row r="60" spans="1:15" x14ac:dyDescent="0.3">
      <c r="A60" s="9" t="s">
        <v>145</v>
      </c>
      <c r="B60" s="9" t="s">
        <v>146</v>
      </c>
      <c r="C60" s="9" t="s">
        <v>6</v>
      </c>
      <c r="D60" s="9">
        <f>IF((D$1*1)&lt;=MAX('DB Costi-Ore YtD'!$A:$A),SUMIFS('DB Costi-Ore YtD'!$F:$F,'DB Costi-Ore YtD'!$A:$A,D$1,'DB Costi-Ore YtD'!$B:$B,$A60,'DB Costi-Ore YtD'!$E:$E,$C60),0)</f>
        <v>106</v>
      </c>
      <c r="E60" s="9">
        <f>IF((E$1*1)&lt;=MAX('DB Costi-Ore YtD'!$A:$A),SUMIFS('DB Costi-Ore YtD'!$F:$F,'DB Costi-Ore YtD'!$A:$A,E$1,'DB Costi-Ore YtD'!$B:$B,$A60,'DB Costi-Ore YtD'!$E:$E,$C60)-SUM($D60:D60),0)</f>
        <v>95</v>
      </c>
      <c r="F60" s="9">
        <f>IF((F$1*1)&lt;=MAX('DB Costi-Ore YtD'!$A:$A),SUMIFS('DB Costi-Ore YtD'!$F:$F,'DB Costi-Ore YtD'!$A:$A,F$1,'DB Costi-Ore YtD'!$B:$B,$A60,'DB Costi-Ore YtD'!$E:$E,$C60)-SUM($D60:E60),0)</f>
        <v>115</v>
      </c>
      <c r="G60" s="9">
        <f>IF((G$1*1)&lt;=MAX('DB Costi-Ore YtD'!$A:$A),SUMIFS('DB Costi-Ore YtD'!$F:$F,'DB Costi-Ore YtD'!$A:$A,G$1,'DB Costi-Ore YtD'!$B:$B,$A60,'DB Costi-Ore YtD'!$E:$E,$C60)-SUM($D60:F60),0)</f>
        <v>72.75</v>
      </c>
      <c r="H60" s="9">
        <f>IF((H$1*1)&lt;=MAX('DB Costi-Ore YtD'!$A:$A),SUMIFS('DB Costi-Ore YtD'!$F:$F,'DB Costi-Ore YtD'!$A:$A,H$1,'DB Costi-Ore YtD'!$B:$B,$A60,'DB Costi-Ore YtD'!$E:$E,$C60)-SUM($D60:G60),0)</f>
        <v>116.25</v>
      </c>
      <c r="I60" s="9">
        <f>IF((I$1*1)&lt;=MAX('DB Costi-Ore YtD'!$A:$A),SUMIFS('DB Costi-Ore YtD'!$F:$F,'DB Costi-Ore YtD'!$A:$A,I$1,'DB Costi-Ore YtD'!$B:$B,$A60,'DB Costi-Ore YtD'!$E:$E,$C60)-SUM($D60:H60),0)</f>
        <v>134.5</v>
      </c>
      <c r="J60" s="9">
        <f>IF((J$1*1)&lt;=MAX('DB Costi-Ore YtD'!$A:$A),SUMIFS('DB Costi-Ore YtD'!$F:$F,'DB Costi-Ore YtD'!$A:$A,J$1,'DB Costi-Ore YtD'!$B:$B,$A60,'DB Costi-Ore YtD'!$E:$E,$C60)-SUM($D60:I60),0)</f>
        <v>0</v>
      </c>
      <c r="K60" s="9">
        <f>IF((K$1*1)&lt;=MAX('DB Costi-Ore YtD'!$A:$A),SUMIFS('DB Costi-Ore YtD'!$F:$F,'DB Costi-Ore YtD'!$A:$A,K$1,'DB Costi-Ore YtD'!$B:$B,$A60,'DB Costi-Ore YtD'!$E:$E,$C60)-SUM($D60:J60),0)</f>
        <v>0</v>
      </c>
      <c r="L60" s="9">
        <f>IF((L$1*1)&lt;=MAX('DB Costi-Ore YtD'!$A:$A),SUMIFS('DB Costi-Ore YtD'!$F:$F,'DB Costi-Ore YtD'!$A:$A,L$1,'DB Costi-Ore YtD'!$B:$B,$A60,'DB Costi-Ore YtD'!$E:$E,$C60)-SUM($D60:K60),0)</f>
        <v>0</v>
      </c>
      <c r="M60" s="9">
        <f>IF((M$1*1)&lt;=MAX('DB Costi-Ore YtD'!$A:$A),SUMIFS('DB Costi-Ore YtD'!$F:$F,'DB Costi-Ore YtD'!$A:$A,M$1,'DB Costi-Ore YtD'!$B:$B,$A60,'DB Costi-Ore YtD'!$E:$E,$C60)-SUM($D60:L60),0)</f>
        <v>0</v>
      </c>
      <c r="N60" s="9">
        <f>IF((N$1*1)&lt;=MAX('DB Costi-Ore YtD'!$A:$A),SUMIFS('DB Costi-Ore YtD'!$F:$F,'DB Costi-Ore YtD'!$A:$A,N$1,'DB Costi-Ore YtD'!$B:$B,$A60,'DB Costi-Ore YtD'!$E:$E,$C60)-SUM($D60:M60),0)</f>
        <v>0</v>
      </c>
      <c r="O60" s="9">
        <f>IF((O$1*1)&lt;=MAX('DB Costi-Ore YtD'!$A:$A),SUMIFS('DB Costi-Ore YtD'!$F:$F,'DB Costi-Ore YtD'!$A:$A,O$1,'DB Costi-Ore YtD'!$B:$B,$A60,'DB Costi-Ore YtD'!$E:$E,$C60)-SUM($D60:N60),0)</f>
        <v>0</v>
      </c>
    </row>
    <row r="61" spans="1:15" x14ac:dyDescent="0.3">
      <c r="A61" s="9" t="s">
        <v>147</v>
      </c>
      <c r="B61" s="9" t="s">
        <v>148</v>
      </c>
      <c r="C61" s="9" t="s">
        <v>8</v>
      </c>
      <c r="D61" s="9">
        <f>IF((D$1*1)&lt;=MAX('DB Costi-Ore YtD'!$A:$A),SUMIFS('DB Costi-Ore YtD'!$F:$F,'DB Costi-Ore YtD'!$A:$A,D$1,'DB Costi-Ore YtD'!$B:$B,$A61,'DB Costi-Ore YtD'!$E:$E,$C61),0)</f>
        <v>141.5</v>
      </c>
      <c r="E61" s="9">
        <f>IF((E$1*1)&lt;=MAX('DB Costi-Ore YtD'!$A:$A),SUMIFS('DB Costi-Ore YtD'!$F:$F,'DB Costi-Ore YtD'!$A:$A,E$1,'DB Costi-Ore YtD'!$B:$B,$A61,'DB Costi-Ore YtD'!$E:$E,$C61)-SUM($D61:D61),0)</f>
        <v>136.75</v>
      </c>
      <c r="F61" s="9">
        <f>IF((F$1*1)&lt;=MAX('DB Costi-Ore YtD'!$A:$A),SUMIFS('DB Costi-Ore YtD'!$F:$F,'DB Costi-Ore YtD'!$A:$A,F$1,'DB Costi-Ore YtD'!$B:$B,$A61,'DB Costi-Ore YtD'!$E:$E,$C61)-SUM($D61:E61),0)</f>
        <v>152</v>
      </c>
      <c r="G61" s="9">
        <f>IF((G$1*1)&lt;=MAX('DB Costi-Ore YtD'!$A:$A),SUMIFS('DB Costi-Ore YtD'!$F:$F,'DB Costi-Ore YtD'!$A:$A,G$1,'DB Costi-Ore YtD'!$B:$B,$A61,'DB Costi-Ore YtD'!$E:$E,$C61)-SUM($D61:F61),0)</f>
        <v>111.5</v>
      </c>
      <c r="H61" s="9">
        <f>IF((H$1*1)&lt;=MAX('DB Costi-Ore YtD'!$A:$A),SUMIFS('DB Costi-Ore YtD'!$F:$F,'DB Costi-Ore YtD'!$A:$A,H$1,'DB Costi-Ore YtD'!$B:$B,$A61,'DB Costi-Ore YtD'!$E:$E,$C61)-SUM($D61:G61),0)</f>
        <v>144</v>
      </c>
      <c r="I61" s="9">
        <f>IF((I$1*1)&lt;=MAX('DB Costi-Ore YtD'!$A:$A),SUMIFS('DB Costi-Ore YtD'!$F:$F,'DB Costi-Ore YtD'!$A:$A,I$1,'DB Costi-Ore YtD'!$B:$B,$A61,'DB Costi-Ore YtD'!$E:$E,$C61)-SUM($D61:H61),0)</f>
        <v>146.5</v>
      </c>
      <c r="J61" s="9">
        <f>IF((J$1*1)&lt;=MAX('DB Costi-Ore YtD'!$A:$A),SUMIFS('DB Costi-Ore YtD'!$F:$F,'DB Costi-Ore YtD'!$A:$A,J$1,'DB Costi-Ore YtD'!$B:$B,$A61,'DB Costi-Ore YtD'!$E:$E,$C61)-SUM($D61:I61),0)</f>
        <v>0</v>
      </c>
      <c r="K61" s="9">
        <f>IF((K$1*1)&lt;=MAX('DB Costi-Ore YtD'!$A:$A),SUMIFS('DB Costi-Ore YtD'!$F:$F,'DB Costi-Ore YtD'!$A:$A,K$1,'DB Costi-Ore YtD'!$B:$B,$A61,'DB Costi-Ore YtD'!$E:$E,$C61)-SUM($D61:J61),0)</f>
        <v>0</v>
      </c>
      <c r="L61" s="9">
        <f>IF((L$1*1)&lt;=MAX('DB Costi-Ore YtD'!$A:$A),SUMIFS('DB Costi-Ore YtD'!$F:$F,'DB Costi-Ore YtD'!$A:$A,L$1,'DB Costi-Ore YtD'!$B:$B,$A61,'DB Costi-Ore YtD'!$E:$E,$C61)-SUM($D61:K61),0)</f>
        <v>0</v>
      </c>
      <c r="M61" s="9">
        <f>IF((M$1*1)&lt;=MAX('DB Costi-Ore YtD'!$A:$A),SUMIFS('DB Costi-Ore YtD'!$F:$F,'DB Costi-Ore YtD'!$A:$A,M$1,'DB Costi-Ore YtD'!$B:$B,$A61,'DB Costi-Ore YtD'!$E:$E,$C61)-SUM($D61:L61),0)</f>
        <v>0</v>
      </c>
      <c r="N61" s="9">
        <f>IF((N$1*1)&lt;=MAX('DB Costi-Ore YtD'!$A:$A),SUMIFS('DB Costi-Ore YtD'!$F:$F,'DB Costi-Ore YtD'!$A:$A,N$1,'DB Costi-Ore YtD'!$B:$B,$A61,'DB Costi-Ore YtD'!$E:$E,$C61)-SUM($D61:M61),0)</f>
        <v>0</v>
      </c>
      <c r="O61" s="9">
        <f>IF((O$1*1)&lt;=MAX('DB Costi-Ore YtD'!$A:$A),SUMIFS('DB Costi-Ore YtD'!$F:$F,'DB Costi-Ore YtD'!$A:$A,O$1,'DB Costi-Ore YtD'!$B:$B,$A61,'DB Costi-Ore YtD'!$E:$E,$C61)-SUM($D61:N61),0)</f>
        <v>0</v>
      </c>
    </row>
    <row r="62" spans="1:15" x14ac:dyDescent="0.3">
      <c r="A62" s="9" t="s">
        <v>149</v>
      </c>
      <c r="B62" s="9" t="s">
        <v>150</v>
      </c>
      <c r="C62" s="9" t="s">
        <v>10</v>
      </c>
      <c r="D62" s="9">
        <f>IF((D$1*1)&lt;=MAX('DB Costi-Ore YtD'!$A:$A),SUMIFS('DB Costi-Ore YtD'!$F:$F,'DB Costi-Ore YtD'!$A:$A,D$1,'DB Costi-Ore YtD'!$B:$B,$A62,'DB Costi-Ore YtD'!$E:$E,$C62),0)</f>
        <v>0</v>
      </c>
      <c r="E62" s="9">
        <f>IF((E$1*1)&lt;=MAX('DB Costi-Ore YtD'!$A:$A),SUMIFS('DB Costi-Ore YtD'!$F:$F,'DB Costi-Ore YtD'!$A:$A,E$1,'DB Costi-Ore YtD'!$B:$B,$A62,'DB Costi-Ore YtD'!$E:$E,$C62)-SUM($D62:D62),0)</f>
        <v>0</v>
      </c>
      <c r="F62" s="9">
        <f>IF((F$1*1)&lt;=MAX('DB Costi-Ore YtD'!$A:$A),SUMIFS('DB Costi-Ore YtD'!$F:$F,'DB Costi-Ore YtD'!$A:$A,F$1,'DB Costi-Ore YtD'!$B:$B,$A62,'DB Costi-Ore YtD'!$E:$E,$C62)-SUM($D62:E62),0)</f>
        <v>0</v>
      </c>
      <c r="G62" s="9">
        <f>IF((G$1*1)&lt;=MAX('DB Costi-Ore YtD'!$A:$A),SUMIFS('DB Costi-Ore YtD'!$F:$F,'DB Costi-Ore YtD'!$A:$A,G$1,'DB Costi-Ore YtD'!$B:$B,$A62,'DB Costi-Ore YtD'!$E:$E,$C62)-SUM($D62:F62),0)</f>
        <v>0</v>
      </c>
      <c r="H62" s="9">
        <f>IF((H$1*1)&lt;=MAX('DB Costi-Ore YtD'!$A:$A),SUMIFS('DB Costi-Ore YtD'!$F:$F,'DB Costi-Ore YtD'!$A:$A,H$1,'DB Costi-Ore YtD'!$B:$B,$A62,'DB Costi-Ore YtD'!$E:$E,$C62)-SUM($D62:G62),0)</f>
        <v>0</v>
      </c>
      <c r="I62" s="9">
        <f>IF((I$1*1)&lt;=MAX('DB Costi-Ore YtD'!$A:$A),SUMIFS('DB Costi-Ore YtD'!$F:$F,'DB Costi-Ore YtD'!$A:$A,I$1,'DB Costi-Ore YtD'!$B:$B,$A62,'DB Costi-Ore YtD'!$E:$E,$C62)-SUM($D62:H62),0)</f>
        <v>0</v>
      </c>
      <c r="J62" s="9">
        <f>IF((J$1*1)&lt;=MAX('DB Costi-Ore YtD'!$A:$A),SUMIFS('DB Costi-Ore YtD'!$F:$F,'DB Costi-Ore YtD'!$A:$A,J$1,'DB Costi-Ore YtD'!$B:$B,$A62,'DB Costi-Ore YtD'!$E:$E,$C62)-SUM($D62:I62),0)</f>
        <v>0</v>
      </c>
      <c r="K62" s="9">
        <f>IF((K$1*1)&lt;=MAX('DB Costi-Ore YtD'!$A:$A),SUMIFS('DB Costi-Ore YtD'!$F:$F,'DB Costi-Ore YtD'!$A:$A,K$1,'DB Costi-Ore YtD'!$B:$B,$A62,'DB Costi-Ore YtD'!$E:$E,$C62)-SUM($D62:J62),0)</f>
        <v>0</v>
      </c>
      <c r="L62" s="9">
        <f>IF((L$1*1)&lt;=MAX('DB Costi-Ore YtD'!$A:$A),SUMIFS('DB Costi-Ore YtD'!$F:$F,'DB Costi-Ore YtD'!$A:$A,L$1,'DB Costi-Ore YtD'!$B:$B,$A62,'DB Costi-Ore YtD'!$E:$E,$C62)-SUM($D62:K62),0)</f>
        <v>0</v>
      </c>
      <c r="M62" s="9">
        <f>IF((M$1*1)&lt;=MAX('DB Costi-Ore YtD'!$A:$A),SUMIFS('DB Costi-Ore YtD'!$F:$F,'DB Costi-Ore YtD'!$A:$A,M$1,'DB Costi-Ore YtD'!$B:$B,$A62,'DB Costi-Ore YtD'!$E:$E,$C62)-SUM($D62:L62),0)</f>
        <v>0</v>
      </c>
      <c r="N62" s="9">
        <f>IF((N$1*1)&lt;=MAX('DB Costi-Ore YtD'!$A:$A),SUMIFS('DB Costi-Ore YtD'!$F:$F,'DB Costi-Ore YtD'!$A:$A,N$1,'DB Costi-Ore YtD'!$B:$B,$A62,'DB Costi-Ore YtD'!$E:$E,$C62)-SUM($D62:M62),0)</f>
        <v>0</v>
      </c>
      <c r="O62" s="9">
        <f>IF((O$1*1)&lt;=MAX('DB Costi-Ore YtD'!$A:$A),SUMIFS('DB Costi-Ore YtD'!$F:$F,'DB Costi-Ore YtD'!$A:$A,O$1,'DB Costi-Ore YtD'!$B:$B,$A62,'DB Costi-Ore YtD'!$E:$E,$C62)-SUM($D62:N62),0)</f>
        <v>0</v>
      </c>
    </row>
    <row r="63" spans="1:15" x14ac:dyDescent="0.3">
      <c r="A63" s="9" t="s">
        <v>151</v>
      </c>
      <c r="B63" s="9" t="s">
        <v>152</v>
      </c>
      <c r="C63" s="9" t="s">
        <v>3</v>
      </c>
      <c r="D63" s="9">
        <f>IF((D$1*1)&lt;=MAX('DB Costi-Ore YtD'!$A:$A),SUMIFS('DB Costi-Ore YtD'!$F:$F,'DB Costi-Ore YtD'!$A:$A,D$1,'DB Costi-Ore YtD'!$B:$B,$A63,'DB Costi-Ore YtD'!$E:$E,$C63),0)</f>
        <v>125</v>
      </c>
      <c r="E63" s="9">
        <f>IF((E$1*1)&lt;=MAX('DB Costi-Ore YtD'!$A:$A),SUMIFS('DB Costi-Ore YtD'!$F:$F,'DB Costi-Ore YtD'!$A:$A,E$1,'DB Costi-Ore YtD'!$B:$B,$A63,'DB Costi-Ore YtD'!$E:$E,$C63)-SUM($D63:D63),0)</f>
        <v>116.25</v>
      </c>
      <c r="F63" s="9">
        <f>IF((F$1*1)&lt;=MAX('DB Costi-Ore YtD'!$A:$A),SUMIFS('DB Costi-Ore YtD'!$F:$F,'DB Costi-Ore YtD'!$A:$A,F$1,'DB Costi-Ore YtD'!$B:$B,$A63,'DB Costi-Ore YtD'!$E:$E,$C63)-SUM($D63:E63),0)</f>
        <v>116</v>
      </c>
      <c r="G63" s="9">
        <f>IF((G$1*1)&lt;=MAX('DB Costi-Ore YtD'!$A:$A),SUMIFS('DB Costi-Ore YtD'!$F:$F,'DB Costi-Ore YtD'!$A:$A,G$1,'DB Costi-Ore YtD'!$B:$B,$A63,'DB Costi-Ore YtD'!$E:$E,$C63)-SUM($D63:F63),0)</f>
        <v>57.5</v>
      </c>
      <c r="H63" s="9">
        <f>IF((H$1*1)&lt;=MAX('DB Costi-Ore YtD'!$A:$A),SUMIFS('DB Costi-Ore YtD'!$F:$F,'DB Costi-Ore YtD'!$A:$A,H$1,'DB Costi-Ore YtD'!$B:$B,$A63,'DB Costi-Ore YtD'!$E:$E,$C63)-SUM($D63:G63),0)</f>
        <v>88</v>
      </c>
      <c r="I63" s="9">
        <f>IF((I$1*1)&lt;=MAX('DB Costi-Ore YtD'!$A:$A),SUMIFS('DB Costi-Ore YtD'!$F:$F,'DB Costi-Ore YtD'!$A:$A,I$1,'DB Costi-Ore YtD'!$B:$B,$A63,'DB Costi-Ore YtD'!$E:$E,$C63)-SUM($D63:H63),0)</f>
        <v>105.75</v>
      </c>
      <c r="J63" s="9">
        <f>IF((J$1*1)&lt;=MAX('DB Costi-Ore YtD'!$A:$A),SUMIFS('DB Costi-Ore YtD'!$F:$F,'DB Costi-Ore YtD'!$A:$A,J$1,'DB Costi-Ore YtD'!$B:$B,$A63,'DB Costi-Ore YtD'!$E:$E,$C63)-SUM($D63:I63),0)</f>
        <v>0</v>
      </c>
      <c r="K63" s="9">
        <f>IF((K$1*1)&lt;=MAX('DB Costi-Ore YtD'!$A:$A),SUMIFS('DB Costi-Ore YtD'!$F:$F,'DB Costi-Ore YtD'!$A:$A,K$1,'DB Costi-Ore YtD'!$B:$B,$A63,'DB Costi-Ore YtD'!$E:$E,$C63)-SUM($D63:J63),0)</f>
        <v>0</v>
      </c>
      <c r="L63" s="9">
        <f>IF((L$1*1)&lt;=MAX('DB Costi-Ore YtD'!$A:$A),SUMIFS('DB Costi-Ore YtD'!$F:$F,'DB Costi-Ore YtD'!$A:$A,L$1,'DB Costi-Ore YtD'!$B:$B,$A63,'DB Costi-Ore YtD'!$E:$E,$C63)-SUM($D63:K63),0)</f>
        <v>0</v>
      </c>
      <c r="M63" s="9">
        <f>IF((M$1*1)&lt;=MAX('DB Costi-Ore YtD'!$A:$A),SUMIFS('DB Costi-Ore YtD'!$F:$F,'DB Costi-Ore YtD'!$A:$A,M$1,'DB Costi-Ore YtD'!$B:$B,$A63,'DB Costi-Ore YtD'!$E:$E,$C63)-SUM($D63:L63),0)</f>
        <v>0</v>
      </c>
      <c r="N63" s="9">
        <f>IF((N$1*1)&lt;=MAX('DB Costi-Ore YtD'!$A:$A),SUMIFS('DB Costi-Ore YtD'!$F:$F,'DB Costi-Ore YtD'!$A:$A,N$1,'DB Costi-Ore YtD'!$B:$B,$A63,'DB Costi-Ore YtD'!$E:$E,$C63)-SUM($D63:M63),0)</f>
        <v>0</v>
      </c>
      <c r="O63" s="9">
        <f>IF((O$1*1)&lt;=MAX('DB Costi-Ore YtD'!$A:$A),SUMIFS('DB Costi-Ore YtD'!$F:$F,'DB Costi-Ore YtD'!$A:$A,O$1,'DB Costi-Ore YtD'!$B:$B,$A63,'DB Costi-Ore YtD'!$E:$E,$C63)-SUM($D63:N63),0)</f>
        <v>0</v>
      </c>
    </row>
    <row r="64" spans="1:15" x14ac:dyDescent="0.3">
      <c r="A64" s="9" t="s">
        <v>153</v>
      </c>
      <c r="B64" s="9" t="s">
        <v>154</v>
      </c>
      <c r="C64" s="9" t="s">
        <v>2</v>
      </c>
      <c r="D64" s="9">
        <f>IF((D$1*1)&lt;=MAX('DB Costi-Ore YtD'!$A:$A),SUMIFS('DB Costi-Ore YtD'!$F:$F,'DB Costi-Ore YtD'!$A:$A,D$1,'DB Costi-Ore YtD'!$B:$B,$A64,'DB Costi-Ore YtD'!$E:$E,$C64),0)</f>
        <v>136.75</v>
      </c>
      <c r="E64" s="9">
        <f>IF((E$1*1)&lt;=MAX('DB Costi-Ore YtD'!$A:$A),SUMIFS('DB Costi-Ore YtD'!$F:$F,'DB Costi-Ore YtD'!$A:$A,E$1,'DB Costi-Ore YtD'!$B:$B,$A64,'DB Costi-Ore YtD'!$E:$E,$C64)-SUM($D64:D64),0)</f>
        <v>148.5</v>
      </c>
      <c r="F64" s="9">
        <f>IF((F$1*1)&lt;=MAX('DB Costi-Ore YtD'!$A:$A),SUMIFS('DB Costi-Ore YtD'!$F:$F,'DB Costi-Ore YtD'!$A:$A,F$1,'DB Costi-Ore YtD'!$B:$B,$A64,'DB Costi-Ore YtD'!$E:$E,$C64)-SUM($D64:E64),0)</f>
        <v>107.75</v>
      </c>
      <c r="G64" s="9">
        <f>IF((G$1*1)&lt;=MAX('DB Costi-Ore YtD'!$A:$A),SUMIFS('DB Costi-Ore YtD'!$F:$F,'DB Costi-Ore YtD'!$A:$A,G$1,'DB Costi-Ore YtD'!$B:$B,$A64,'DB Costi-Ore YtD'!$E:$E,$C64)-SUM($D64:F64),0)</f>
        <v>112.5</v>
      </c>
      <c r="H64" s="9">
        <f>IF((H$1*1)&lt;=MAX('DB Costi-Ore YtD'!$A:$A),SUMIFS('DB Costi-Ore YtD'!$F:$F,'DB Costi-Ore YtD'!$A:$A,H$1,'DB Costi-Ore YtD'!$B:$B,$A64,'DB Costi-Ore YtD'!$E:$E,$C64)-SUM($D64:G64),0)</f>
        <v>125.25</v>
      </c>
      <c r="I64" s="9">
        <f>IF((I$1*1)&lt;=MAX('DB Costi-Ore YtD'!$A:$A),SUMIFS('DB Costi-Ore YtD'!$F:$F,'DB Costi-Ore YtD'!$A:$A,I$1,'DB Costi-Ore YtD'!$B:$B,$A64,'DB Costi-Ore YtD'!$E:$E,$C64)-SUM($D64:H64),0)</f>
        <v>144.75</v>
      </c>
      <c r="J64" s="9">
        <f>IF((J$1*1)&lt;=MAX('DB Costi-Ore YtD'!$A:$A),SUMIFS('DB Costi-Ore YtD'!$F:$F,'DB Costi-Ore YtD'!$A:$A,J$1,'DB Costi-Ore YtD'!$B:$B,$A64,'DB Costi-Ore YtD'!$E:$E,$C64)-SUM($D64:I64),0)</f>
        <v>0</v>
      </c>
      <c r="K64" s="9">
        <f>IF((K$1*1)&lt;=MAX('DB Costi-Ore YtD'!$A:$A),SUMIFS('DB Costi-Ore YtD'!$F:$F,'DB Costi-Ore YtD'!$A:$A,K$1,'DB Costi-Ore YtD'!$B:$B,$A64,'DB Costi-Ore YtD'!$E:$E,$C64)-SUM($D64:J64),0)</f>
        <v>0</v>
      </c>
      <c r="L64" s="9">
        <f>IF((L$1*1)&lt;=MAX('DB Costi-Ore YtD'!$A:$A),SUMIFS('DB Costi-Ore YtD'!$F:$F,'DB Costi-Ore YtD'!$A:$A,L$1,'DB Costi-Ore YtD'!$B:$B,$A64,'DB Costi-Ore YtD'!$E:$E,$C64)-SUM($D64:K64),0)</f>
        <v>0</v>
      </c>
      <c r="M64" s="9">
        <f>IF((M$1*1)&lt;=MAX('DB Costi-Ore YtD'!$A:$A),SUMIFS('DB Costi-Ore YtD'!$F:$F,'DB Costi-Ore YtD'!$A:$A,M$1,'DB Costi-Ore YtD'!$B:$B,$A64,'DB Costi-Ore YtD'!$E:$E,$C64)-SUM($D64:L64),0)</f>
        <v>0</v>
      </c>
      <c r="N64" s="9">
        <f>IF((N$1*1)&lt;=MAX('DB Costi-Ore YtD'!$A:$A),SUMIFS('DB Costi-Ore YtD'!$F:$F,'DB Costi-Ore YtD'!$A:$A,N$1,'DB Costi-Ore YtD'!$B:$B,$A64,'DB Costi-Ore YtD'!$E:$E,$C64)-SUM($D64:M64),0)</f>
        <v>0</v>
      </c>
      <c r="O64" s="9">
        <f>IF((O$1*1)&lt;=MAX('DB Costi-Ore YtD'!$A:$A),SUMIFS('DB Costi-Ore YtD'!$F:$F,'DB Costi-Ore YtD'!$A:$A,O$1,'DB Costi-Ore YtD'!$B:$B,$A64,'DB Costi-Ore YtD'!$E:$E,$C64)-SUM($D64:N64),0)</f>
        <v>0</v>
      </c>
    </row>
    <row r="65" spans="1:15" x14ac:dyDescent="0.3">
      <c r="A65" s="9" t="s">
        <v>155</v>
      </c>
      <c r="B65" s="9" t="s">
        <v>156</v>
      </c>
      <c r="C65" s="9" t="s">
        <v>7</v>
      </c>
      <c r="D65" s="9">
        <f>IF((D$1*1)&lt;=MAX('DB Costi-Ore YtD'!$A:$A),SUMIFS('DB Costi-Ore YtD'!$F:$F,'DB Costi-Ore YtD'!$A:$A,D$1,'DB Costi-Ore YtD'!$B:$B,$A65,'DB Costi-Ore YtD'!$E:$E,$C65),0)</f>
        <v>132</v>
      </c>
      <c r="E65" s="9">
        <f>IF((E$1*1)&lt;=MAX('DB Costi-Ore YtD'!$A:$A),SUMIFS('DB Costi-Ore YtD'!$F:$F,'DB Costi-Ore YtD'!$A:$A,E$1,'DB Costi-Ore YtD'!$B:$B,$A65,'DB Costi-Ore YtD'!$E:$E,$C65)-SUM($D65:D65),0)</f>
        <v>112.25</v>
      </c>
      <c r="F65" s="9">
        <f>IF((F$1*1)&lt;=MAX('DB Costi-Ore YtD'!$A:$A),SUMIFS('DB Costi-Ore YtD'!$F:$F,'DB Costi-Ore YtD'!$A:$A,F$1,'DB Costi-Ore YtD'!$B:$B,$A65,'DB Costi-Ore YtD'!$E:$E,$C65)-SUM($D65:E65),0)</f>
        <v>115.25</v>
      </c>
      <c r="G65" s="9">
        <f>IF((G$1*1)&lt;=MAX('DB Costi-Ore YtD'!$A:$A),SUMIFS('DB Costi-Ore YtD'!$F:$F,'DB Costi-Ore YtD'!$A:$A,G$1,'DB Costi-Ore YtD'!$B:$B,$A65,'DB Costi-Ore YtD'!$E:$E,$C65)-SUM($D65:F65),0)</f>
        <v>93</v>
      </c>
      <c r="H65" s="9">
        <f>IF((H$1*1)&lt;=MAX('DB Costi-Ore YtD'!$A:$A),SUMIFS('DB Costi-Ore YtD'!$F:$F,'DB Costi-Ore YtD'!$A:$A,H$1,'DB Costi-Ore YtD'!$B:$B,$A65,'DB Costi-Ore YtD'!$E:$E,$C65)-SUM($D65:G65),0)</f>
        <v>75.25</v>
      </c>
      <c r="I65" s="9">
        <f>IF((I$1*1)&lt;=MAX('DB Costi-Ore YtD'!$A:$A),SUMIFS('DB Costi-Ore YtD'!$F:$F,'DB Costi-Ore YtD'!$A:$A,I$1,'DB Costi-Ore YtD'!$B:$B,$A65,'DB Costi-Ore YtD'!$E:$E,$C65)-SUM($D65:H65),0)</f>
        <v>91.5</v>
      </c>
      <c r="J65" s="9">
        <f>IF((J$1*1)&lt;=MAX('DB Costi-Ore YtD'!$A:$A),SUMIFS('DB Costi-Ore YtD'!$F:$F,'DB Costi-Ore YtD'!$A:$A,J$1,'DB Costi-Ore YtD'!$B:$B,$A65,'DB Costi-Ore YtD'!$E:$E,$C65)-SUM($D65:I65),0)</f>
        <v>0</v>
      </c>
      <c r="K65" s="9">
        <f>IF((K$1*1)&lt;=MAX('DB Costi-Ore YtD'!$A:$A),SUMIFS('DB Costi-Ore YtD'!$F:$F,'DB Costi-Ore YtD'!$A:$A,K$1,'DB Costi-Ore YtD'!$B:$B,$A65,'DB Costi-Ore YtD'!$E:$E,$C65)-SUM($D65:J65),0)</f>
        <v>0</v>
      </c>
      <c r="L65" s="9">
        <f>IF((L$1*1)&lt;=MAX('DB Costi-Ore YtD'!$A:$A),SUMIFS('DB Costi-Ore YtD'!$F:$F,'DB Costi-Ore YtD'!$A:$A,L$1,'DB Costi-Ore YtD'!$B:$B,$A65,'DB Costi-Ore YtD'!$E:$E,$C65)-SUM($D65:K65),0)</f>
        <v>0</v>
      </c>
      <c r="M65" s="9">
        <f>IF((M$1*1)&lt;=MAX('DB Costi-Ore YtD'!$A:$A),SUMIFS('DB Costi-Ore YtD'!$F:$F,'DB Costi-Ore YtD'!$A:$A,M$1,'DB Costi-Ore YtD'!$B:$B,$A65,'DB Costi-Ore YtD'!$E:$E,$C65)-SUM($D65:L65),0)</f>
        <v>0</v>
      </c>
      <c r="N65" s="9">
        <f>IF((N$1*1)&lt;=MAX('DB Costi-Ore YtD'!$A:$A),SUMIFS('DB Costi-Ore YtD'!$F:$F,'DB Costi-Ore YtD'!$A:$A,N$1,'DB Costi-Ore YtD'!$B:$B,$A65,'DB Costi-Ore YtD'!$E:$E,$C65)-SUM($D65:M65),0)</f>
        <v>0</v>
      </c>
      <c r="O65" s="9">
        <f>IF((O$1*1)&lt;=MAX('DB Costi-Ore YtD'!$A:$A),SUMIFS('DB Costi-Ore YtD'!$F:$F,'DB Costi-Ore YtD'!$A:$A,O$1,'DB Costi-Ore YtD'!$B:$B,$A65,'DB Costi-Ore YtD'!$E:$E,$C65)-SUM($D65:N65),0)</f>
        <v>0</v>
      </c>
    </row>
    <row r="66" spans="1:15" x14ac:dyDescent="0.3">
      <c r="A66" s="9" t="s">
        <v>157</v>
      </c>
      <c r="B66" s="9" t="s">
        <v>158</v>
      </c>
      <c r="C66" s="9" t="s">
        <v>3</v>
      </c>
      <c r="D66" s="9">
        <f>IF((D$1*1)&lt;=MAX('DB Costi-Ore YtD'!$A:$A),SUMIFS('DB Costi-Ore YtD'!$F:$F,'DB Costi-Ore YtD'!$A:$A,D$1,'DB Costi-Ore YtD'!$B:$B,$A66,'DB Costi-Ore YtD'!$E:$E,$C66),0)</f>
        <v>129</v>
      </c>
      <c r="E66" s="9">
        <f>IF((E$1*1)&lt;=MAX('DB Costi-Ore YtD'!$A:$A),SUMIFS('DB Costi-Ore YtD'!$F:$F,'DB Costi-Ore YtD'!$A:$A,E$1,'DB Costi-Ore YtD'!$B:$B,$A66,'DB Costi-Ore YtD'!$E:$E,$C66)-SUM($D66:D66),0)</f>
        <v>139.5</v>
      </c>
      <c r="F66" s="9">
        <f>IF((F$1*1)&lt;=MAX('DB Costi-Ore YtD'!$A:$A),SUMIFS('DB Costi-Ore YtD'!$F:$F,'DB Costi-Ore YtD'!$A:$A,F$1,'DB Costi-Ore YtD'!$B:$B,$A66,'DB Costi-Ore YtD'!$E:$E,$C66)-SUM($D66:E66),0)</f>
        <v>125</v>
      </c>
      <c r="G66" s="9">
        <f>IF((G$1*1)&lt;=MAX('DB Costi-Ore YtD'!$A:$A),SUMIFS('DB Costi-Ore YtD'!$F:$F,'DB Costi-Ore YtD'!$A:$A,G$1,'DB Costi-Ore YtD'!$B:$B,$A66,'DB Costi-Ore YtD'!$E:$E,$C66)-SUM($D66:F66),0)</f>
        <v>91</v>
      </c>
      <c r="H66" s="9">
        <f>IF((H$1*1)&lt;=MAX('DB Costi-Ore YtD'!$A:$A),SUMIFS('DB Costi-Ore YtD'!$F:$F,'DB Costi-Ore YtD'!$A:$A,H$1,'DB Costi-Ore YtD'!$B:$B,$A66,'DB Costi-Ore YtD'!$E:$E,$C66)-SUM($D66:G66),0)</f>
        <v>-484.5</v>
      </c>
      <c r="I66" s="9">
        <f>IF((I$1*1)&lt;=MAX('DB Costi-Ore YtD'!$A:$A),SUMIFS('DB Costi-Ore YtD'!$F:$F,'DB Costi-Ore YtD'!$A:$A,I$1,'DB Costi-Ore YtD'!$B:$B,$A66,'DB Costi-Ore YtD'!$E:$E,$C66)-SUM($D66:H66),0)</f>
        <v>0</v>
      </c>
      <c r="J66" s="9">
        <f>IF((J$1*1)&lt;=MAX('DB Costi-Ore YtD'!$A:$A),SUMIFS('DB Costi-Ore YtD'!$F:$F,'DB Costi-Ore YtD'!$A:$A,J$1,'DB Costi-Ore YtD'!$B:$B,$A66,'DB Costi-Ore YtD'!$E:$E,$C66)-SUM($D66:I66),0)</f>
        <v>0</v>
      </c>
      <c r="K66" s="9">
        <f>IF((K$1*1)&lt;=MAX('DB Costi-Ore YtD'!$A:$A),SUMIFS('DB Costi-Ore YtD'!$F:$F,'DB Costi-Ore YtD'!$A:$A,K$1,'DB Costi-Ore YtD'!$B:$B,$A66,'DB Costi-Ore YtD'!$E:$E,$C66)-SUM($D66:J66),0)</f>
        <v>0</v>
      </c>
      <c r="L66" s="9">
        <f>IF((L$1*1)&lt;=MAX('DB Costi-Ore YtD'!$A:$A),SUMIFS('DB Costi-Ore YtD'!$F:$F,'DB Costi-Ore YtD'!$A:$A,L$1,'DB Costi-Ore YtD'!$B:$B,$A66,'DB Costi-Ore YtD'!$E:$E,$C66)-SUM($D66:K66),0)</f>
        <v>0</v>
      </c>
      <c r="M66" s="9">
        <f>IF((M$1*1)&lt;=MAX('DB Costi-Ore YtD'!$A:$A),SUMIFS('DB Costi-Ore YtD'!$F:$F,'DB Costi-Ore YtD'!$A:$A,M$1,'DB Costi-Ore YtD'!$B:$B,$A66,'DB Costi-Ore YtD'!$E:$E,$C66)-SUM($D66:L66),0)</f>
        <v>0</v>
      </c>
      <c r="N66" s="9">
        <f>IF((N$1*1)&lt;=MAX('DB Costi-Ore YtD'!$A:$A),SUMIFS('DB Costi-Ore YtD'!$F:$F,'DB Costi-Ore YtD'!$A:$A,N$1,'DB Costi-Ore YtD'!$B:$B,$A66,'DB Costi-Ore YtD'!$E:$E,$C66)-SUM($D66:M66),0)</f>
        <v>0</v>
      </c>
      <c r="O66" s="9">
        <f>IF((O$1*1)&lt;=MAX('DB Costi-Ore YtD'!$A:$A),SUMIFS('DB Costi-Ore YtD'!$F:$F,'DB Costi-Ore YtD'!$A:$A,O$1,'DB Costi-Ore YtD'!$B:$B,$A66,'DB Costi-Ore YtD'!$E:$E,$C66)-SUM($D66:N66),0)</f>
        <v>0</v>
      </c>
    </row>
    <row r="67" spans="1:15" x14ac:dyDescent="0.3">
      <c r="A67" s="9" t="s">
        <v>159</v>
      </c>
      <c r="B67" s="9" t="s">
        <v>160</v>
      </c>
      <c r="C67" s="9" t="s">
        <v>3</v>
      </c>
      <c r="D67" s="9">
        <f>IF((D$1*1)&lt;=MAX('DB Costi-Ore YtD'!$A:$A),SUMIFS('DB Costi-Ore YtD'!$F:$F,'DB Costi-Ore YtD'!$A:$A,D$1,'DB Costi-Ore YtD'!$B:$B,$A67,'DB Costi-Ore YtD'!$E:$E,$C67),0)</f>
        <v>121.5</v>
      </c>
      <c r="E67" s="9">
        <f>IF((E$1*1)&lt;=MAX('DB Costi-Ore YtD'!$A:$A),SUMIFS('DB Costi-Ore YtD'!$F:$F,'DB Costi-Ore YtD'!$A:$A,E$1,'DB Costi-Ore YtD'!$B:$B,$A67,'DB Costi-Ore YtD'!$E:$E,$C67)-SUM($D67:D67),0)</f>
        <v>143.5</v>
      </c>
      <c r="F67" s="9">
        <f>IF((F$1*1)&lt;=MAX('DB Costi-Ore YtD'!$A:$A),SUMIFS('DB Costi-Ore YtD'!$F:$F,'DB Costi-Ore YtD'!$A:$A,F$1,'DB Costi-Ore YtD'!$B:$B,$A67,'DB Costi-Ore YtD'!$E:$E,$C67)-SUM($D67:E67),0)</f>
        <v>134</v>
      </c>
      <c r="G67" s="9">
        <f>IF((G$1*1)&lt;=MAX('DB Costi-Ore YtD'!$A:$A),SUMIFS('DB Costi-Ore YtD'!$F:$F,'DB Costi-Ore YtD'!$A:$A,G$1,'DB Costi-Ore YtD'!$B:$B,$A67,'DB Costi-Ore YtD'!$E:$E,$C67)-SUM($D67:F67),0)</f>
        <v>129.25</v>
      </c>
      <c r="H67" s="9">
        <f>IF((H$1*1)&lt;=MAX('DB Costi-Ore YtD'!$A:$A),SUMIFS('DB Costi-Ore YtD'!$F:$F,'DB Costi-Ore YtD'!$A:$A,H$1,'DB Costi-Ore YtD'!$B:$B,$A67,'DB Costi-Ore YtD'!$E:$E,$C67)-SUM($D67:G67),0)</f>
        <v>118.5</v>
      </c>
      <c r="I67" s="9">
        <f>IF((I$1*1)&lt;=MAX('DB Costi-Ore YtD'!$A:$A),SUMIFS('DB Costi-Ore YtD'!$F:$F,'DB Costi-Ore YtD'!$A:$A,I$1,'DB Costi-Ore YtD'!$B:$B,$A67,'DB Costi-Ore YtD'!$E:$E,$C67)-SUM($D67:H67),0)</f>
        <v>144.5</v>
      </c>
      <c r="J67" s="9">
        <f>IF((J$1*1)&lt;=MAX('DB Costi-Ore YtD'!$A:$A),SUMIFS('DB Costi-Ore YtD'!$F:$F,'DB Costi-Ore YtD'!$A:$A,J$1,'DB Costi-Ore YtD'!$B:$B,$A67,'DB Costi-Ore YtD'!$E:$E,$C67)-SUM($D67:I67),0)</f>
        <v>0</v>
      </c>
      <c r="K67" s="9">
        <f>IF((K$1*1)&lt;=MAX('DB Costi-Ore YtD'!$A:$A),SUMIFS('DB Costi-Ore YtD'!$F:$F,'DB Costi-Ore YtD'!$A:$A,K$1,'DB Costi-Ore YtD'!$B:$B,$A67,'DB Costi-Ore YtD'!$E:$E,$C67)-SUM($D67:J67),0)</f>
        <v>0</v>
      </c>
      <c r="L67" s="9">
        <f>IF((L$1*1)&lt;=MAX('DB Costi-Ore YtD'!$A:$A),SUMIFS('DB Costi-Ore YtD'!$F:$F,'DB Costi-Ore YtD'!$A:$A,L$1,'DB Costi-Ore YtD'!$B:$B,$A67,'DB Costi-Ore YtD'!$E:$E,$C67)-SUM($D67:K67),0)</f>
        <v>0</v>
      </c>
      <c r="M67" s="9">
        <f>IF((M$1*1)&lt;=MAX('DB Costi-Ore YtD'!$A:$A),SUMIFS('DB Costi-Ore YtD'!$F:$F,'DB Costi-Ore YtD'!$A:$A,M$1,'DB Costi-Ore YtD'!$B:$B,$A67,'DB Costi-Ore YtD'!$E:$E,$C67)-SUM($D67:L67),0)</f>
        <v>0</v>
      </c>
      <c r="N67" s="9">
        <f>IF((N$1*1)&lt;=MAX('DB Costi-Ore YtD'!$A:$A),SUMIFS('DB Costi-Ore YtD'!$F:$F,'DB Costi-Ore YtD'!$A:$A,N$1,'DB Costi-Ore YtD'!$B:$B,$A67,'DB Costi-Ore YtD'!$E:$E,$C67)-SUM($D67:M67),0)</f>
        <v>0</v>
      </c>
      <c r="O67" s="9">
        <f>IF((O$1*1)&lt;=MAX('DB Costi-Ore YtD'!$A:$A),SUMIFS('DB Costi-Ore YtD'!$F:$F,'DB Costi-Ore YtD'!$A:$A,O$1,'DB Costi-Ore YtD'!$B:$B,$A67,'DB Costi-Ore YtD'!$E:$E,$C67)-SUM($D67:N67),0)</f>
        <v>0</v>
      </c>
    </row>
    <row r="68" spans="1:15" x14ac:dyDescent="0.3">
      <c r="A68" s="9" t="s">
        <v>161</v>
      </c>
      <c r="B68" s="9" t="s">
        <v>162</v>
      </c>
      <c r="C68" s="9" t="s">
        <v>13</v>
      </c>
      <c r="D68" s="9">
        <f>IF((D$1*1)&lt;=MAX('DB Costi-Ore YtD'!$A:$A),SUMIFS('DB Costi-Ore YtD'!$F:$F,'DB Costi-Ore YtD'!$A:$A,D$1,'DB Costi-Ore YtD'!$B:$B,$A68,'DB Costi-Ore YtD'!$E:$E,$C68),0)</f>
        <v>119.75</v>
      </c>
      <c r="E68" s="9">
        <f>IF((E$1*1)&lt;=MAX('DB Costi-Ore YtD'!$A:$A),SUMIFS('DB Costi-Ore YtD'!$F:$F,'DB Costi-Ore YtD'!$A:$A,E$1,'DB Costi-Ore YtD'!$B:$B,$A68,'DB Costi-Ore YtD'!$E:$E,$C68)-SUM($D68:D68),0)</f>
        <v>144.5</v>
      </c>
      <c r="F68" s="9">
        <f>IF((F$1*1)&lt;=MAX('DB Costi-Ore YtD'!$A:$A),SUMIFS('DB Costi-Ore YtD'!$F:$F,'DB Costi-Ore YtD'!$A:$A,F$1,'DB Costi-Ore YtD'!$B:$B,$A68,'DB Costi-Ore YtD'!$E:$E,$C68)-SUM($D68:E68),0)</f>
        <v>156</v>
      </c>
      <c r="G68" s="9">
        <f>IF((G$1*1)&lt;=MAX('DB Costi-Ore YtD'!$A:$A),SUMIFS('DB Costi-Ore YtD'!$F:$F,'DB Costi-Ore YtD'!$A:$A,G$1,'DB Costi-Ore YtD'!$B:$B,$A68,'DB Costi-Ore YtD'!$E:$E,$C68)-SUM($D68:F68),0)</f>
        <v>151.5</v>
      </c>
      <c r="H68" s="9">
        <f>IF((H$1*1)&lt;=MAX('DB Costi-Ore YtD'!$A:$A),SUMIFS('DB Costi-Ore YtD'!$F:$F,'DB Costi-Ore YtD'!$A:$A,H$1,'DB Costi-Ore YtD'!$B:$B,$A68,'DB Costi-Ore YtD'!$E:$E,$C68)-SUM($D68:G68),0)</f>
        <v>165.75</v>
      </c>
      <c r="I68" s="9">
        <f>IF((I$1*1)&lt;=MAX('DB Costi-Ore YtD'!$A:$A),SUMIFS('DB Costi-Ore YtD'!$F:$F,'DB Costi-Ore YtD'!$A:$A,I$1,'DB Costi-Ore YtD'!$B:$B,$A68,'DB Costi-Ore YtD'!$E:$E,$C68)-SUM($D68:H68),0)</f>
        <v>127.75</v>
      </c>
      <c r="J68" s="9">
        <f>IF((J$1*1)&lt;=MAX('DB Costi-Ore YtD'!$A:$A),SUMIFS('DB Costi-Ore YtD'!$F:$F,'DB Costi-Ore YtD'!$A:$A,J$1,'DB Costi-Ore YtD'!$B:$B,$A68,'DB Costi-Ore YtD'!$E:$E,$C68)-SUM($D68:I68),0)</f>
        <v>0</v>
      </c>
      <c r="K68" s="9">
        <f>IF((K$1*1)&lt;=MAX('DB Costi-Ore YtD'!$A:$A),SUMIFS('DB Costi-Ore YtD'!$F:$F,'DB Costi-Ore YtD'!$A:$A,K$1,'DB Costi-Ore YtD'!$B:$B,$A68,'DB Costi-Ore YtD'!$E:$E,$C68)-SUM($D68:J68),0)</f>
        <v>0</v>
      </c>
      <c r="L68" s="9">
        <f>IF((L$1*1)&lt;=MAX('DB Costi-Ore YtD'!$A:$A),SUMIFS('DB Costi-Ore YtD'!$F:$F,'DB Costi-Ore YtD'!$A:$A,L$1,'DB Costi-Ore YtD'!$B:$B,$A68,'DB Costi-Ore YtD'!$E:$E,$C68)-SUM($D68:K68),0)</f>
        <v>0</v>
      </c>
      <c r="M68" s="9">
        <f>IF((M$1*1)&lt;=MAX('DB Costi-Ore YtD'!$A:$A),SUMIFS('DB Costi-Ore YtD'!$F:$F,'DB Costi-Ore YtD'!$A:$A,M$1,'DB Costi-Ore YtD'!$B:$B,$A68,'DB Costi-Ore YtD'!$E:$E,$C68)-SUM($D68:L68),0)</f>
        <v>0</v>
      </c>
      <c r="N68" s="9">
        <f>IF((N$1*1)&lt;=MAX('DB Costi-Ore YtD'!$A:$A),SUMIFS('DB Costi-Ore YtD'!$F:$F,'DB Costi-Ore YtD'!$A:$A,N$1,'DB Costi-Ore YtD'!$B:$B,$A68,'DB Costi-Ore YtD'!$E:$E,$C68)-SUM($D68:M68),0)</f>
        <v>0</v>
      </c>
      <c r="O68" s="9">
        <f>IF((O$1*1)&lt;=MAX('DB Costi-Ore YtD'!$A:$A),SUMIFS('DB Costi-Ore YtD'!$F:$F,'DB Costi-Ore YtD'!$A:$A,O$1,'DB Costi-Ore YtD'!$B:$B,$A68,'DB Costi-Ore YtD'!$E:$E,$C68)-SUM($D68:N68),0)</f>
        <v>0</v>
      </c>
    </row>
    <row r="69" spans="1:15" x14ac:dyDescent="0.3">
      <c r="A69" s="9" t="s">
        <v>163</v>
      </c>
      <c r="B69" s="9" t="s">
        <v>164</v>
      </c>
      <c r="C69" s="9" t="s">
        <v>8</v>
      </c>
      <c r="D69" s="9">
        <f>IF((D$1*1)&lt;=MAX('DB Costi-Ore YtD'!$A:$A),SUMIFS('DB Costi-Ore YtD'!$F:$F,'DB Costi-Ore YtD'!$A:$A,D$1,'DB Costi-Ore YtD'!$B:$B,$A69,'DB Costi-Ore YtD'!$E:$E,$C69),0)</f>
        <v>139.5</v>
      </c>
      <c r="E69" s="9">
        <f>IF((E$1*1)&lt;=MAX('DB Costi-Ore YtD'!$A:$A),SUMIFS('DB Costi-Ore YtD'!$F:$F,'DB Costi-Ore YtD'!$A:$A,E$1,'DB Costi-Ore YtD'!$B:$B,$A69,'DB Costi-Ore YtD'!$E:$E,$C69)-SUM($D69:D69),0)</f>
        <v>121.5</v>
      </c>
      <c r="F69" s="9">
        <f>IF((F$1*1)&lt;=MAX('DB Costi-Ore YtD'!$A:$A),SUMIFS('DB Costi-Ore YtD'!$F:$F,'DB Costi-Ore YtD'!$A:$A,F$1,'DB Costi-Ore YtD'!$B:$B,$A69,'DB Costi-Ore YtD'!$E:$E,$C69)-SUM($D69:E69),0)</f>
        <v>160</v>
      </c>
      <c r="G69" s="9">
        <f>IF((G$1*1)&lt;=MAX('DB Costi-Ore YtD'!$A:$A),SUMIFS('DB Costi-Ore YtD'!$F:$F,'DB Costi-Ore YtD'!$A:$A,G$1,'DB Costi-Ore YtD'!$B:$B,$A69,'DB Costi-Ore YtD'!$E:$E,$C69)-SUM($D69:F69),0)</f>
        <v>149.5</v>
      </c>
      <c r="H69" s="9">
        <f>IF((H$1*1)&lt;=MAX('DB Costi-Ore YtD'!$A:$A),SUMIFS('DB Costi-Ore YtD'!$F:$F,'DB Costi-Ore YtD'!$A:$A,H$1,'DB Costi-Ore YtD'!$B:$B,$A69,'DB Costi-Ore YtD'!$E:$E,$C69)-SUM($D69:G69),0)</f>
        <v>147.75</v>
      </c>
      <c r="I69" s="9">
        <f>IF((I$1*1)&lt;=MAX('DB Costi-Ore YtD'!$A:$A),SUMIFS('DB Costi-Ore YtD'!$F:$F,'DB Costi-Ore YtD'!$A:$A,I$1,'DB Costi-Ore YtD'!$B:$B,$A69,'DB Costi-Ore YtD'!$E:$E,$C69)-SUM($D69:H69),0)</f>
        <v>126.75</v>
      </c>
      <c r="J69" s="9">
        <f>IF((J$1*1)&lt;=MAX('DB Costi-Ore YtD'!$A:$A),SUMIFS('DB Costi-Ore YtD'!$F:$F,'DB Costi-Ore YtD'!$A:$A,J$1,'DB Costi-Ore YtD'!$B:$B,$A69,'DB Costi-Ore YtD'!$E:$E,$C69)-SUM($D69:I69),0)</f>
        <v>0</v>
      </c>
      <c r="K69" s="9">
        <f>IF((K$1*1)&lt;=MAX('DB Costi-Ore YtD'!$A:$A),SUMIFS('DB Costi-Ore YtD'!$F:$F,'DB Costi-Ore YtD'!$A:$A,K$1,'DB Costi-Ore YtD'!$B:$B,$A69,'DB Costi-Ore YtD'!$E:$E,$C69)-SUM($D69:J69),0)</f>
        <v>0</v>
      </c>
      <c r="L69" s="9">
        <f>IF((L$1*1)&lt;=MAX('DB Costi-Ore YtD'!$A:$A),SUMIFS('DB Costi-Ore YtD'!$F:$F,'DB Costi-Ore YtD'!$A:$A,L$1,'DB Costi-Ore YtD'!$B:$B,$A69,'DB Costi-Ore YtD'!$E:$E,$C69)-SUM($D69:K69),0)</f>
        <v>0</v>
      </c>
      <c r="M69" s="9">
        <f>IF((M$1*1)&lt;=MAX('DB Costi-Ore YtD'!$A:$A),SUMIFS('DB Costi-Ore YtD'!$F:$F,'DB Costi-Ore YtD'!$A:$A,M$1,'DB Costi-Ore YtD'!$B:$B,$A69,'DB Costi-Ore YtD'!$E:$E,$C69)-SUM($D69:L69),0)</f>
        <v>0</v>
      </c>
      <c r="N69" s="9">
        <f>IF((N$1*1)&lt;=MAX('DB Costi-Ore YtD'!$A:$A),SUMIFS('DB Costi-Ore YtD'!$F:$F,'DB Costi-Ore YtD'!$A:$A,N$1,'DB Costi-Ore YtD'!$B:$B,$A69,'DB Costi-Ore YtD'!$E:$E,$C69)-SUM($D69:M69),0)</f>
        <v>0</v>
      </c>
      <c r="O69" s="9">
        <f>IF((O$1*1)&lt;=MAX('DB Costi-Ore YtD'!$A:$A),SUMIFS('DB Costi-Ore YtD'!$F:$F,'DB Costi-Ore YtD'!$A:$A,O$1,'DB Costi-Ore YtD'!$B:$B,$A69,'DB Costi-Ore YtD'!$E:$E,$C69)-SUM($D69:N69),0)</f>
        <v>0</v>
      </c>
    </row>
    <row r="70" spans="1:15" x14ac:dyDescent="0.3">
      <c r="A70" s="9" t="s">
        <v>165</v>
      </c>
      <c r="B70" s="9" t="s">
        <v>166</v>
      </c>
      <c r="C70" s="9" t="s">
        <v>3</v>
      </c>
      <c r="D70" s="9">
        <f>IF((D$1*1)&lt;=MAX('DB Costi-Ore YtD'!$A:$A),SUMIFS('DB Costi-Ore YtD'!$F:$F,'DB Costi-Ore YtD'!$A:$A,D$1,'DB Costi-Ore YtD'!$B:$B,$A70,'DB Costi-Ore YtD'!$E:$E,$C70),0)</f>
        <v>92.5</v>
      </c>
      <c r="E70" s="9">
        <f>IF((E$1*1)&lt;=MAX('DB Costi-Ore YtD'!$A:$A),SUMIFS('DB Costi-Ore YtD'!$F:$F,'DB Costi-Ore YtD'!$A:$A,E$1,'DB Costi-Ore YtD'!$B:$B,$A70,'DB Costi-Ore YtD'!$E:$E,$C70)-SUM($D70:D70),0)</f>
        <v>131.5</v>
      </c>
      <c r="F70" s="9">
        <f>IF((F$1*1)&lt;=MAX('DB Costi-Ore YtD'!$A:$A),SUMIFS('DB Costi-Ore YtD'!$F:$F,'DB Costi-Ore YtD'!$A:$A,F$1,'DB Costi-Ore YtD'!$B:$B,$A70,'DB Costi-Ore YtD'!$E:$E,$C70)-SUM($D70:E70),0)</f>
        <v>124.25</v>
      </c>
      <c r="G70" s="9">
        <f>IF((G$1*1)&lt;=MAX('DB Costi-Ore YtD'!$A:$A),SUMIFS('DB Costi-Ore YtD'!$F:$F,'DB Costi-Ore YtD'!$A:$A,G$1,'DB Costi-Ore YtD'!$B:$B,$A70,'DB Costi-Ore YtD'!$E:$E,$C70)-SUM($D70:F70),0)</f>
        <v>114</v>
      </c>
      <c r="H70" s="9">
        <f>IF((H$1*1)&lt;=MAX('DB Costi-Ore YtD'!$A:$A),SUMIFS('DB Costi-Ore YtD'!$F:$F,'DB Costi-Ore YtD'!$A:$A,H$1,'DB Costi-Ore YtD'!$B:$B,$A70,'DB Costi-Ore YtD'!$E:$E,$C70)-SUM($D70:G70),0)</f>
        <v>128.5</v>
      </c>
      <c r="I70" s="9">
        <f>IF((I$1*1)&lt;=MAX('DB Costi-Ore YtD'!$A:$A),SUMIFS('DB Costi-Ore YtD'!$F:$F,'DB Costi-Ore YtD'!$A:$A,I$1,'DB Costi-Ore YtD'!$B:$B,$A70,'DB Costi-Ore YtD'!$E:$E,$C70)-SUM($D70:H70),0)</f>
        <v>145.5</v>
      </c>
      <c r="J70" s="9">
        <f>IF((J$1*1)&lt;=MAX('DB Costi-Ore YtD'!$A:$A),SUMIFS('DB Costi-Ore YtD'!$F:$F,'DB Costi-Ore YtD'!$A:$A,J$1,'DB Costi-Ore YtD'!$B:$B,$A70,'DB Costi-Ore YtD'!$E:$E,$C70)-SUM($D70:I70),0)</f>
        <v>0</v>
      </c>
      <c r="K70" s="9">
        <f>IF((K$1*1)&lt;=MAX('DB Costi-Ore YtD'!$A:$A),SUMIFS('DB Costi-Ore YtD'!$F:$F,'DB Costi-Ore YtD'!$A:$A,K$1,'DB Costi-Ore YtD'!$B:$B,$A70,'DB Costi-Ore YtD'!$E:$E,$C70)-SUM($D70:J70),0)</f>
        <v>0</v>
      </c>
      <c r="L70" s="9">
        <f>IF((L$1*1)&lt;=MAX('DB Costi-Ore YtD'!$A:$A),SUMIFS('DB Costi-Ore YtD'!$F:$F,'DB Costi-Ore YtD'!$A:$A,L$1,'DB Costi-Ore YtD'!$B:$B,$A70,'DB Costi-Ore YtD'!$E:$E,$C70)-SUM($D70:K70),0)</f>
        <v>0</v>
      </c>
      <c r="M70" s="9">
        <f>IF((M$1*1)&lt;=MAX('DB Costi-Ore YtD'!$A:$A),SUMIFS('DB Costi-Ore YtD'!$F:$F,'DB Costi-Ore YtD'!$A:$A,M$1,'DB Costi-Ore YtD'!$B:$B,$A70,'DB Costi-Ore YtD'!$E:$E,$C70)-SUM($D70:L70),0)</f>
        <v>0</v>
      </c>
      <c r="N70" s="9">
        <f>IF((N$1*1)&lt;=MAX('DB Costi-Ore YtD'!$A:$A),SUMIFS('DB Costi-Ore YtD'!$F:$F,'DB Costi-Ore YtD'!$A:$A,N$1,'DB Costi-Ore YtD'!$B:$B,$A70,'DB Costi-Ore YtD'!$E:$E,$C70)-SUM($D70:M70),0)</f>
        <v>0</v>
      </c>
      <c r="O70" s="9">
        <f>IF((O$1*1)&lt;=MAX('DB Costi-Ore YtD'!$A:$A),SUMIFS('DB Costi-Ore YtD'!$F:$F,'DB Costi-Ore YtD'!$A:$A,O$1,'DB Costi-Ore YtD'!$B:$B,$A70,'DB Costi-Ore YtD'!$E:$E,$C70)-SUM($D70:N70),0)</f>
        <v>0</v>
      </c>
    </row>
    <row r="71" spans="1:15" x14ac:dyDescent="0.3">
      <c r="A71" s="9" t="s">
        <v>167</v>
      </c>
      <c r="B71" s="9" t="s">
        <v>168</v>
      </c>
      <c r="C71" s="9" t="s">
        <v>3</v>
      </c>
      <c r="D71" s="9">
        <f>IF((D$1*1)&lt;=MAX('DB Costi-Ore YtD'!$A:$A),SUMIFS('DB Costi-Ore YtD'!$F:$F,'DB Costi-Ore YtD'!$A:$A,D$1,'DB Costi-Ore YtD'!$B:$B,$A71,'DB Costi-Ore YtD'!$E:$E,$C71),0)</f>
        <v>116.25</v>
      </c>
      <c r="E71" s="9">
        <f>IF((E$1*1)&lt;=MAX('DB Costi-Ore YtD'!$A:$A),SUMIFS('DB Costi-Ore YtD'!$F:$F,'DB Costi-Ore YtD'!$A:$A,E$1,'DB Costi-Ore YtD'!$B:$B,$A71,'DB Costi-Ore YtD'!$E:$E,$C71)-SUM($D71:D71),0)</f>
        <v>129</v>
      </c>
      <c r="F71" s="9">
        <f>IF((F$1*1)&lt;=MAX('DB Costi-Ore YtD'!$A:$A),SUMIFS('DB Costi-Ore YtD'!$F:$F,'DB Costi-Ore YtD'!$A:$A,F$1,'DB Costi-Ore YtD'!$B:$B,$A71,'DB Costi-Ore YtD'!$E:$E,$C71)-SUM($D71:E71),0)</f>
        <v>116</v>
      </c>
      <c r="G71" s="9">
        <f>IF((G$1*1)&lt;=MAX('DB Costi-Ore YtD'!$A:$A),SUMIFS('DB Costi-Ore YtD'!$F:$F,'DB Costi-Ore YtD'!$A:$A,G$1,'DB Costi-Ore YtD'!$B:$B,$A71,'DB Costi-Ore YtD'!$E:$E,$C71)-SUM($D71:F71),0)</f>
        <v>119.5</v>
      </c>
      <c r="H71" s="9">
        <f>IF((H$1*1)&lt;=MAX('DB Costi-Ore YtD'!$A:$A),SUMIFS('DB Costi-Ore YtD'!$F:$F,'DB Costi-Ore YtD'!$A:$A,H$1,'DB Costi-Ore YtD'!$B:$B,$A71,'DB Costi-Ore YtD'!$E:$E,$C71)-SUM($D71:G71),0)</f>
        <v>101</v>
      </c>
      <c r="I71" s="9">
        <f>IF((I$1*1)&lt;=MAX('DB Costi-Ore YtD'!$A:$A),SUMIFS('DB Costi-Ore YtD'!$F:$F,'DB Costi-Ore YtD'!$A:$A,I$1,'DB Costi-Ore YtD'!$B:$B,$A71,'DB Costi-Ore YtD'!$E:$E,$C71)-SUM($D71:H71),0)</f>
        <v>101.75</v>
      </c>
      <c r="J71" s="9">
        <f>IF((J$1*1)&lt;=MAX('DB Costi-Ore YtD'!$A:$A),SUMIFS('DB Costi-Ore YtD'!$F:$F,'DB Costi-Ore YtD'!$A:$A,J$1,'DB Costi-Ore YtD'!$B:$B,$A71,'DB Costi-Ore YtD'!$E:$E,$C71)-SUM($D71:I71),0)</f>
        <v>0</v>
      </c>
      <c r="K71" s="9">
        <f>IF((K$1*1)&lt;=MAX('DB Costi-Ore YtD'!$A:$A),SUMIFS('DB Costi-Ore YtD'!$F:$F,'DB Costi-Ore YtD'!$A:$A,K$1,'DB Costi-Ore YtD'!$B:$B,$A71,'DB Costi-Ore YtD'!$E:$E,$C71)-SUM($D71:J71),0)</f>
        <v>0</v>
      </c>
      <c r="L71" s="9">
        <f>IF((L$1*1)&lt;=MAX('DB Costi-Ore YtD'!$A:$A),SUMIFS('DB Costi-Ore YtD'!$F:$F,'DB Costi-Ore YtD'!$A:$A,L$1,'DB Costi-Ore YtD'!$B:$B,$A71,'DB Costi-Ore YtD'!$E:$E,$C71)-SUM($D71:K71),0)</f>
        <v>0</v>
      </c>
      <c r="M71" s="9">
        <f>IF((M$1*1)&lt;=MAX('DB Costi-Ore YtD'!$A:$A),SUMIFS('DB Costi-Ore YtD'!$F:$F,'DB Costi-Ore YtD'!$A:$A,M$1,'DB Costi-Ore YtD'!$B:$B,$A71,'DB Costi-Ore YtD'!$E:$E,$C71)-SUM($D71:L71),0)</f>
        <v>0</v>
      </c>
      <c r="N71" s="9">
        <f>IF((N$1*1)&lt;=MAX('DB Costi-Ore YtD'!$A:$A),SUMIFS('DB Costi-Ore YtD'!$F:$F,'DB Costi-Ore YtD'!$A:$A,N$1,'DB Costi-Ore YtD'!$B:$B,$A71,'DB Costi-Ore YtD'!$E:$E,$C71)-SUM($D71:M71),0)</f>
        <v>0</v>
      </c>
      <c r="O71" s="9">
        <f>IF((O$1*1)&lt;=MAX('DB Costi-Ore YtD'!$A:$A),SUMIFS('DB Costi-Ore YtD'!$F:$F,'DB Costi-Ore YtD'!$A:$A,O$1,'DB Costi-Ore YtD'!$B:$B,$A71,'DB Costi-Ore YtD'!$E:$E,$C71)-SUM($D71:N71),0)</f>
        <v>0</v>
      </c>
    </row>
    <row r="72" spans="1:15" x14ac:dyDescent="0.3">
      <c r="A72" s="9" t="s">
        <v>169</v>
      </c>
      <c r="B72" s="9" t="s">
        <v>170</v>
      </c>
      <c r="C72" s="9" t="s">
        <v>2</v>
      </c>
      <c r="D72" s="9">
        <f>IF((D$1*1)&lt;=MAX('DB Costi-Ore YtD'!$A:$A),SUMIFS('DB Costi-Ore YtD'!$F:$F,'DB Costi-Ore YtD'!$A:$A,D$1,'DB Costi-Ore YtD'!$B:$B,$A72,'DB Costi-Ore YtD'!$E:$E,$C72),0)</f>
        <v>147.75</v>
      </c>
      <c r="E72" s="9">
        <f>IF((E$1*1)&lt;=MAX('DB Costi-Ore YtD'!$A:$A),SUMIFS('DB Costi-Ore YtD'!$F:$F,'DB Costi-Ore YtD'!$A:$A,E$1,'DB Costi-Ore YtD'!$B:$B,$A72,'DB Costi-Ore YtD'!$E:$E,$C72)-SUM($D72:D72),0)</f>
        <v>152</v>
      </c>
      <c r="F72" s="9">
        <f>IF((F$1*1)&lt;=MAX('DB Costi-Ore YtD'!$A:$A),SUMIFS('DB Costi-Ore YtD'!$F:$F,'DB Costi-Ore YtD'!$A:$A,F$1,'DB Costi-Ore YtD'!$B:$B,$A72,'DB Costi-Ore YtD'!$E:$E,$C72)-SUM($D72:E72),0)</f>
        <v>152.5</v>
      </c>
      <c r="G72" s="9">
        <f>IF((G$1*1)&lt;=MAX('DB Costi-Ore YtD'!$A:$A),SUMIFS('DB Costi-Ore YtD'!$F:$F,'DB Costi-Ore YtD'!$A:$A,G$1,'DB Costi-Ore YtD'!$B:$B,$A72,'DB Costi-Ore YtD'!$E:$E,$C72)-SUM($D72:F72),0)</f>
        <v>139.5</v>
      </c>
      <c r="H72" s="9">
        <f>IF((H$1*1)&lt;=MAX('DB Costi-Ore YtD'!$A:$A),SUMIFS('DB Costi-Ore YtD'!$F:$F,'DB Costi-Ore YtD'!$A:$A,H$1,'DB Costi-Ore YtD'!$B:$B,$A72,'DB Costi-Ore YtD'!$E:$E,$C72)-SUM($D72:G72),0)</f>
        <v>137.5</v>
      </c>
      <c r="I72" s="9">
        <f>IF((I$1*1)&lt;=MAX('DB Costi-Ore YtD'!$A:$A),SUMIFS('DB Costi-Ore YtD'!$F:$F,'DB Costi-Ore YtD'!$A:$A,I$1,'DB Costi-Ore YtD'!$B:$B,$A72,'DB Costi-Ore YtD'!$E:$E,$C72)-SUM($D72:H72),0)</f>
        <v>151.25</v>
      </c>
      <c r="J72" s="9">
        <f>IF((J$1*1)&lt;=MAX('DB Costi-Ore YtD'!$A:$A),SUMIFS('DB Costi-Ore YtD'!$F:$F,'DB Costi-Ore YtD'!$A:$A,J$1,'DB Costi-Ore YtD'!$B:$B,$A72,'DB Costi-Ore YtD'!$E:$E,$C72)-SUM($D72:I72),0)</f>
        <v>0</v>
      </c>
      <c r="K72" s="9">
        <f>IF((K$1*1)&lt;=MAX('DB Costi-Ore YtD'!$A:$A),SUMIFS('DB Costi-Ore YtD'!$F:$F,'DB Costi-Ore YtD'!$A:$A,K$1,'DB Costi-Ore YtD'!$B:$B,$A72,'DB Costi-Ore YtD'!$E:$E,$C72)-SUM($D72:J72),0)</f>
        <v>0</v>
      </c>
      <c r="L72" s="9">
        <f>IF((L$1*1)&lt;=MAX('DB Costi-Ore YtD'!$A:$A),SUMIFS('DB Costi-Ore YtD'!$F:$F,'DB Costi-Ore YtD'!$A:$A,L$1,'DB Costi-Ore YtD'!$B:$B,$A72,'DB Costi-Ore YtD'!$E:$E,$C72)-SUM($D72:K72),0)</f>
        <v>0</v>
      </c>
      <c r="M72" s="9">
        <f>IF((M$1*1)&lt;=MAX('DB Costi-Ore YtD'!$A:$A),SUMIFS('DB Costi-Ore YtD'!$F:$F,'DB Costi-Ore YtD'!$A:$A,M$1,'DB Costi-Ore YtD'!$B:$B,$A72,'DB Costi-Ore YtD'!$E:$E,$C72)-SUM($D72:L72),0)</f>
        <v>0</v>
      </c>
      <c r="N72" s="9">
        <f>IF((N$1*1)&lt;=MAX('DB Costi-Ore YtD'!$A:$A),SUMIFS('DB Costi-Ore YtD'!$F:$F,'DB Costi-Ore YtD'!$A:$A,N$1,'DB Costi-Ore YtD'!$B:$B,$A72,'DB Costi-Ore YtD'!$E:$E,$C72)-SUM($D72:M72),0)</f>
        <v>0</v>
      </c>
      <c r="O72" s="9">
        <f>IF((O$1*1)&lt;=MAX('DB Costi-Ore YtD'!$A:$A),SUMIFS('DB Costi-Ore YtD'!$F:$F,'DB Costi-Ore YtD'!$A:$A,O$1,'DB Costi-Ore YtD'!$B:$B,$A72,'DB Costi-Ore YtD'!$E:$E,$C72)-SUM($D72:N72),0)</f>
        <v>0</v>
      </c>
    </row>
    <row r="73" spans="1:15" x14ac:dyDescent="0.3">
      <c r="A73" s="9" t="s">
        <v>171</v>
      </c>
      <c r="B73" s="9" t="s">
        <v>172</v>
      </c>
      <c r="C73" s="9" t="s">
        <v>3</v>
      </c>
      <c r="D73" s="9">
        <f>IF((D$1*1)&lt;=MAX('DB Costi-Ore YtD'!$A:$A),SUMIFS('DB Costi-Ore YtD'!$F:$F,'DB Costi-Ore YtD'!$A:$A,D$1,'DB Costi-Ore YtD'!$B:$B,$A73,'DB Costi-Ore YtD'!$E:$E,$C73),0)</f>
        <v>132</v>
      </c>
      <c r="E73" s="9">
        <f>IF((E$1*1)&lt;=MAX('DB Costi-Ore YtD'!$A:$A),SUMIFS('DB Costi-Ore YtD'!$F:$F,'DB Costi-Ore YtD'!$A:$A,E$1,'DB Costi-Ore YtD'!$B:$B,$A73,'DB Costi-Ore YtD'!$E:$E,$C73)-SUM($D73:D73),0)</f>
        <v>133.5</v>
      </c>
      <c r="F73" s="9">
        <f>IF((F$1*1)&lt;=MAX('DB Costi-Ore YtD'!$A:$A),SUMIFS('DB Costi-Ore YtD'!$F:$F,'DB Costi-Ore YtD'!$A:$A,F$1,'DB Costi-Ore YtD'!$B:$B,$A73,'DB Costi-Ore YtD'!$E:$E,$C73)-SUM($D73:E73),0)</f>
        <v>149</v>
      </c>
      <c r="G73" s="9">
        <f>IF((G$1*1)&lt;=MAX('DB Costi-Ore YtD'!$A:$A),SUMIFS('DB Costi-Ore YtD'!$F:$F,'DB Costi-Ore YtD'!$A:$A,G$1,'DB Costi-Ore YtD'!$B:$B,$A73,'DB Costi-Ore YtD'!$E:$E,$C73)-SUM($D73:F73),0)</f>
        <v>140.5</v>
      </c>
      <c r="H73" s="9">
        <f>IF((H$1*1)&lt;=MAX('DB Costi-Ore YtD'!$A:$A),SUMIFS('DB Costi-Ore YtD'!$F:$F,'DB Costi-Ore YtD'!$A:$A,H$1,'DB Costi-Ore YtD'!$B:$B,$A73,'DB Costi-Ore YtD'!$E:$E,$C73)-SUM($D73:G73),0)</f>
        <v>124.5</v>
      </c>
      <c r="I73" s="9">
        <f>IF((I$1*1)&lt;=MAX('DB Costi-Ore YtD'!$A:$A),SUMIFS('DB Costi-Ore YtD'!$F:$F,'DB Costi-Ore YtD'!$A:$A,I$1,'DB Costi-Ore YtD'!$B:$B,$A73,'DB Costi-Ore YtD'!$E:$E,$C73)-SUM($D73:H73),0)</f>
        <v>134.5</v>
      </c>
      <c r="J73" s="9">
        <f>IF((J$1*1)&lt;=MAX('DB Costi-Ore YtD'!$A:$A),SUMIFS('DB Costi-Ore YtD'!$F:$F,'DB Costi-Ore YtD'!$A:$A,J$1,'DB Costi-Ore YtD'!$B:$B,$A73,'DB Costi-Ore YtD'!$E:$E,$C73)-SUM($D73:I73),0)</f>
        <v>0</v>
      </c>
      <c r="K73" s="9">
        <f>IF((K$1*1)&lt;=MAX('DB Costi-Ore YtD'!$A:$A),SUMIFS('DB Costi-Ore YtD'!$F:$F,'DB Costi-Ore YtD'!$A:$A,K$1,'DB Costi-Ore YtD'!$B:$B,$A73,'DB Costi-Ore YtD'!$E:$E,$C73)-SUM($D73:J73),0)</f>
        <v>0</v>
      </c>
      <c r="L73" s="9">
        <f>IF((L$1*1)&lt;=MAX('DB Costi-Ore YtD'!$A:$A),SUMIFS('DB Costi-Ore YtD'!$F:$F,'DB Costi-Ore YtD'!$A:$A,L$1,'DB Costi-Ore YtD'!$B:$B,$A73,'DB Costi-Ore YtD'!$E:$E,$C73)-SUM($D73:K73),0)</f>
        <v>0</v>
      </c>
      <c r="M73" s="9">
        <f>IF((M$1*1)&lt;=MAX('DB Costi-Ore YtD'!$A:$A),SUMIFS('DB Costi-Ore YtD'!$F:$F,'DB Costi-Ore YtD'!$A:$A,M$1,'DB Costi-Ore YtD'!$B:$B,$A73,'DB Costi-Ore YtD'!$E:$E,$C73)-SUM($D73:L73),0)</f>
        <v>0</v>
      </c>
      <c r="N73" s="9">
        <f>IF((N$1*1)&lt;=MAX('DB Costi-Ore YtD'!$A:$A),SUMIFS('DB Costi-Ore YtD'!$F:$F,'DB Costi-Ore YtD'!$A:$A,N$1,'DB Costi-Ore YtD'!$B:$B,$A73,'DB Costi-Ore YtD'!$E:$E,$C73)-SUM($D73:M73),0)</f>
        <v>0</v>
      </c>
      <c r="O73" s="9">
        <f>IF((O$1*1)&lt;=MAX('DB Costi-Ore YtD'!$A:$A),SUMIFS('DB Costi-Ore YtD'!$F:$F,'DB Costi-Ore YtD'!$A:$A,O$1,'DB Costi-Ore YtD'!$B:$B,$A73,'DB Costi-Ore YtD'!$E:$E,$C73)-SUM($D73:N73),0)</f>
        <v>0</v>
      </c>
    </row>
    <row r="74" spans="1:15" x14ac:dyDescent="0.3">
      <c r="A74" s="9" t="s">
        <v>173</v>
      </c>
      <c r="B74" s="9" t="s">
        <v>174</v>
      </c>
      <c r="C74" s="9" t="s">
        <v>3</v>
      </c>
      <c r="D74" s="9">
        <f>IF((D$1*1)&lt;=MAX('DB Costi-Ore YtD'!$A:$A),SUMIFS('DB Costi-Ore YtD'!$F:$F,'DB Costi-Ore YtD'!$A:$A,D$1,'DB Costi-Ore YtD'!$B:$B,$A74,'DB Costi-Ore YtD'!$E:$E,$C74),0)</f>
        <v>74</v>
      </c>
      <c r="E74" s="9">
        <f>IF((E$1*1)&lt;=MAX('DB Costi-Ore YtD'!$A:$A),SUMIFS('DB Costi-Ore YtD'!$F:$F,'DB Costi-Ore YtD'!$A:$A,E$1,'DB Costi-Ore YtD'!$B:$B,$A74,'DB Costi-Ore YtD'!$E:$E,$C74)-SUM($D74:D74),0)</f>
        <v>71</v>
      </c>
      <c r="F74" s="9">
        <f>IF((F$1*1)&lt;=MAX('DB Costi-Ore YtD'!$A:$A),SUMIFS('DB Costi-Ore YtD'!$F:$F,'DB Costi-Ore YtD'!$A:$A,F$1,'DB Costi-Ore YtD'!$B:$B,$A74,'DB Costi-Ore YtD'!$E:$E,$C74)-SUM($D74:E74),0)</f>
        <v>79.75</v>
      </c>
      <c r="G74" s="9">
        <f>IF((G$1*1)&lt;=MAX('DB Costi-Ore YtD'!$A:$A),SUMIFS('DB Costi-Ore YtD'!$F:$F,'DB Costi-Ore YtD'!$A:$A,G$1,'DB Costi-Ore YtD'!$B:$B,$A74,'DB Costi-Ore YtD'!$E:$E,$C74)-SUM($D74:F74),0)</f>
        <v>81</v>
      </c>
      <c r="H74" s="9">
        <f>IF((H$1*1)&lt;=MAX('DB Costi-Ore YtD'!$A:$A),SUMIFS('DB Costi-Ore YtD'!$F:$F,'DB Costi-Ore YtD'!$A:$A,H$1,'DB Costi-Ore YtD'!$B:$B,$A74,'DB Costi-Ore YtD'!$E:$E,$C74)-SUM($D74:G74),0)</f>
        <v>72</v>
      </c>
      <c r="I74" s="9">
        <f>IF((I$1*1)&lt;=MAX('DB Costi-Ore YtD'!$A:$A),SUMIFS('DB Costi-Ore YtD'!$F:$F,'DB Costi-Ore YtD'!$A:$A,I$1,'DB Costi-Ore YtD'!$B:$B,$A74,'DB Costi-Ore YtD'!$E:$E,$C74)-SUM($D74:H74),0)</f>
        <v>63</v>
      </c>
      <c r="J74" s="9">
        <f>IF((J$1*1)&lt;=MAX('DB Costi-Ore YtD'!$A:$A),SUMIFS('DB Costi-Ore YtD'!$F:$F,'DB Costi-Ore YtD'!$A:$A,J$1,'DB Costi-Ore YtD'!$B:$B,$A74,'DB Costi-Ore YtD'!$E:$E,$C74)-SUM($D74:I74),0)</f>
        <v>0</v>
      </c>
      <c r="K74" s="9">
        <f>IF((K$1*1)&lt;=MAX('DB Costi-Ore YtD'!$A:$A),SUMIFS('DB Costi-Ore YtD'!$F:$F,'DB Costi-Ore YtD'!$A:$A,K$1,'DB Costi-Ore YtD'!$B:$B,$A74,'DB Costi-Ore YtD'!$E:$E,$C74)-SUM($D74:J74),0)</f>
        <v>0</v>
      </c>
      <c r="L74" s="9">
        <f>IF((L$1*1)&lt;=MAX('DB Costi-Ore YtD'!$A:$A),SUMIFS('DB Costi-Ore YtD'!$F:$F,'DB Costi-Ore YtD'!$A:$A,L$1,'DB Costi-Ore YtD'!$B:$B,$A74,'DB Costi-Ore YtD'!$E:$E,$C74)-SUM($D74:K74),0)</f>
        <v>0</v>
      </c>
      <c r="M74" s="9">
        <f>IF((M$1*1)&lt;=MAX('DB Costi-Ore YtD'!$A:$A),SUMIFS('DB Costi-Ore YtD'!$F:$F,'DB Costi-Ore YtD'!$A:$A,M$1,'DB Costi-Ore YtD'!$B:$B,$A74,'DB Costi-Ore YtD'!$E:$E,$C74)-SUM($D74:L74),0)</f>
        <v>0</v>
      </c>
      <c r="N74" s="9">
        <f>IF((N$1*1)&lt;=MAX('DB Costi-Ore YtD'!$A:$A),SUMIFS('DB Costi-Ore YtD'!$F:$F,'DB Costi-Ore YtD'!$A:$A,N$1,'DB Costi-Ore YtD'!$B:$B,$A74,'DB Costi-Ore YtD'!$E:$E,$C74)-SUM($D74:M74),0)</f>
        <v>0</v>
      </c>
      <c r="O74" s="9">
        <f>IF((O$1*1)&lt;=MAX('DB Costi-Ore YtD'!$A:$A),SUMIFS('DB Costi-Ore YtD'!$F:$F,'DB Costi-Ore YtD'!$A:$A,O$1,'DB Costi-Ore YtD'!$B:$B,$A74,'DB Costi-Ore YtD'!$E:$E,$C74)-SUM($D74:N74),0)</f>
        <v>0</v>
      </c>
    </row>
    <row r="75" spans="1:15" x14ac:dyDescent="0.3">
      <c r="A75" s="9" t="s">
        <v>175</v>
      </c>
      <c r="B75" s="9" t="s">
        <v>176</v>
      </c>
      <c r="C75" s="9" t="s">
        <v>12</v>
      </c>
      <c r="D75" s="9">
        <f>IF((D$1*1)&lt;=MAX('DB Costi-Ore YtD'!$A:$A),SUMIFS('DB Costi-Ore YtD'!$F:$F,'DB Costi-Ore YtD'!$A:$A,D$1,'DB Costi-Ore YtD'!$B:$B,$A75,'DB Costi-Ore YtD'!$E:$E,$C75),0)</f>
        <v>132</v>
      </c>
      <c r="E75" s="9">
        <f>IF((E$1*1)&lt;=MAX('DB Costi-Ore YtD'!$A:$A),SUMIFS('DB Costi-Ore YtD'!$F:$F,'DB Costi-Ore YtD'!$A:$A,E$1,'DB Costi-Ore YtD'!$B:$B,$A75,'DB Costi-Ore YtD'!$E:$E,$C75)-SUM($D75:D75),0)</f>
        <v>133.5</v>
      </c>
      <c r="F75" s="9">
        <f>IF((F$1*1)&lt;=MAX('DB Costi-Ore YtD'!$A:$A),SUMIFS('DB Costi-Ore YtD'!$F:$F,'DB Costi-Ore YtD'!$A:$A,F$1,'DB Costi-Ore YtD'!$B:$B,$A75,'DB Costi-Ore YtD'!$E:$E,$C75)-SUM($D75:E75),0)</f>
        <v>144.5</v>
      </c>
      <c r="G75" s="9">
        <f>IF((G$1*1)&lt;=MAX('DB Costi-Ore YtD'!$A:$A),SUMIFS('DB Costi-Ore YtD'!$F:$F,'DB Costi-Ore YtD'!$A:$A,G$1,'DB Costi-Ore YtD'!$B:$B,$A75,'DB Costi-Ore YtD'!$E:$E,$C75)-SUM($D75:F75),0)</f>
        <v>99.5</v>
      </c>
      <c r="H75" s="9">
        <f>IF((H$1*1)&lt;=MAX('DB Costi-Ore YtD'!$A:$A),SUMIFS('DB Costi-Ore YtD'!$F:$F,'DB Costi-Ore YtD'!$A:$A,H$1,'DB Costi-Ore YtD'!$B:$B,$A75,'DB Costi-Ore YtD'!$E:$E,$C75)-SUM($D75:G75),0)</f>
        <v>141.5</v>
      </c>
      <c r="I75" s="9">
        <f>IF((I$1*1)&lt;=MAX('DB Costi-Ore YtD'!$A:$A),SUMIFS('DB Costi-Ore YtD'!$F:$F,'DB Costi-Ore YtD'!$A:$A,I$1,'DB Costi-Ore YtD'!$B:$B,$A75,'DB Costi-Ore YtD'!$E:$E,$C75)-SUM($D75:H75),0)</f>
        <v>137.75</v>
      </c>
      <c r="J75" s="9">
        <f>IF((J$1*1)&lt;=MAX('DB Costi-Ore YtD'!$A:$A),SUMIFS('DB Costi-Ore YtD'!$F:$F,'DB Costi-Ore YtD'!$A:$A,J$1,'DB Costi-Ore YtD'!$B:$B,$A75,'DB Costi-Ore YtD'!$E:$E,$C75)-SUM($D75:I75),0)</f>
        <v>0</v>
      </c>
      <c r="K75" s="9">
        <f>IF((K$1*1)&lt;=MAX('DB Costi-Ore YtD'!$A:$A),SUMIFS('DB Costi-Ore YtD'!$F:$F,'DB Costi-Ore YtD'!$A:$A,K$1,'DB Costi-Ore YtD'!$B:$B,$A75,'DB Costi-Ore YtD'!$E:$E,$C75)-SUM($D75:J75),0)</f>
        <v>0</v>
      </c>
      <c r="L75" s="9">
        <f>IF((L$1*1)&lt;=MAX('DB Costi-Ore YtD'!$A:$A),SUMIFS('DB Costi-Ore YtD'!$F:$F,'DB Costi-Ore YtD'!$A:$A,L$1,'DB Costi-Ore YtD'!$B:$B,$A75,'DB Costi-Ore YtD'!$E:$E,$C75)-SUM($D75:K75),0)</f>
        <v>0</v>
      </c>
      <c r="M75" s="9">
        <f>IF((M$1*1)&lt;=MAX('DB Costi-Ore YtD'!$A:$A),SUMIFS('DB Costi-Ore YtD'!$F:$F,'DB Costi-Ore YtD'!$A:$A,M$1,'DB Costi-Ore YtD'!$B:$B,$A75,'DB Costi-Ore YtD'!$E:$E,$C75)-SUM($D75:L75),0)</f>
        <v>0</v>
      </c>
      <c r="N75" s="9">
        <f>IF((N$1*1)&lt;=MAX('DB Costi-Ore YtD'!$A:$A),SUMIFS('DB Costi-Ore YtD'!$F:$F,'DB Costi-Ore YtD'!$A:$A,N$1,'DB Costi-Ore YtD'!$B:$B,$A75,'DB Costi-Ore YtD'!$E:$E,$C75)-SUM($D75:M75),0)</f>
        <v>0</v>
      </c>
      <c r="O75" s="9">
        <f>IF((O$1*1)&lt;=MAX('DB Costi-Ore YtD'!$A:$A),SUMIFS('DB Costi-Ore YtD'!$F:$F,'DB Costi-Ore YtD'!$A:$A,O$1,'DB Costi-Ore YtD'!$B:$B,$A75,'DB Costi-Ore YtD'!$E:$E,$C75)-SUM($D75:N75),0)</f>
        <v>0</v>
      </c>
    </row>
    <row r="76" spans="1:15" x14ac:dyDescent="0.3">
      <c r="A76" s="9" t="s">
        <v>177</v>
      </c>
      <c r="B76" s="9" t="s">
        <v>178</v>
      </c>
      <c r="C76" s="9" t="s">
        <v>2</v>
      </c>
      <c r="D76" s="9">
        <f>IF((D$1*1)&lt;=MAX('DB Costi-Ore YtD'!$A:$A),SUMIFS('DB Costi-Ore YtD'!$F:$F,'DB Costi-Ore YtD'!$A:$A,D$1,'DB Costi-Ore YtD'!$B:$B,$A76,'DB Costi-Ore YtD'!$E:$E,$C76),0)</f>
        <v>0</v>
      </c>
      <c r="E76" s="9">
        <f>IF((E$1*1)&lt;=MAX('DB Costi-Ore YtD'!$A:$A),SUMIFS('DB Costi-Ore YtD'!$F:$F,'DB Costi-Ore YtD'!$A:$A,E$1,'DB Costi-Ore YtD'!$B:$B,$A76,'DB Costi-Ore YtD'!$E:$E,$C76)-SUM($D76:D76),0)</f>
        <v>0</v>
      </c>
      <c r="F76" s="9">
        <f>IF((F$1*1)&lt;=MAX('DB Costi-Ore YtD'!$A:$A),SUMIFS('DB Costi-Ore YtD'!$F:$F,'DB Costi-Ore YtD'!$A:$A,F$1,'DB Costi-Ore YtD'!$B:$B,$A76,'DB Costi-Ore YtD'!$E:$E,$C76)-SUM($D76:E76),0)</f>
        <v>0</v>
      </c>
      <c r="G76" s="9">
        <f>IF((G$1*1)&lt;=MAX('DB Costi-Ore YtD'!$A:$A),SUMIFS('DB Costi-Ore YtD'!$F:$F,'DB Costi-Ore YtD'!$A:$A,G$1,'DB Costi-Ore YtD'!$B:$B,$A76,'DB Costi-Ore YtD'!$E:$E,$C76)-SUM($D76:F76),0)</f>
        <v>0</v>
      </c>
      <c r="H76" s="9">
        <f>IF((H$1*1)&lt;=MAX('DB Costi-Ore YtD'!$A:$A),SUMIFS('DB Costi-Ore YtD'!$F:$F,'DB Costi-Ore YtD'!$A:$A,H$1,'DB Costi-Ore YtD'!$B:$B,$A76,'DB Costi-Ore YtD'!$E:$E,$C76)-SUM($D76:G76),0)</f>
        <v>0</v>
      </c>
      <c r="I76" s="9">
        <f>IF((I$1*1)&lt;=MAX('DB Costi-Ore YtD'!$A:$A),SUMIFS('DB Costi-Ore YtD'!$F:$F,'DB Costi-Ore YtD'!$A:$A,I$1,'DB Costi-Ore YtD'!$B:$B,$A76,'DB Costi-Ore YtD'!$E:$E,$C76)-SUM($D76:H76),0)</f>
        <v>0</v>
      </c>
      <c r="J76" s="9">
        <f>IF((J$1*1)&lt;=MAX('DB Costi-Ore YtD'!$A:$A),SUMIFS('DB Costi-Ore YtD'!$F:$F,'DB Costi-Ore YtD'!$A:$A,J$1,'DB Costi-Ore YtD'!$B:$B,$A76,'DB Costi-Ore YtD'!$E:$E,$C76)-SUM($D76:I76),0)</f>
        <v>0</v>
      </c>
      <c r="K76" s="9">
        <f>IF((K$1*1)&lt;=MAX('DB Costi-Ore YtD'!$A:$A),SUMIFS('DB Costi-Ore YtD'!$F:$F,'DB Costi-Ore YtD'!$A:$A,K$1,'DB Costi-Ore YtD'!$B:$B,$A76,'DB Costi-Ore YtD'!$E:$E,$C76)-SUM($D76:J76),0)</f>
        <v>0</v>
      </c>
      <c r="L76" s="9">
        <f>IF((L$1*1)&lt;=MAX('DB Costi-Ore YtD'!$A:$A),SUMIFS('DB Costi-Ore YtD'!$F:$F,'DB Costi-Ore YtD'!$A:$A,L$1,'DB Costi-Ore YtD'!$B:$B,$A76,'DB Costi-Ore YtD'!$E:$E,$C76)-SUM($D76:K76),0)</f>
        <v>0</v>
      </c>
      <c r="M76" s="9">
        <f>IF((M$1*1)&lt;=MAX('DB Costi-Ore YtD'!$A:$A),SUMIFS('DB Costi-Ore YtD'!$F:$F,'DB Costi-Ore YtD'!$A:$A,M$1,'DB Costi-Ore YtD'!$B:$B,$A76,'DB Costi-Ore YtD'!$E:$E,$C76)-SUM($D76:L76),0)</f>
        <v>0</v>
      </c>
      <c r="N76" s="9">
        <f>IF((N$1*1)&lt;=MAX('DB Costi-Ore YtD'!$A:$A),SUMIFS('DB Costi-Ore YtD'!$F:$F,'DB Costi-Ore YtD'!$A:$A,N$1,'DB Costi-Ore YtD'!$B:$B,$A76,'DB Costi-Ore YtD'!$E:$E,$C76)-SUM($D76:M76),0)</f>
        <v>0</v>
      </c>
      <c r="O76" s="9">
        <f>IF((O$1*1)&lt;=MAX('DB Costi-Ore YtD'!$A:$A),SUMIFS('DB Costi-Ore YtD'!$F:$F,'DB Costi-Ore YtD'!$A:$A,O$1,'DB Costi-Ore YtD'!$B:$B,$A76,'DB Costi-Ore YtD'!$E:$E,$C76)-SUM($D76:N76),0)</f>
        <v>0</v>
      </c>
    </row>
    <row r="77" spans="1:15" x14ac:dyDescent="0.3">
      <c r="A77" s="9" t="s">
        <v>179</v>
      </c>
      <c r="B77" s="9" t="s">
        <v>180</v>
      </c>
      <c r="C77" s="9" t="s">
        <v>2</v>
      </c>
      <c r="D77" s="9">
        <f>IF((D$1*1)&lt;=MAX('DB Costi-Ore YtD'!$A:$A),SUMIFS('DB Costi-Ore YtD'!$F:$F,'DB Costi-Ore YtD'!$A:$A,D$1,'DB Costi-Ore YtD'!$B:$B,$A77,'DB Costi-Ore YtD'!$E:$E,$C77),0)</f>
        <v>151.5</v>
      </c>
      <c r="E77" s="9">
        <f>IF((E$1*1)&lt;=MAX('DB Costi-Ore YtD'!$A:$A),SUMIFS('DB Costi-Ore YtD'!$F:$F,'DB Costi-Ore YtD'!$A:$A,E$1,'DB Costi-Ore YtD'!$B:$B,$A77,'DB Costi-Ore YtD'!$E:$E,$C77)-SUM($D77:D77),0)</f>
        <v>137</v>
      </c>
      <c r="F77" s="9">
        <f>IF((F$1*1)&lt;=MAX('DB Costi-Ore YtD'!$A:$A),SUMIFS('DB Costi-Ore YtD'!$F:$F,'DB Costi-Ore YtD'!$A:$A,F$1,'DB Costi-Ore YtD'!$B:$B,$A77,'DB Costi-Ore YtD'!$E:$E,$C77)-SUM($D77:E77),0)</f>
        <v>141.25</v>
      </c>
      <c r="G77" s="9">
        <f>IF((G$1*1)&lt;=MAX('DB Costi-Ore YtD'!$A:$A),SUMIFS('DB Costi-Ore YtD'!$F:$F,'DB Costi-Ore YtD'!$A:$A,G$1,'DB Costi-Ore YtD'!$B:$B,$A77,'DB Costi-Ore YtD'!$E:$E,$C77)-SUM($D77:F77),0)</f>
        <v>144</v>
      </c>
      <c r="H77" s="9">
        <f>IF((H$1*1)&lt;=MAX('DB Costi-Ore YtD'!$A:$A),SUMIFS('DB Costi-Ore YtD'!$F:$F,'DB Costi-Ore YtD'!$A:$A,H$1,'DB Costi-Ore YtD'!$B:$B,$A77,'DB Costi-Ore YtD'!$E:$E,$C77)-SUM($D77:G77),0)</f>
        <v>144.5</v>
      </c>
      <c r="I77" s="9">
        <f>IF((I$1*1)&lt;=MAX('DB Costi-Ore YtD'!$A:$A),SUMIFS('DB Costi-Ore YtD'!$F:$F,'DB Costi-Ore YtD'!$A:$A,I$1,'DB Costi-Ore YtD'!$B:$B,$A77,'DB Costi-Ore YtD'!$E:$E,$C77)-SUM($D77:H77),0)</f>
        <v>23</v>
      </c>
      <c r="J77" s="9">
        <f>IF((J$1*1)&lt;=MAX('DB Costi-Ore YtD'!$A:$A),SUMIFS('DB Costi-Ore YtD'!$F:$F,'DB Costi-Ore YtD'!$A:$A,J$1,'DB Costi-Ore YtD'!$B:$B,$A77,'DB Costi-Ore YtD'!$E:$E,$C77)-SUM($D77:I77),0)</f>
        <v>0</v>
      </c>
      <c r="K77" s="9">
        <f>IF((K$1*1)&lt;=MAX('DB Costi-Ore YtD'!$A:$A),SUMIFS('DB Costi-Ore YtD'!$F:$F,'DB Costi-Ore YtD'!$A:$A,K$1,'DB Costi-Ore YtD'!$B:$B,$A77,'DB Costi-Ore YtD'!$E:$E,$C77)-SUM($D77:J77),0)</f>
        <v>0</v>
      </c>
      <c r="L77" s="9">
        <f>IF((L$1*1)&lt;=MAX('DB Costi-Ore YtD'!$A:$A),SUMIFS('DB Costi-Ore YtD'!$F:$F,'DB Costi-Ore YtD'!$A:$A,L$1,'DB Costi-Ore YtD'!$B:$B,$A77,'DB Costi-Ore YtD'!$E:$E,$C77)-SUM($D77:K77),0)</f>
        <v>0</v>
      </c>
      <c r="M77" s="9">
        <f>IF((M$1*1)&lt;=MAX('DB Costi-Ore YtD'!$A:$A),SUMIFS('DB Costi-Ore YtD'!$F:$F,'DB Costi-Ore YtD'!$A:$A,M$1,'DB Costi-Ore YtD'!$B:$B,$A77,'DB Costi-Ore YtD'!$E:$E,$C77)-SUM($D77:L77),0)</f>
        <v>0</v>
      </c>
      <c r="N77" s="9">
        <f>IF((N$1*1)&lt;=MAX('DB Costi-Ore YtD'!$A:$A),SUMIFS('DB Costi-Ore YtD'!$F:$F,'DB Costi-Ore YtD'!$A:$A,N$1,'DB Costi-Ore YtD'!$B:$B,$A77,'DB Costi-Ore YtD'!$E:$E,$C77)-SUM($D77:M77),0)</f>
        <v>0</v>
      </c>
      <c r="O77" s="9">
        <f>IF((O$1*1)&lt;=MAX('DB Costi-Ore YtD'!$A:$A),SUMIFS('DB Costi-Ore YtD'!$F:$F,'DB Costi-Ore YtD'!$A:$A,O$1,'DB Costi-Ore YtD'!$B:$B,$A77,'DB Costi-Ore YtD'!$E:$E,$C77)-SUM($D77:N77),0)</f>
        <v>0</v>
      </c>
    </row>
    <row r="78" spans="1:15" x14ac:dyDescent="0.3">
      <c r="A78" s="9" t="s">
        <v>181</v>
      </c>
      <c r="B78" s="9" t="s">
        <v>182</v>
      </c>
      <c r="C78" s="9" t="s">
        <v>2</v>
      </c>
      <c r="D78" s="9">
        <f>IF((D$1*1)&lt;=MAX('DB Costi-Ore YtD'!$A:$A),SUMIFS('DB Costi-Ore YtD'!$F:$F,'DB Costi-Ore YtD'!$A:$A,D$1,'DB Costi-Ore YtD'!$B:$B,$A78,'DB Costi-Ore YtD'!$E:$E,$C78),0)</f>
        <v>60</v>
      </c>
      <c r="E78" s="9">
        <f>IF((E$1*1)&lt;=MAX('DB Costi-Ore YtD'!$A:$A),SUMIFS('DB Costi-Ore YtD'!$F:$F,'DB Costi-Ore YtD'!$A:$A,E$1,'DB Costi-Ore YtD'!$B:$B,$A78,'DB Costi-Ore YtD'!$E:$E,$C78)-SUM($D78:D78),0)</f>
        <v>84</v>
      </c>
      <c r="F78" s="9">
        <f>IF((F$1*1)&lt;=MAX('DB Costi-Ore YtD'!$A:$A),SUMIFS('DB Costi-Ore YtD'!$F:$F,'DB Costi-Ore YtD'!$A:$A,F$1,'DB Costi-Ore YtD'!$B:$B,$A78,'DB Costi-Ore YtD'!$E:$E,$C78)-SUM($D78:E78),0)</f>
        <v>118</v>
      </c>
      <c r="G78" s="9">
        <f>IF((G$1*1)&lt;=MAX('DB Costi-Ore YtD'!$A:$A),SUMIFS('DB Costi-Ore YtD'!$F:$F,'DB Costi-Ore YtD'!$A:$A,G$1,'DB Costi-Ore YtD'!$B:$B,$A78,'DB Costi-Ore YtD'!$E:$E,$C78)-SUM($D78:F78),0)</f>
        <v>83.5</v>
      </c>
      <c r="H78" s="9">
        <f>IF((H$1*1)&lt;=MAX('DB Costi-Ore YtD'!$A:$A),SUMIFS('DB Costi-Ore YtD'!$F:$F,'DB Costi-Ore YtD'!$A:$A,H$1,'DB Costi-Ore YtD'!$B:$B,$A78,'DB Costi-Ore YtD'!$E:$E,$C78)-SUM($D78:G78),0)</f>
        <v>108</v>
      </c>
      <c r="I78" s="9">
        <f>IF((I$1*1)&lt;=MAX('DB Costi-Ore YtD'!$A:$A),SUMIFS('DB Costi-Ore YtD'!$F:$F,'DB Costi-Ore YtD'!$A:$A,I$1,'DB Costi-Ore YtD'!$B:$B,$A78,'DB Costi-Ore YtD'!$E:$E,$C78)-SUM($D78:H78),0)</f>
        <v>120</v>
      </c>
      <c r="J78" s="9">
        <f>IF((J$1*1)&lt;=MAX('DB Costi-Ore YtD'!$A:$A),SUMIFS('DB Costi-Ore YtD'!$F:$F,'DB Costi-Ore YtD'!$A:$A,J$1,'DB Costi-Ore YtD'!$B:$B,$A78,'DB Costi-Ore YtD'!$E:$E,$C78)-SUM($D78:I78),0)</f>
        <v>0</v>
      </c>
      <c r="K78" s="9">
        <f>IF((K$1*1)&lt;=MAX('DB Costi-Ore YtD'!$A:$A),SUMIFS('DB Costi-Ore YtD'!$F:$F,'DB Costi-Ore YtD'!$A:$A,K$1,'DB Costi-Ore YtD'!$B:$B,$A78,'DB Costi-Ore YtD'!$E:$E,$C78)-SUM($D78:J78),0)</f>
        <v>0</v>
      </c>
      <c r="L78" s="9">
        <f>IF((L$1*1)&lt;=MAX('DB Costi-Ore YtD'!$A:$A),SUMIFS('DB Costi-Ore YtD'!$F:$F,'DB Costi-Ore YtD'!$A:$A,L$1,'DB Costi-Ore YtD'!$B:$B,$A78,'DB Costi-Ore YtD'!$E:$E,$C78)-SUM($D78:K78),0)</f>
        <v>0</v>
      </c>
      <c r="M78" s="9">
        <f>IF((M$1*1)&lt;=MAX('DB Costi-Ore YtD'!$A:$A),SUMIFS('DB Costi-Ore YtD'!$F:$F,'DB Costi-Ore YtD'!$A:$A,M$1,'DB Costi-Ore YtD'!$B:$B,$A78,'DB Costi-Ore YtD'!$E:$E,$C78)-SUM($D78:L78),0)</f>
        <v>0</v>
      </c>
      <c r="N78" s="9">
        <f>IF((N$1*1)&lt;=MAX('DB Costi-Ore YtD'!$A:$A),SUMIFS('DB Costi-Ore YtD'!$F:$F,'DB Costi-Ore YtD'!$A:$A,N$1,'DB Costi-Ore YtD'!$B:$B,$A78,'DB Costi-Ore YtD'!$E:$E,$C78)-SUM($D78:M78),0)</f>
        <v>0</v>
      </c>
      <c r="O78" s="9">
        <f>IF((O$1*1)&lt;=MAX('DB Costi-Ore YtD'!$A:$A),SUMIFS('DB Costi-Ore YtD'!$F:$F,'DB Costi-Ore YtD'!$A:$A,O$1,'DB Costi-Ore YtD'!$B:$B,$A78,'DB Costi-Ore YtD'!$E:$E,$C78)-SUM($D78:N78),0)</f>
        <v>0</v>
      </c>
    </row>
    <row r="79" spans="1:15" x14ac:dyDescent="0.3">
      <c r="A79" s="9" t="s">
        <v>183</v>
      </c>
      <c r="B79" s="9" t="s">
        <v>184</v>
      </c>
      <c r="C79" s="9" t="s">
        <v>2</v>
      </c>
      <c r="D79" s="9">
        <f>IF((D$1*1)&lt;=MAX('DB Costi-Ore YtD'!$A:$A),SUMIFS('DB Costi-Ore YtD'!$F:$F,'DB Costi-Ore YtD'!$A:$A,D$1,'DB Costi-Ore YtD'!$B:$B,$A79,'DB Costi-Ore YtD'!$E:$E,$C79),0)</f>
        <v>151</v>
      </c>
      <c r="E79" s="9">
        <f>IF((E$1*1)&lt;=MAX('DB Costi-Ore YtD'!$A:$A),SUMIFS('DB Costi-Ore YtD'!$F:$F,'DB Costi-Ore YtD'!$A:$A,E$1,'DB Costi-Ore YtD'!$B:$B,$A79,'DB Costi-Ore YtD'!$E:$E,$C79)-SUM($D79:D79),0)</f>
        <v>129</v>
      </c>
      <c r="F79" s="9">
        <f>IF((F$1*1)&lt;=MAX('DB Costi-Ore YtD'!$A:$A),SUMIFS('DB Costi-Ore YtD'!$F:$F,'DB Costi-Ore YtD'!$A:$A,F$1,'DB Costi-Ore YtD'!$B:$B,$A79,'DB Costi-Ore YtD'!$E:$E,$C79)-SUM($D79:E79),0)</f>
        <v>150.75</v>
      </c>
      <c r="G79" s="9">
        <f>IF((G$1*1)&lt;=MAX('DB Costi-Ore YtD'!$A:$A),SUMIFS('DB Costi-Ore YtD'!$F:$F,'DB Costi-Ore YtD'!$A:$A,G$1,'DB Costi-Ore YtD'!$B:$B,$A79,'DB Costi-Ore YtD'!$E:$E,$C79)-SUM($D79:F79),0)</f>
        <v>151.5</v>
      </c>
      <c r="H79" s="9">
        <f>IF((H$1*1)&lt;=MAX('DB Costi-Ore YtD'!$A:$A),SUMIFS('DB Costi-Ore YtD'!$F:$F,'DB Costi-Ore YtD'!$A:$A,H$1,'DB Costi-Ore YtD'!$B:$B,$A79,'DB Costi-Ore YtD'!$E:$E,$C79)-SUM($D79:G79),0)</f>
        <v>76.5</v>
      </c>
      <c r="I79" s="9">
        <f>IF((I$1*1)&lt;=MAX('DB Costi-Ore YtD'!$A:$A),SUMIFS('DB Costi-Ore YtD'!$F:$F,'DB Costi-Ore YtD'!$A:$A,I$1,'DB Costi-Ore YtD'!$B:$B,$A79,'DB Costi-Ore YtD'!$E:$E,$C79)-SUM($D79:H79),0)</f>
        <v>38.5</v>
      </c>
      <c r="J79" s="9">
        <f>IF((J$1*1)&lt;=MAX('DB Costi-Ore YtD'!$A:$A),SUMIFS('DB Costi-Ore YtD'!$F:$F,'DB Costi-Ore YtD'!$A:$A,J$1,'DB Costi-Ore YtD'!$B:$B,$A79,'DB Costi-Ore YtD'!$E:$E,$C79)-SUM($D79:I79),0)</f>
        <v>0</v>
      </c>
      <c r="K79" s="9">
        <f>IF((K$1*1)&lt;=MAX('DB Costi-Ore YtD'!$A:$A),SUMIFS('DB Costi-Ore YtD'!$F:$F,'DB Costi-Ore YtD'!$A:$A,K$1,'DB Costi-Ore YtD'!$B:$B,$A79,'DB Costi-Ore YtD'!$E:$E,$C79)-SUM($D79:J79),0)</f>
        <v>0</v>
      </c>
      <c r="L79" s="9">
        <f>IF((L$1*1)&lt;=MAX('DB Costi-Ore YtD'!$A:$A),SUMIFS('DB Costi-Ore YtD'!$F:$F,'DB Costi-Ore YtD'!$A:$A,L$1,'DB Costi-Ore YtD'!$B:$B,$A79,'DB Costi-Ore YtD'!$E:$E,$C79)-SUM($D79:K79),0)</f>
        <v>0</v>
      </c>
      <c r="M79" s="9">
        <f>IF((M$1*1)&lt;=MAX('DB Costi-Ore YtD'!$A:$A),SUMIFS('DB Costi-Ore YtD'!$F:$F,'DB Costi-Ore YtD'!$A:$A,M$1,'DB Costi-Ore YtD'!$B:$B,$A79,'DB Costi-Ore YtD'!$E:$E,$C79)-SUM($D79:L79),0)</f>
        <v>0</v>
      </c>
      <c r="N79" s="9">
        <f>IF((N$1*1)&lt;=MAX('DB Costi-Ore YtD'!$A:$A),SUMIFS('DB Costi-Ore YtD'!$F:$F,'DB Costi-Ore YtD'!$A:$A,N$1,'DB Costi-Ore YtD'!$B:$B,$A79,'DB Costi-Ore YtD'!$E:$E,$C79)-SUM($D79:M79),0)</f>
        <v>0</v>
      </c>
      <c r="O79" s="9">
        <f>IF((O$1*1)&lt;=MAX('DB Costi-Ore YtD'!$A:$A),SUMIFS('DB Costi-Ore YtD'!$F:$F,'DB Costi-Ore YtD'!$A:$A,O$1,'DB Costi-Ore YtD'!$B:$B,$A79,'DB Costi-Ore YtD'!$E:$E,$C79)-SUM($D79:N79),0)</f>
        <v>0</v>
      </c>
    </row>
    <row r="80" spans="1:15" x14ac:dyDescent="0.3">
      <c r="A80" s="9" t="s">
        <v>185</v>
      </c>
      <c r="B80" s="9" t="s">
        <v>186</v>
      </c>
      <c r="C80" s="9" t="s">
        <v>10</v>
      </c>
      <c r="D80" s="9">
        <f>IF((D$1*1)&lt;=MAX('DB Costi-Ore YtD'!$A:$A),SUMIFS('DB Costi-Ore YtD'!$F:$F,'DB Costi-Ore YtD'!$A:$A,D$1,'DB Costi-Ore YtD'!$B:$B,$A80,'DB Costi-Ore YtD'!$E:$E,$C80),0)</f>
        <v>159</v>
      </c>
      <c r="E80" s="9">
        <f>IF((E$1*1)&lt;=MAX('DB Costi-Ore YtD'!$A:$A),SUMIFS('DB Costi-Ore YtD'!$F:$F,'DB Costi-Ore YtD'!$A:$A,E$1,'DB Costi-Ore YtD'!$B:$B,$A80,'DB Costi-Ore YtD'!$E:$E,$C80)-SUM($D80:D80),0)</f>
        <v>152</v>
      </c>
      <c r="F80" s="9">
        <f>IF((F$1*1)&lt;=MAX('DB Costi-Ore YtD'!$A:$A),SUMIFS('DB Costi-Ore YtD'!$F:$F,'DB Costi-Ore YtD'!$A:$A,F$1,'DB Costi-Ore YtD'!$B:$B,$A80,'DB Costi-Ore YtD'!$E:$E,$C80)-SUM($D80:E80),0)</f>
        <v>160</v>
      </c>
      <c r="G80" s="9">
        <f>IF((G$1*1)&lt;=MAX('DB Costi-Ore YtD'!$A:$A),SUMIFS('DB Costi-Ore YtD'!$F:$F,'DB Costi-Ore YtD'!$A:$A,G$1,'DB Costi-Ore YtD'!$B:$B,$A80,'DB Costi-Ore YtD'!$E:$E,$C80)-SUM($D80:F80),0)</f>
        <v>151.5</v>
      </c>
      <c r="H80" s="9">
        <f>IF((H$1*1)&lt;=MAX('DB Costi-Ore YtD'!$A:$A),SUMIFS('DB Costi-Ore YtD'!$F:$F,'DB Costi-Ore YtD'!$A:$A,H$1,'DB Costi-Ore YtD'!$B:$B,$A80,'DB Costi-Ore YtD'!$E:$E,$C80)-SUM($D80:G80),0)</f>
        <v>26.5</v>
      </c>
      <c r="I80" s="9">
        <f>IF((I$1*1)&lt;=MAX('DB Costi-Ore YtD'!$A:$A),SUMIFS('DB Costi-Ore YtD'!$F:$F,'DB Costi-Ore YtD'!$A:$A,I$1,'DB Costi-Ore YtD'!$B:$B,$A80,'DB Costi-Ore YtD'!$E:$E,$C80)-SUM($D80:H80),0)</f>
        <v>152</v>
      </c>
      <c r="J80" s="9">
        <f>IF((J$1*1)&lt;=MAX('DB Costi-Ore YtD'!$A:$A),SUMIFS('DB Costi-Ore YtD'!$F:$F,'DB Costi-Ore YtD'!$A:$A,J$1,'DB Costi-Ore YtD'!$B:$B,$A80,'DB Costi-Ore YtD'!$E:$E,$C80)-SUM($D80:I80),0)</f>
        <v>0</v>
      </c>
      <c r="K80" s="9">
        <f>IF((K$1*1)&lt;=MAX('DB Costi-Ore YtD'!$A:$A),SUMIFS('DB Costi-Ore YtD'!$F:$F,'DB Costi-Ore YtD'!$A:$A,K$1,'DB Costi-Ore YtD'!$B:$B,$A80,'DB Costi-Ore YtD'!$E:$E,$C80)-SUM($D80:J80),0)</f>
        <v>0</v>
      </c>
      <c r="L80" s="9">
        <f>IF((L$1*1)&lt;=MAX('DB Costi-Ore YtD'!$A:$A),SUMIFS('DB Costi-Ore YtD'!$F:$F,'DB Costi-Ore YtD'!$A:$A,L$1,'DB Costi-Ore YtD'!$B:$B,$A80,'DB Costi-Ore YtD'!$E:$E,$C80)-SUM($D80:K80),0)</f>
        <v>0</v>
      </c>
      <c r="M80" s="9">
        <f>IF((M$1*1)&lt;=MAX('DB Costi-Ore YtD'!$A:$A),SUMIFS('DB Costi-Ore YtD'!$F:$F,'DB Costi-Ore YtD'!$A:$A,M$1,'DB Costi-Ore YtD'!$B:$B,$A80,'DB Costi-Ore YtD'!$E:$E,$C80)-SUM($D80:L80),0)</f>
        <v>0</v>
      </c>
      <c r="N80" s="9">
        <f>IF((N$1*1)&lt;=MAX('DB Costi-Ore YtD'!$A:$A),SUMIFS('DB Costi-Ore YtD'!$F:$F,'DB Costi-Ore YtD'!$A:$A,N$1,'DB Costi-Ore YtD'!$B:$B,$A80,'DB Costi-Ore YtD'!$E:$E,$C80)-SUM($D80:M80),0)</f>
        <v>0</v>
      </c>
      <c r="O80" s="9">
        <f>IF((O$1*1)&lt;=MAX('DB Costi-Ore YtD'!$A:$A),SUMIFS('DB Costi-Ore YtD'!$F:$F,'DB Costi-Ore YtD'!$A:$A,O$1,'DB Costi-Ore YtD'!$B:$B,$A80,'DB Costi-Ore YtD'!$E:$E,$C80)-SUM($D80:N80),0)</f>
        <v>0</v>
      </c>
    </row>
    <row r="81" spans="1:15" x14ac:dyDescent="0.3">
      <c r="A81" s="9" t="s">
        <v>187</v>
      </c>
      <c r="B81" s="9" t="s">
        <v>188</v>
      </c>
      <c r="C81" s="9" t="s">
        <v>6</v>
      </c>
      <c r="D81" s="9">
        <f>IF((D$1*1)&lt;=MAX('DB Costi-Ore YtD'!$A:$A),SUMIFS('DB Costi-Ore YtD'!$F:$F,'DB Costi-Ore YtD'!$A:$A,D$1,'DB Costi-Ore YtD'!$B:$B,$A81,'DB Costi-Ore YtD'!$E:$E,$C81),0)</f>
        <v>171.5</v>
      </c>
      <c r="E81" s="9">
        <f>IF((E$1*1)&lt;=MAX('DB Costi-Ore YtD'!$A:$A),SUMIFS('DB Costi-Ore YtD'!$F:$F,'DB Costi-Ore YtD'!$A:$A,E$1,'DB Costi-Ore YtD'!$B:$B,$A81,'DB Costi-Ore YtD'!$E:$E,$C81)-SUM($D81:D81),0)</f>
        <v>160.25</v>
      </c>
      <c r="F81" s="9">
        <f>IF((F$1*1)&lt;=MAX('DB Costi-Ore YtD'!$A:$A),SUMIFS('DB Costi-Ore YtD'!$F:$F,'DB Costi-Ore YtD'!$A:$A,F$1,'DB Costi-Ore YtD'!$B:$B,$A81,'DB Costi-Ore YtD'!$E:$E,$C81)-SUM($D81:E81),0)</f>
        <v>79.75</v>
      </c>
      <c r="G81" s="9">
        <f>IF((G$1*1)&lt;=MAX('DB Costi-Ore YtD'!$A:$A),SUMIFS('DB Costi-Ore YtD'!$F:$F,'DB Costi-Ore YtD'!$A:$A,G$1,'DB Costi-Ore YtD'!$B:$B,$A81,'DB Costi-Ore YtD'!$E:$E,$C81)-SUM($D81:F81),0)</f>
        <v>171.5</v>
      </c>
      <c r="H81" s="9">
        <f>IF((H$1*1)&lt;=MAX('DB Costi-Ore YtD'!$A:$A),SUMIFS('DB Costi-Ore YtD'!$F:$F,'DB Costi-Ore YtD'!$A:$A,H$1,'DB Costi-Ore YtD'!$B:$B,$A81,'DB Costi-Ore YtD'!$E:$E,$C81)-SUM($D81:G81),0)</f>
        <v>182.75</v>
      </c>
      <c r="I81" s="9">
        <f>IF((I$1*1)&lt;=MAX('DB Costi-Ore YtD'!$A:$A),SUMIFS('DB Costi-Ore YtD'!$F:$F,'DB Costi-Ore YtD'!$A:$A,I$1,'DB Costi-Ore YtD'!$B:$B,$A81,'DB Costi-Ore YtD'!$E:$E,$C81)-SUM($D81:H81),0)</f>
        <v>176.5</v>
      </c>
      <c r="J81" s="9">
        <f>IF((J$1*1)&lt;=MAX('DB Costi-Ore YtD'!$A:$A),SUMIFS('DB Costi-Ore YtD'!$F:$F,'DB Costi-Ore YtD'!$A:$A,J$1,'DB Costi-Ore YtD'!$B:$B,$A81,'DB Costi-Ore YtD'!$E:$E,$C81)-SUM($D81:I81),0)</f>
        <v>0</v>
      </c>
      <c r="K81" s="9">
        <f>IF((K$1*1)&lt;=MAX('DB Costi-Ore YtD'!$A:$A),SUMIFS('DB Costi-Ore YtD'!$F:$F,'DB Costi-Ore YtD'!$A:$A,K$1,'DB Costi-Ore YtD'!$B:$B,$A81,'DB Costi-Ore YtD'!$E:$E,$C81)-SUM($D81:J81),0)</f>
        <v>0</v>
      </c>
      <c r="L81" s="9">
        <f>IF((L$1*1)&lt;=MAX('DB Costi-Ore YtD'!$A:$A),SUMIFS('DB Costi-Ore YtD'!$F:$F,'DB Costi-Ore YtD'!$A:$A,L$1,'DB Costi-Ore YtD'!$B:$B,$A81,'DB Costi-Ore YtD'!$E:$E,$C81)-SUM($D81:K81),0)</f>
        <v>0</v>
      </c>
      <c r="M81" s="9">
        <f>IF((M$1*1)&lt;=MAX('DB Costi-Ore YtD'!$A:$A),SUMIFS('DB Costi-Ore YtD'!$F:$F,'DB Costi-Ore YtD'!$A:$A,M$1,'DB Costi-Ore YtD'!$B:$B,$A81,'DB Costi-Ore YtD'!$E:$E,$C81)-SUM($D81:L81),0)</f>
        <v>0</v>
      </c>
      <c r="N81" s="9">
        <f>IF((N$1*1)&lt;=MAX('DB Costi-Ore YtD'!$A:$A),SUMIFS('DB Costi-Ore YtD'!$F:$F,'DB Costi-Ore YtD'!$A:$A,N$1,'DB Costi-Ore YtD'!$B:$B,$A81,'DB Costi-Ore YtD'!$E:$E,$C81)-SUM($D81:M81),0)</f>
        <v>0</v>
      </c>
      <c r="O81" s="9">
        <f>IF((O$1*1)&lt;=MAX('DB Costi-Ore YtD'!$A:$A),SUMIFS('DB Costi-Ore YtD'!$F:$F,'DB Costi-Ore YtD'!$A:$A,O$1,'DB Costi-Ore YtD'!$B:$B,$A81,'DB Costi-Ore YtD'!$E:$E,$C81)-SUM($D81:N81),0)</f>
        <v>0</v>
      </c>
    </row>
    <row r="82" spans="1:15" x14ac:dyDescent="0.3">
      <c r="A82" s="9" t="s">
        <v>189</v>
      </c>
      <c r="B82" s="9" t="s">
        <v>190</v>
      </c>
      <c r="C82" s="9" t="s">
        <v>2</v>
      </c>
      <c r="D82" s="9">
        <f>IF((D$1*1)&lt;=MAX('DB Costi-Ore YtD'!$A:$A),SUMIFS('DB Costi-Ore YtD'!$F:$F,'DB Costi-Ore YtD'!$A:$A,D$1,'DB Costi-Ore YtD'!$B:$B,$A82,'DB Costi-Ore YtD'!$E:$E,$C82),0)</f>
        <v>136.5</v>
      </c>
      <c r="E82" s="9">
        <f>IF((E$1*1)&lt;=MAX('DB Costi-Ore YtD'!$A:$A),SUMIFS('DB Costi-Ore YtD'!$F:$F,'DB Costi-Ore YtD'!$A:$A,E$1,'DB Costi-Ore YtD'!$B:$B,$A82,'DB Costi-Ore YtD'!$E:$E,$C82)-SUM($D82:D82),0)</f>
        <v>129</v>
      </c>
      <c r="F82" s="9">
        <f>IF((F$1*1)&lt;=MAX('DB Costi-Ore YtD'!$A:$A),SUMIFS('DB Costi-Ore YtD'!$F:$F,'DB Costi-Ore YtD'!$A:$A,F$1,'DB Costi-Ore YtD'!$B:$B,$A82,'DB Costi-Ore YtD'!$E:$E,$C82)-SUM($D82:E82),0)</f>
        <v>146.75</v>
      </c>
      <c r="G82" s="9">
        <f>IF((G$1*1)&lt;=MAX('DB Costi-Ore YtD'!$A:$A),SUMIFS('DB Costi-Ore YtD'!$F:$F,'DB Costi-Ore YtD'!$A:$A,G$1,'DB Costi-Ore YtD'!$B:$B,$A82,'DB Costi-Ore YtD'!$E:$E,$C82)-SUM($D82:F82),0)</f>
        <v>147.75</v>
      </c>
      <c r="H82" s="9">
        <f>IF((H$1*1)&lt;=MAX('DB Costi-Ore YtD'!$A:$A),SUMIFS('DB Costi-Ore YtD'!$F:$F,'DB Costi-Ore YtD'!$A:$A,H$1,'DB Costi-Ore YtD'!$B:$B,$A82,'DB Costi-Ore YtD'!$E:$E,$C82)-SUM($D82:G82),0)</f>
        <v>140</v>
      </c>
      <c r="I82" s="9">
        <f>IF((I$1*1)&lt;=MAX('DB Costi-Ore YtD'!$A:$A),SUMIFS('DB Costi-Ore YtD'!$F:$F,'DB Costi-Ore YtD'!$A:$A,I$1,'DB Costi-Ore YtD'!$B:$B,$A82,'DB Costi-Ore YtD'!$E:$E,$C82)-SUM($D82:H82),0)</f>
        <v>142.5</v>
      </c>
      <c r="J82" s="9">
        <f>IF((J$1*1)&lt;=MAX('DB Costi-Ore YtD'!$A:$A),SUMIFS('DB Costi-Ore YtD'!$F:$F,'DB Costi-Ore YtD'!$A:$A,J$1,'DB Costi-Ore YtD'!$B:$B,$A82,'DB Costi-Ore YtD'!$E:$E,$C82)-SUM($D82:I82),0)</f>
        <v>0</v>
      </c>
      <c r="K82" s="9">
        <f>IF((K$1*1)&lt;=MAX('DB Costi-Ore YtD'!$A:$A),SUMIFS('DB Costi-Ore YtD'!$F:$F,'DB Costi-Ore YtD'!$A:$A,K$1,'DB Costi-Ore YtD'!$B:$B,$A82,'DB Costi-Ore YtD'!$E:$E,$C82)-SUM($D82:J82),0)</f>
        <v>0</v>
      </c>
      <c r="L82" s="9">
        <f>IF((L$1*1)&lt;=MAX('DB Costi-Ore YtD'!$A:$A),SUMIFS('DB Costi-Ore YtD'!$F:$F,'DB Costi-Ore YtD'!$A:$A,L$1,'DB Costi-Ore YtD'!$B:$B,$A82,'DB Costi-Ore YtD'!$E:$E,$C82)-SUM($D82:K82),0)</f>
        <v>0</v>
      </c>
      <c r="M82" s="9">
        <f>IF((M$1*1)&lt;=MAX('DB Costi-Ore YtD'!$A:$A),SUMIFS('DB Costi-Ore YtD'!$F:$F,'DB Costi-Ore YtD'!$A:$A,M$1,'DB Costi-Ore YtD'!$B:$B,$A82,'DB Costi-Ore YtD'!$E:$E,$C82)-SUM($D82:L82),0)</f>
        <v>0</v>
      </c>
      <c r="N82" s="9">
        <f>IF((N$1*1)&lt;=MAX('DB Costi-Ore YtD'!$A:$A),SUMIFS('DB Costi-Ore YtD'!$F:$F,'DB Costi-Ore YtD'!$A:$A,N$1,'DB Costi-Ore YtD'!$B:$B,$A82,'DB Costi-Ore YtD'!$E:$E,$C82)-SUM($D82:M82),0)</f>
        <v>0</v>
      </c>
      <c r="O82" s="9">
        <f>IF((O$1*1)&lt;=MAX('DB Costi-Ore YtD'!$A:$A),SUMIFS('DB Costi-Ore YtD'!$F:$F,'DB Costi-Ore YtD'!$A:$A,O$1,'DB Costi-Ore YtD'!$B:$B,$A82,'DB Costi-Ore YtD'!$E:$E,$C82)-SUM($D82:N82),0)</f>
        <v>0</v>
      </c>
    </row>
    <row r="83" spans="1:15" x14ac:dyDescent="0.3">
      <c r="A83" s="9" t="s">
        <v>191</v>
      </c>
      <c r="B83" s="9" t="s">
        <v>192</v>
      </c>
      <c r="C83" s="9" t="s">
        <v>2</v>
      </c>
      <c r="D83" s="9">
        <f>IF((D$1*1)&lt;=MAX('DB Costi-Ore YtD'!$A:$A),SUMIFS('DB Costi-Ore YtD'!$F:$F,'DB Costi-Ore YtD'!$A:$A,D$1,'DB Costi-Ore YtD'!$B:$B,$A83,'DB Costi-Ore YtD'!$E:$E,$C83),0)</f>
        <v>158.75</v>
      </c>
      <c r="E83" s="9">
        <f>IF((E$1*1)&lt;=MAX('DB Costi-Ore YtD'!$A:$A),SUMIFS('DB Costi-Ore YtD'!$F:$F,'DB Costi-Ore YtD'!$A:$A,E$1,'DB Costi-Ore YtD'!$B:$B,$A83,'DB Costi-Ore YtD'!$E:$E,$C83)-SUM($D83:D83),0)</f>
        <v>137</v>
      </c>
      <c r="F83" s="9">
        <f>IF((F$1*1)&lt;=MAX('DB Costi-Ore YtD'!$A:$A),SUMIFS('DB Costi-Ore YtD'!$F:$F,'DB Costi-Ore YtD'!$A:$A,F$1,'DB Costi-Ore YtD'!$B:$B,$A83,'DB Costi-Ore YtD'!$E:$E,$C83)-SUM($D83:E83),0)</f>
        <v>155.5</v>
      </c>
      <c r="G83" s="9">
        <f>IF((G$1*1)&lt;=MAX('DB Costi-Ore YtD'!$A:$A),SUMIFS('DB Costi-Ore YtD'!$F:$F,'DB Costi-Ore YtD'!$A:$A,G$1,'DB Costi-Ore YtD'!$B:$B,$A83,'DB Costi-Ore YtD'!$E:$E,$C83)-SUM($D83:F83),0)</f>
        <v>149</v>
      </c>
      <c r="H83" s="9">
        <f>IF((H$1*1)&lt;=MAX('DB Costi-Ore YtD'!$A:$A),SUMIFS('DB Costi-Ore YtD'!$F:$F,'DB Costi-Ore YtD'!$A:$A,H$1,'DB Costi-Ore YtD'!$B:$B,$A83,'DB Costi-Ore YtD'!$E:$E,$C83)-SUM($D83:G83),0)</f>
        <v>140</v>
      </c>
      <c r="I83" s="9">
        <f>IF((I$1*1)&lt;=MAX('DB Costi-Ore YtD'!$A:$A),SUMIFS('DB Costi-Ore YtD'!$F:$F,'DB Costi-Ore YtD'!$A:$A,I$1,'DB Costi-Ore YtD'!$B:$B,$A83,'DB Costi-Ore YtD'!$E:$E,$C83)-SUM($D83:H83),0)</f>
        <v>157.25</v>
      </c>
      <c r="J83" s="9">
        <f>IF((J$1*1)&lt;=MAX('DB Costi-Ore YtD'!$A:$A),SUMIFS('DB Costi-Ore YtD'!$F:$F,'DB Costi-Ore YtD'!$A:$A,J$1,'DB Costi-Ore YtD'!$B:$B,$A83,'DB Costi-Ore YtD'!$E:$E,$C83)-SUM($D83:I83),0)</f>
        <v>0</v>
      </c>
      <c r="K83" s="9">
        <f>IF((K$1*1)&lt;=MAX('DB Costi-Ore YtD'!$A:$A),SUMIFS('DB Costi-Ore YtD'!$F:$F,'DB Costi-Ore YtD'!$A:$A,K$1,'DB Costi-Ore YtD'!$B:$B,$A83,'DB Costi-Ore YtD'!$E:$E,$C83)-SUM($D83:J83),0)</f>
        <v>0</v>
      </c>
      <c r="L83" s="9">
        <f>IF((L$1*1)&lt;=MAX('DB Costi-Ore YtD'!$A:$A),SUMIFS('DB Costi-Ore YtD'!$F:$F,'DB Costi-Ore YtD'!$A:$A,L$1,'DB Costi-Ore YtD'!$B:$B,$A83,'DB Costi-Ore YtD'!$E:$E,$C83)-SUM($D83:K83),0)</f>
        <v>0</v>
      </c>
      <c r="M83" s="9">
        <f>IF((M$1*1)&lt;=MAX('DB Costi-Ore YtD'!$A:$A),SUMIFS('DB Costi-Ore YtD'!$F:$F,'DB Costi-Ore YtD'!$A:$A,M$1,'DB Costi-Ore YtD'!$B:$B,$A83,'DB Costi-Ore YtD'!$E:$E,$C83)-SUM($D83:L83),0)</f>
        <v>0</v>
      </c>
      <c r="N83" s="9">
        <f>IF((N$1*1)&lt;=MAX('DB Costi-Ore YtD'!$A:$A),SUMIFS('DB Costi-Ore YtD'!$F:$F,'DB Costi-Ore YtD'!$A:$A,N$1,'DB Costi-Ore YtD'!$B:$B,$A83,'DB Costi-Ore YtD'!$E:$E,$C83)-SUM($D83:M83),0)</f>
        <v>0</v>
      </c>
      <c r="O83" s="9">
        <f>IF((O$1*1)&lt;=MAX('DB Costi-Ore YtD'!$A:$A),SUMIFS('DB Costi-Ore YtD'!$F:$F,'DB Costi-Ore YtD'!$A:$A,O$1,'DB Costi-Ore YtD'!$B:$B,$A83,'DB Costi-Ore YtD'!$E:$E,$C83)-SUM($D83:N83),0)</f>
        <v>0</v>
      </c>
    </row>
    <row r="84" spans="1:15" x14ac:dyDescent="0.3">
      <c r="A84" s="9" t="s">
        <v>193</v>
      </c>
      <c r="B84" s="9" t="s">
        <v>194</v>
      </c>
      <c r="C84" s="9" t="s">
        <v>7</v>
      </c>
      <c r="D84" s="9">
        <f>IF((D$1*1)&lt;=MAX('DB Costi-Ore YtD'!$A:$A),SUMIFS('DB Costi-Ore YtD'!$F:$F,'DB Costi-Ore YtD'!$A:$A,D$1,'DB Costi-Ore YtD'!$B:$B,$A84,'DB Costi-Ore YtD'!$E:$E,$C84),0)</f>
        <v>113.5</v>
      </c>
      <c r="E84" s="9">
        <f>IF((E$1*1)&lt;=MAX('DB Costi-Ore YtD'!$A:$A),SUMIFS('DB Costi-Ore YtD'!$F:$F,'DB Costi-Ore YtD'!$A:$A,E$1,'DB Costi-Ore YtD'!$B:$B,$A84,'DB Costi-Ore YtD'!$E:$E,$C84)-SUM($D84:D84),0)</f>
        <v>84</v>
      </c>
      <c r="F84" s="9">
        <f>IF((F$1*1)&lt;=MAX('DB Costi-Ore YtD'!$A:$A),SUMIFS('DB Costi-Ore YtD'!$F:$F,'DB Costi-Ore YtD'!$A:$A,F$1,'DB Costi-Ore YtD'!$B:$B,$A84,'DB Costi-Ore YtD'!$E:$E,$C84)-SUM($D84:E84),0)</f>
        <v>103.5</v>
      </c>
      <c r="G84" s="9">
        <f>IF((G$1*1)&lt;=MAX('DB Costi-Ore YtD'!$A:$A),SUMIFS('DB Costi-Ore YtD'!$F:$F,'DB Costi-Ore YtD'!$A:$A,G$1,'DB Costi-Ore YtD'!$B:$B,$A84,'DB Costi-Ore YtD'!$E:$E,$C84)-SUM($D84:F84),0)</f>
        <v>127.25</v>
      </c>
      <c r="H84" s="9">
        <f>IF((H$1*1)&lt;=MAX('DB Costi-Ore YtD'!$A:$A),SUMIFS('DB Costi-Ore YtD'!$F:$F,'DB Costi-Ore YtD'!$A:$A,H$1,'DB Costi-Ore YtD'!$B:$B,$A84,'DB Costi-Ore YtD'!$E:$E,$C84)-SUM($D84:G84),0)</f>
        <v>-428.25</v>
      </c>
      <c r="I84" s="9">
        <f>IF((I$1*1)&lt;=MAX('DB Costi-Ore YtD'!$A:$A),SUMIFS('DB Costi-Ore YtD'!$F:$F,'DB Costi-Ore YtD'!$A:$A,I$1,'DB Costi-Ore YtD'!$B:$B,$A84,'DB Costi-Ore YtD'!$E:$E,$C84)-SUM($D84:H84),0)</f>
        <v>0</v>
      </c>
      <c r="J84" s="9">
        <f>IF((J$1*1)&lt;=MAX('DB Costi-Ore YtD'!$A:$A),SUMIFS('DB Costi-Ore YtD'!$F:$F,'DB Costi-Ore YtD'!$A:$A,J$1,'DB Costi-Ore YtD'!$B:$B,$A84,'DB Costi-Ore YtD'!$E:$E,$C84)-SUM($D84:I84),0)</f>
        <v>0</v>
      </c>
      <c r="K84" s="9">
        <f>IF((K$1*1)&lt;=MAX('DB Costi-Ore YtD'!$A:$A),SUMIFS('DB Costi-Ore YtD'!$F:$F,'DB Costi-Ore YtD'!$A:$A,K$1,'DB Costi-Ore YtD'!$B:$B,$A84,'DB Costi-Ore YtD'!$E:$E,$C84)-SUM($D84:J84),0)</f>
        <v>0</v>
      </c>
      <c r="L84" s="9">
        <f>IF((L$1*1)&lt;=MAX('DB Costi-Ore YtD'!$A:$A),SUMIFS('DB Costi-Ore YtD'!$F:$F,'DB Costi-Ore YtD'!$A:$A,L$1,'DB Costi-Ore YtD'!$B:$B,$A84,'DB Costi-Ore YtD'!$E:$E,$C84)-SUM($D84:K84),0)</f>
        <v>0</v>
      </c>
      <c r="M84" s="9">
        <f>IF((M$1*1)&lt;=MAX('DB Costi-Ore YtD'!$A:$A),SUMIFS('DB Costi-Ore YtD'!$F:$F,'DB Costi-Ore YtD'!$A:$A,M$1,'DB Costi-Ore YtD'!$B:$B,$A84,'DB Costi-Ore YtD'!$E:$E,$C84)-SUM($D84:L84),0)</f>
        <v>0</v>
      </c>
      <c r="N84" s="9">
        <f>IF((N$1*1)&lt;=MAX('DB Costi-Ore YtD'!$A:$A),SUMIFS('DB Costi-Ore YtD'!$F:$F,'DB Costi-Ore YtD'!$A:$A,N$1,'DB Costi-Ore YtD'!$B:$B,$A84,'DB Costi-Ore YtD'!$E:$E,$C84)-SUM($D84:M84),0)</f>
        <v>0</v>
      </c>
      <c r="O84" s="9">
        <f>IF((O$1*1)&lt;=MAX('DB Costi-Ore YtD'!$A:$A),SUMIFS('DB Costi-Ore YtD'!$F:$F,'DB Costi-Ore YtD'!$A:$A,O$1,'DB Costi-Ore YtD'!$B:$B,$A84,'DB Costi-Ore YtD'!$E:$E,$C84)-SUM($D84:N84),0)</f>
        <v>0</v>
      </c>
    </row>
    <row r="85" spans="1:15" x14ac:dyDescent="0.3">
      <c r="A85" s="9" t="s">
        <v>195</v>
      </c>
      <c r="B85" s="9" t="s">
        <v>196</v>
      </c>
      <c r="C85" s="9" t="s">
        <v>8</v>
      </c>
      <c r="D85" s="9">
        <f>IF((D$1*1)&lt;=MAX('DB Costi-Ore YtD'!$A:$A),SUMIFS('DB Costi-Ore YtD'!$F:$F,'DB Costi-Ore YtD'!$A:$A,D$1,'DB Costi-Ore YtD'!$B:$B,$A85,'DB Costi-Ore YtD'!$E:$E,$C85),0)</f>
        <v>133.75</v>
      </c>
      <c r="E85" s="9">
        <f>IF((E$1*1)&lt;=MAX('DB Costi-Ore YtD'!$A:$A),SUMIFS('DB Costi-Ore YtD'!$F:$F,'DB Costi-Ore YtD'!$A:$A,E$1,'DB Costi-Ore YtD'!$B:$B,$A85,'DB Costi-Ore YtD'!$E:$E,$C85)-SUM($D85:D85),0)</f>
        <v>106.5</v>
      </c>
      <c r="F85" s="9">
        <f>IF((F$1*1)&lt;=MAX('DB Costi-Ore YtD'!$A:$A),SUMIFS('DB Costi-Ore YtD'!$F:$F,'DB Costi-Ore YtD'!$A:$A,F$1,'DB Costi-Ore YtD'!$B:$B,$A85,'DB Costi-Ore YtD'!$E:$E,$C85)-SUM($D85:E85),0)</f>
        <v>158.5</v>
      </c>
      <c r="G85" s="9">
        <f>IF((G$1*1)&lt;=MAX('DB Costi-Ore YtD'!$A:$A),SUMIFS('DB Costi-Ore YtD'!$F:$F,'DB Costi-Ore YtD'!$A:$A,G$1,'DB Costi-Ore YtD'!$B:$B,$A85,'DB Costi-Ore YtD'!$E:$E,$C85)-SUM($D85:F85),0)</f>
        <v>129</v>
      </c>
      <c r="H85" s="9">
        <f>IF((H$1*1)&lt;=MAX('DB Costi-Ore YtD'!$A:$A),SUMIFS('DB Costi-Ore YtD'!$F:$F,'DB Costi-Ore YtD'!$A:$A,H$1,'DB Costi-Ore YtD'!$B:$B,$A85,'DB Costi-Ore YtD'!$E:$E,$C85)-SUM($D85:G85),0)</f>
        <v>157.5</v>
      </c>
      <c r="I85" s="9">
        <f>IF((I$1*1)&lt;=MAX('DB Costi-Ore YtD'!$A:$A),SUMIFS('DB Costi-Ore YtD'!$F:$F,'DB Costi-Ore YtD'!$A:$A,I$1,'DB Costi-Ore YtD'!$B:$B,$A85,'DB Costi-Ore YtD'!$E:$E,$C85)-SUM($D85:H85),0)</f>
        <v>150.75</v>
      </c>
      <c r="J85" s="9">
        <f>IF((J$1*1)&lt;=MAX('DB Costi-Ore YtD'!$A:$A),SUMIFS('DB Costi-Ore YtD'!$F:$F,'DB Costi-Ore YtD'!$A:$A,J$1,'DB Costi-Ore YtD'!$B:$B,$A85,'DB Costi-Ore YtD'!$E:$E,$C85)-SUM($D85:I85),0)</f>
        <v>0</v>
      </c>
      <c r="K85" s="9">
        <f>IF((K$1*1)&lt;=MAX('DB Costi-Ore YtD'!$A:$A),SUMIFS('DB Costi-Ore YtD'!$F:$F,'DB Costi-Ore YtD'!$A:$A,K$1,'DB Costi-Ore YtD'!$B:$B,$A85,'DB Costi-Ore YtD'!$E:$E,$C85)-SUM($D85:J85),0)</f>
        <v>0</v>
      </c>
      <c r="L85" s="9">
        <f>IF((L$1*1)&lt;=MAX('DB Costi-Ore YtD'!$A:$A),SUMIFS('DB Costi-Ore YtD'!$F:$F,'DB Costi-Ore YtD'!$A:$A,L$1,'DB Costi-Ore YtD'!$B:$B,$A85,'DB Costi-Ore YtD'!$E:$E,$C85)-SUM($D85:K85),0)</f>
        <v>0</v>
      </c>
      <c r="M85" s="9">
        <f>IF((M$1*1)&lt;=MAX('DB Costi-Ore YtD'!$A:$A),SUMIFS('DB Costi-Ore YtD'!$F:$F,'DB Costi-Ore YtD'!$A:$A,M$1,'DB Costi-Ore YtD'!$B:$B,$A85,'DB Costi-Ore YtD'!$E:$E,$C85)-SUM($D85:L85),0)</f>
        <v>0</v>
      </c>
      <c r="N85" s="9">
        <f>IF((N$1*1)&lt;=MAX('DB Costi-Ore YtD'!$A:$A),SUMIFS('DB Costi-Ore YtD'!$F:$F,'DB Costi-Ore YtD'!$A:$A,N$1,'DB Costi-Ore YtD'!$B:$B,$A85,'DB Costi-Ore YtD'!$E:$E,$C85)-SUM($D85:M85),0)</f>
        <v>0</v>
      </c>
      <c r="O85" s="9">
        <f>IF((O$1*1)&lt;=MAX('DB Costi-Ore YtD'!$A:$A),SUMIFS('DB Costi-Ore YtD'!$F:$F,'DB Costi-Ore YtD'!$A:$A,O$1,'DB Costi-Ore YtD'!$B:$B,$A85,'DB Costi-Ore YtD'!$E:$E,$C85)-SUM($D85:N85),0)</f>
        <v>0</v>
      </c>
    </row>
    <row r="86" spans="1:15" x14ac:dyDescent="0.3">
      <c r="A86" s="9" t="s">
        <v>197</v>
      </c>
      <c r="B86" s="9" t="s">
        <v>198</v>
      </c>
      <c r="C86" s="9" t="s">
        <v>3</v>
      </c>
      <c r="D86" s="9">
        <f>IF((D$1*1)&lt;=MAX('DB Costi-Ore YtD'!$A:$A),SUMIFS('DB Costi-Ore YtD'!$F:$F,'DB Costi-Ore YtD'!$A:$A,D$1,'DB Costi-Ore YtD'!$B:$B,$A86,'DB Costi-Ore YtD'!$E:$E,$C86),0)</f>
        <v>107</v>
      </c>
      <c r="E86" s="9">
        <f>IF((E$1*1)&lt;=MAX('DB Costi-Ore YtD'!$A:$A),SUMIFS('DB Costi-Ore YtD'!$F:$F,'DB Costi-Ore YtD'!$A:$A,E$1,'DB Costi-Ore YtD'!$B:$B,$A86,'DB Costi-Ore YtD'!$E:$E,$C86)-SUM($D86:D86),0)</f>
        <v>96</v>
      </c>
      <c r="F86" s="9">
        <f>IF((F$1*1)&lt;=MAX('DB Costi-Ore YtD'!$A:$A),SUMIFS('DB Costi-Ore YtD'!$F:$F,'DB Costi-Ore YtD'!$A:$A,F$1,'DB Costi-Ore YtD'!$B:$B,$A86,'DB Costi-Ore YtD'!$E:$E,$C86)-SUM($D86:E86),0)</f>
        <v>95.75</v>
      </c>
      <c r="G86" s="9">
        <f>IF((G$1*1)&lt;=MAX('DB Costi-Ore YtD'!$A:$A),SUMIFS('DB Costi-Ore YtD'!$F:$F,'DB Costi-Ore YtD'!$A:$A,G$1,'DB Costi-Ore YtD'!$B:$B,$A86,'DB Costi-Ore YtD'!$E:$E,$C86)-SUM($D86:F86),0)</f>
        <v>100.5</v>
      </c>
      <c r="H86" s="9">
        <f>IF((H$1*1)&lt;=MAX('DB Costi-Ore YtD'!$A:$A),SUMIFS('DB Costi-Ore YtD'!$F:$F,'DB Costi-Ore YtD'!$A:$A,H$1,'DB Costi-Ore YtD'!$B:$B,$A86,'DB Costi-Ore YtD'!$E:$E,$C86)-SUM($D86:G86),0)</f>
        <v>96</v>
      </c>
      <c r="I86" s="9">
        <f>IF((I$1*1)&lt;=MAX('DB Costi-Ore YtD'!$A:$A),SUMIFS('DB Costi-Ore YtD'!$F:$F,'DB Costi-Ore YtD'!$A:$A,I$1,'DB Costi-Ore YtD'!$B:$B,$A86,'DB Costi-Ore YtD'!$E:$E,$C86)-SUM($D86:H86),0)</f>
        <v>102</v>
      </c>
      <c r="J86" s="9">
        <f>IF((J$1*1)&lt;=MAX('DB Costi-Ore YtD'!$A:$A),SUMIFS('DB Costi-Ore YtD'!$F:$F,'DB Costi-Ore YtD'!$A:$A,J$1,'DB Costi-Ore YtD'!$B:$B,$A86,'DB Costi-Ore YtD'!$E:$E,$C86)-SUM($D86:I86),0)</f>
        <v>0</v>
      </c>
      <c r="K86" s="9">
        <f>IF((K$1*1)&lt;=MAX('DB Costi-Ore YtD'!$A:$A),SUMIFS('DB Costi-Ore YtD'!$F:$F,'DB Costi-Ore YtD'!$A:$A,K$1,'DB Costi-Ore YtD'!$B:$B,$A86,'DB Costi-Ore YtD'!$E:$E,$C86)-SUM($D86:J86),0)</f>
        <v>0</v>
      </c>
      <c r="L86" s="9">
        <f>IF((L$1*1)&lt;=MAX('DB Costi-Ore YtD'!$A:$A),SUMIFS('DB Costi-Ore YtD'!$F:$F,'DB Costi-Ore YtD'!$A:$A,L$1,'DB Costi-Ore YtD'!$B:$B,$A86,'DB Costi-Ore YtD'!$E:$E,$C86)-SUM($D86:K86),0)</f>
        <v>0</v>
      </c>
      <c r="M86" s="9">
        <f>IF((M$1*1)&lt;=MAX('DB Costi-Ore YtD'!$A:$A),SUMIFS('DB Costi-Ore YtD'!$F:$F,'DB Costi-Ore YtD'!$A:$A,M$1,'DB Costi-Ore YtD'!$B:$B,$A86,'DB Costi-Ore YtD'!$E:$E,$C86)-SUM($D86:L86),0)</f>
        <v>0</v>
      </c>
      <c r="N86" s="9">
        <f>IF((N$1*1)&lt;=MAX('DB Costi-Ore YtD'!$A:$A),SUMIFS('DB Costi-Ore YtD'!$F:$F,'DB Costi-Ore YtD'!$A:$A,N$1,'DB Costi-Ore YtD'!$B:$B,$A86,'DB Costi-Ore YtD'!$E:$E,$C86)-SUM($D86:M86),0)</f>
        <v>0</v>
      </c>
      <c r="O86" s="9">
        <f>IF((O$1*1)&lt;=MAX('DB Costi-Ore YtD'!$A:$A),SUMIFS('DB Costi-Ore YtD'!$F:$F,'DB Costi-Ore YtD'!$A:$A,O$1,'DB Costi-Ore YtD'!$B:$B,$A86,'DB Costi-Ore YtD'!$E:$E,$C86)-SUM($D86:N86),0)</f>
        <v>0</v>
      </c>
    </row>
    <row r="87" spans="1:15" x14ac:dyDescent="0.3">
      <c r="A87" s="9" t="s">
        <v>199</v>
      </c>
      <c r="B87" s="9" t="s">
        <v>200</v>
      </c>
      <c r="C87" s="9" t="s">
        <v>8</v>
      </c>
      <c r="D87" s="9">
        <f>IF((D$1*1)&lt;=MAX('DB Costi-Ore YtD'!$A:$A),SUMIFS('DB Costi-Ore YtD'!$F:$F,'DB Costi-Ore YtD'!$A:$A,D$1,'DB Costi-Ore YtD'!$B:$B,$A87,'DB Costi-Ore YtD'!$E:$E,$C87),0)</f>
        <v>78.5</v>
      </c>
      <c r="E87" s="9">
        <f>IF((E$1*1)&lt;=MAX('DB Costi-Ore YtD'!$A:$A),SUMIFS('DB Costi-Ore YtD'!$F:$F,'DB Costi-Ore YtD'!$A:$A,E$1,'DB Costi-Ore YtD'!$B:$B,$A87,'DB Costi-Ore YtD'!$E:$E,$C87)-SUM($D87:D87),0)</f>
        <v>90.25</v>
      </c>
      <c r="F87" s="9">
        <f>IF((F$1*1)&lt;=MAX('DB Costi-Ore YtD'!$A:$A),SUMIFS('DB Costi-Ore YtD'!$F:$F,'DB Costi-Ore YtD'!$A:$A,F$1,'DB Costi-Ore YtD'!$B:$B,$A87,'DB Costi-Ore YtD'!$E:$E,$C87)-SUM($D87:E87),0)</f>
        <v>51.25</v>
      </c>
      <c r="G87" s="9">
        <f>IF((G$1*1)&lt;=MAX('DB Costi-Ore YtD'!$A:$A),SUMIFS('DB Costi-Ore YtD'!$F:$F,'DB Costi-Ore YtD'!$A:$A,G$1,'DB Costi-Ore YtD'!$B:$B,$A87,'DB Costi-Ore YtD'!$E:$E,$C87)-SUM($D87:F87),0)</f>
        <v>103.25</v>
      </c>
      <c r="H87" s="9">
        <f>IF((H$1*1)&lt;=MAX('DB Costi-Ore YtD'!$A:$A),SUMIFS('DB Costi-Ore YtD'!$F:$F,'DB Costi-Ore YtD'!$A:$A,H$1,'DB Costi-Ore YtD'!$B:$B,$A87,'DB Costi-Ore YtD'!$E:$E,$C87)-SUM($D87:G87),0)</f>
        <v>112</v>
      </c>
      <c r="I87" s="9">
        <f>IF((I$1*1)&lt;=MAX('DB Costi-Ore YtD'!$A:$A),SUMIFS('DB Costi-Ore YtD'!$F:$F,'DB Costi-Ore YtD'!$A:$A,I$1,'DB Costi-Ore YtD'!$B:$B,$A87,'DB Costi-Ore YtD'!$E:$E,$C87)-SUM($D87:H87),0)</f>
        <v>41.75</v>
      </c>
      <c r="J87" s="9">
        <f>IF((J$1*1)&lt;=MAX('DB Costi-Ore YtD'!$A:$A),SUMIFS('DB Costi-Ore YtD'!$F:$F,'DB Costi-Ore YtD'!$A:$A,J$1,'DB Costi-Ore YtD'!$B:$B,$A87,'DB Costi-Ore YtD'!$E:$E,$C87)-SUM($D87:I87),0)</f>
        <v>0</v>
      </c>
      <c r="K87" s="9">
        <f>IF((K$1*1)&lt;=MAX('DB Costi-Ore YtD'!$A:$A),SUMIFS('DB Costi-Ore YtD'!$F:$F,'DB Costi-Ore YtD'!$A:$A,K$1,'DB Costi-Ore YtD'!$B:$B,$A87,'DB Costi-Ore YtD'!$E:$E,$C87)-SUM($D87:J87),0)</f>
        <v>0</v>
      </c>
      <c r="L87" s="9">
        <f>IF((L$1*1)&lt;=MAX('DB Costi-Ore YtD'!$A:$A),SUMIFS('DB Costi-Ore YtD'!$F:$F,'DB Costi-Ore YtD'!$A:$A,L$1,'DB Costi-Ore YtD'!$B:$B,$A87,'DB Costi-Ore YtD'!$E:$E,$C87)-SUM($D87:K87),0)</f>
        <v>0</v>
      </c>
      <c r="M87" s="9">
        <f>IF((M$1*1)&lt;=MAX('DB Costi-Ore YtD'!$A:$A),SUMIFS('DB Costi-Ore YtD'!$F:$F,'DB Costi-Ore YtD'!$A:$A,M$1,'DB Costi-Ore YtD'!$B:$B,$A87,'DB Costi-Ore YtD'!$E:$E,$C87)-SUM($D87:L87),0)</f>
        <v>0</v>
      </c>
      <c r="N87" s="9">
        <f>IF((N$1*1)&lt;=MAX('DB Costi-Ore YtD'!$A:$A),SUMIFS('DB Costi-Ore YtD'!$F:$F,'DB Costi-Ore YtD'!$A:$A,N$1,'DB Costi-Ore YtD'!$B:$B,$A87,'DB Costi-Ore YtD'!$E:$E,$C87)-SUM($D87:M87),0)</f>
        <v>0</v>
      </c>
      <c r="O87" s="9">
        <f>IF((O$1*1)&lt;=MAX('DB Costi-Ore YtD'!$A:$A),SUMIFS('DB Costi-Ore YtD'!$F:$F,'DB Costi-Ore YtD'!$A:$A,O$1,'DB Costi-Ore YtD'!$B:$B,$A87,'DB Costi-Ore YtD'!$E:$E,$C87)-SUM($D87:N87),0)</f>
        <v>0</v>
      </c>
    </row>
    <row r="88" spans="1:15" x14ac:dyDescent="0.3">
      <c r="A88" s="9" t="s">
        <v>201</v>
      </c>
      <c r="B88" s="9" t="s">
        <v>202</v>
      </c>
      <c r="C88" s="9" t="s">
        <v>12</v>
      </c>
      <c r="D88" s="9">
        <f>IF((D$1*1)&lt;=MAX('DB Costi-Ore YtD'!$A:$A),SUMIFS('DB Costi-Ore YtD'!$F:$F,'DB Costi-Ore YtD'!$A:$A,D$1,'DB Costi-Ore YtD'!$B:$B,$A88,'DB Costi-Ore YtD'!$E:$E,$C88),0)</f>
        <v>144</v>
      </c>
      <c r="E88" s="9">
        <f>IF((E$1*1)&lt;=MAX('DB Costi-Ore YtD'!$A:$A),SUMIFS('DB Costi-Ore YtD'!$F:$F,'DB Costi-Ore YtD'!$A:$A,E$1,'DB Costi-Ore YtD'!$B:$B,$A88,'DB Costi-Ore YtD'!$E:$E,$C88)-SUM($D88:D88),0)</f>
        <v>152</v>
      </c>
      <c r="F88" s="9">
        <f>IF((F$1*1)&lt;=MAX('DB Costi-Ore YtD'!$A:$A),SUMIFS('DB Costi-Ore YtD'!$F:$F,'DB Costi-Ore YtD'!$A:$A,F$1,'DB Costi-Ore YtD'!$B:$B,$A88,'DB Costi-Ore YtD'!$E:$E,$C88)-SUM($D88:E88),0)</f>
        <v>145</v>
      </c>
      <c r="G88" s="9">
        <f>IF((G$1*1)&lt;=MAX('DB Costi-Ore YtD'!$A:$A),SUMIFS('DB Costi-Ore YtD'!$F:$F,'DB Costi-Ore YtD'!$A:$A,G$1,'DB Costi-Ore YtD'!$B:$B,$A88,'DB Costi-Ore YtD'!$E:$E,$C88)-SUM($D88:F88),0)</f>
        <v>144</v>
      </c>
      <c r="H88" s="9">
        <f>IF((H$1*1)&lt;=MAX('DB Costi-Ore YtD'!$A:$A),SUMIFS('DB Costi-Ore YtD'!$F:$F,'DB Costi-Ore YtD'!$A:$A,H$1,'DB Costi-Ore YtD'!$B:$B,$A88,'DB Costi-Ore YtD'!$E:$E,$C88)-SUM($D88:G88),0)</f>
        <v>159.5</v>
      </c>
      <c r="I88" s="9">
        <f>IF((I$1*1)&lt;=MAX('DB Costi-Ore YtD'!$A:$A),SUMIFS('DB Costi-Ore YtD'!$F:$F,'DB Costi-Ore YtD'!$A:$A,I$1,'DB Costi-Ore YtD'!$B:$B,$A88,'DB Costi-Ore YtD'!$E:$E,$C88)-SUM($D88:H88),0)</f>
        <v>129.5</v>
      </c>
      <c r="J88" s="9">
        <f>IF((J$1*1)&lt;=MAX('DB Costi-Ore YtD'!$A:$A),SUMIFS('DB Costi-Ore YtD'!$F:$F,'DB Costi-Ore YtD'!$A:$A,J$1,'DB Costi-Ore YtD'!$B:$B,$A88,'DB Costi-Ore YtD'!$E:$E,$C88)-SUM($D88:I88),0)</f>
        <v>0</v>
      </c>
      <c r="K88" s="9">
        <f>IF((K$1*1)&lt;=MAX('DB Costi-Ore YtD'!$A:$A),SUMIFS('DB Costi-Ore YtD'!$F:$F,'DB Costi-Ore YtD'!$A:$A,K$1,'DB Costi-Ore YtD'!$B:$B,$A88,'DB Costi-Ore YtD'!$E:$E,$C88)-SUM($D88:J88),0)</f>
        <v>0</v>
      </c>
      <c r="L88" s="9">
        <f>IF((L$1*1)&lt;=MAX('DB Costi-Ore YtD'!$A:$A),SUMIFS('DB Costi-Ore YtD'!$F:$F,'DB Costi-Ore YtD'!$A:$A,L$1,'DB Costi-Ore YtD'!$B:$B,$A88,'DB Costi-Ore YtD'!$E:$E,$C88)-SUM($D88:K88),0)</f>
        <v>0</v>
      </c>
      <c r="M88" s="9">
        <f>IF((M$1*1)&lt;=MAX('DB Costi-Ore YtD'!$A:$A),SUMIFS('DB Costi-Ore YtD'!$F:$F,'DB Costi-Ore YtD'!$A:$A,M$1,'DB Costi-Ore YtD'!$B:$B,$A88,'DB Costi-Ore YtD'!$E:$E,$C88)-SUM($D88:L88),0)</f>
        <v>0</v>
      </c>
      <c r="N88" s="9">
        <f>IF((N$1*1)&lt;=MAX('DB Costi-Ore YtD'!$A:$A),SUMIFS('DB Costi-Ore YtD'!$F:$F,'DB Costi-Ore YtD'!$A:$A,N$1,'DB Costi-Ore YtD'!$B:$B,$A88,'DB Costi-Ore YtD'!$E:$E,$C88)-SUM($D88:M88),0)</f>
        <v>0</v>
      </c>
      <c r="O88" s="9">
        <f>IF((O$1*1)&lt;=MAX('DB Costi-Ore YtD'!$A:$A),SUMIFS('DB Costi-Ore YtD'!$F:$F,'DB Costi-Ore YtD'!$A:$A,O$1,'DB Costi-Ore YtD'!$B:$B,$A88,'DB Costi-Ore YtD'!$E:$E,$C88)-SUM($D88:N88),0)</f>
        <v>0</v>
      </c>
    </row>
    <row r="89" spans="1:15" x14ac:dyDescent="0.3">
      <c r="A89" s="9" t="s">
        <v>203</v>
      </c>
      <c r="B89" s="9" t="s">
        <v>204</v>
      </c>
      <c r="C89" s="9" t="s">
        <v>3</v>
      </c>
      <c r="D89" s="9">
        <f>IF((D$1*1)&lt;=MAX('DB Costi-Ore YtD'!$A:$A),SUMIFS('DB Costi-Ore YtD'!$F:$F,'DB Costi-Ore YtD'!$A:$A,D$1,'DB Costi-Ore YtD'!$B:$B,$A89,'DB Costi-Ore YtD'!$E:$E,$C89),0)</f>
        <v>121.5</v>
      </c>
      <c r="E89" s="9">
        <f>IF((E$1*1)&lt;=MAX('DB Costi-Ore YtD'!$A:$A),SUMIFS('DB Costi-Ore YtD'!$F:$F,'DB Costi-Ore YtD'!$A:$A,E$1,'DB Costi-Ore YtD'!$B:$B,$A89,'DB Costi-Ore YtD'!$E:$E,$C89)-SUM($D89:D89),0)</f>
        <v>150.75</v>
      </c>
      <c r="F89" s="9">
        <f>IF((F$1*1)&lt;=MAX('DB Costi-Ore YtD'!$A:$A),SUMIFS('DB Costi-Ore YtD'!$F:$F,'DB Costi-Ore YtD'!$A:$A,F$1,'DB Costi-Ore YtD'!$B:$B,$A89,'DB Costi-Ore YtD'!$E:$E,$C89)-SUM($D89:E89),0)</f>
        <v>155.75</v>
      </c>
      <c r="G89" s="9">
        <f>IF((G$1*1)&lt;=MAX('DB Costi-Ore YtD'!$A:$A),SUMIFS('DB Costi-Ore YtD'!$F:$F,'DB Costi-Ore YtD'!$A:$A,G$1,'DB Costi-Ore YtD'!$B:$B,$A89,'DB Costi-Ore YtD'!$E:$E,$C89)-SUM($D89:F89),0)</f>
        <v>151.5</v>
      </c>
      <c r="H89" s="9">
        <f>IF((H$1*1)&lt;=MAX('DB Costi-Ore YtD'!$A:$A),SUMIFS('DB Costi-Ore YtD'!$F:$F,'DB Costi-Ore YtD'!$A:$A,H$1,'DB Costi-Ore YtD'!$B:$B,$A89,'DB Costi-Ore YtD'!$E:$E,$C89)-SUM($D89:G89),0)</f>
        <v>133.75</v>
      </c>
      <c r="I89" s="9">
        <f>IF((I$1*1)&lt;=MAX('DB Costi-Ore YtD'!$A:$A),SUMIFS('DB Costi-Ore YtD'!$F:$F,'DB Costi-Ore YtD'!$A:$A,I$1,'DB Costi-Ore YtD'!$B:$B,$A89,'DB Costi-Ore YtD'!$E:$E,$C89)-SUM($D89:H89),0)</f>
        <v>68.5</v>
      </c>
      <c r="J89" s="9">
        <f>IF((J$1*1)&lt;=MAX('DB Costi-Ore YtD'!$A:$A),SUMIFS('DB Costi-Ore YtD'!$F:$F,'DB Costi-Ore YtD'!$A:$A,J$1,'DB Costi-Ore YtD'!$B:$B,$A89,'DB Costi-Ore YtD'!$E:$E,$C89)-SUM($D89:I89),0)</f>
        <v>0</v>
      </c>
      <c r="K89" s="9">
        <f>IF((K$1*1)&lt;=MAX('DB Costi-Ore YtD'!$A:$A),SUMIFS('DB Costi-Ore YtD'!$F:$F,'DB Costi-Ore YtD'!$A:$A,K$1,'DB Costi-Ore YtD'!$B:$B,$A89,'DB Costi-Ore YtD'!$E:$E,$C89)-SUM($D89:J89),0)</f>
        <v>0</v>
      </c>
      <c r="L89" s="9">
        <f>IF((L$1*1)&lt;=MAX('DB Costi-Ore YtD'!$A:$A),SUMIFS('DB Costi-Ore YtD'!$F:$F,'DB Costi-Ore YtD'!$A:$A,L$1,'DB Costi-Ore YtD'!$B:$B,$A89,'DB Costi-Ore YtD'!$E:$E,$C89)-SUM($D89:K89),0)</f>
        <v>0</v>
      </c>
      <c r="M89" s="9">
        <f>IF((M$1*1)&lt;=MAX('DB Costi-Ore YtD'!$A:$A),SUMIFS('DB Costi-Ore YtD'!$F:$F,'DB Costi-Ore YtD'!$A:$A,M$1,'DB Costi-Ore YtD'!$B:$B,$A89,'DB Costi-Ore YtD'!$E:$E,$C89)-SUM($D89:L89),0)</f>
        <v>0</v>
      </c>
      <c r="N89" s="9">
        <f>IF((N$1*1)&lt;=MAX('DB Costi-Ore YtD'!$A:$A),SUMIFS('DB Costi-Ore YtD'!$F:$F,'DB Costi-Ore YtD'!$A:$A,N$1,'DB Costi-Ore YtD'!$B:$B,$A89,'DB Costi-Ore YtD'!$E:$E,$C89)-SUM($D89:M89),0)</f>
        <v>0</v>
      </c>
      <c r="O89" s="9">
        <f>IF((O$1*1)&lt;=MAX('DB Costi-Ore YtD'!$A:$A),SUMIFS('DB Costi-Ore YtD'!$F:$F,'DB Costi-Ore YtD'!$A:$A,O$1,'DB Costi-Ore YtD'!$B:$B,$A89,'DB Costi-Ore YtD'!$E:$E,$C89)-SUM($D89:N89),0)</f>
        <v>0</v>
      </c>
    </row>
    <row r="90" spans="1:15" x14ac:dyDescent="0.3">
      <c r="A90" s="9" t="s">
        <v>205</v>
      </c>
      <c r="B90" s="9" t="s">
        <v>206</v>
      </c>
      <c r="C90" s="9" t="s">
        <v>2</v>
      </c>
      <c r="D90" s="9">
        <f>IF((D$1*1)&lt;=MAX('DB Costi-Ore YtD'!$A:$A),SUMIFS('DB Costi-Ore YtD'!$F:$F,'DB Costi-Ore YtD'!$A:$A,D$1,'DB Costi-Ore YtD'!$B:$B,$A90,'DB Costi-Ore YtD'!$E:$E,$C90),0)</f>
        <v>144</v>
      </c>
      <c r="E90" s="9">
        <f>IF((E$1*1)&lt;=MAX('DB Costi-Ore YtD'!$A:$A),SUMIFS('DB Costi-Ore YtD'!$F:$F,'DB Costi-Ore YtD'!$A:$A,E$1,'DB Costi-Ore YtD'!$B:$B,$A90,'DB Costi-Ore YtD'!$E:$E,$C90)-SUM($D90:D90),0)</f>
        <v>152</v>
      </c>
      <c r="F90" s="9">
        <f>IF((F$1*1)&lt;=MAX('DB Costi-Ore YtD'!$A:$A),SUMIFS('DB Costi-Ore YtD'!$F:$F,'DB Costi-Ore YtD'!$A:$A,F$1,'DB Costi-Ore YtD'!$B:$B,$A90,'DB Costi-Ore YtD'!$E:$E,$C90)-SUM($D90:E90),0)</f>
        <v>156</v>
      </c>
      <c r="G90" s="9">
        <f>IF((G$1*1)&lt;=MAX('DB Costi-Ore YtD'!$A:$A),SUMIFS('DB Costi-Ore YtD'!$F:$F,'DB Costi-Ore YtD'!$A:$A,G$1,'DB Costi-Ore YtD'!$B:$B,$A90,'DB Costi-Ore YtD'!$E:$E,$C90)-SUM($D90:F90),0)</f>
        <v>120</v>
      </c>
      <c r="H90" s="9">
        <f>IF((H$1*1)&lt;=MAX('DB Costi-Ore YtD'!$A:$A),SUMIFS('DB Costi-Ore YtD'!$F:$F,'DB Costi-Ore YtD'!$A:$A,H$1,'DB Costi-Ore YtD'!$B:$B,$A90,'DB Costi-Ore YtD'!$E:$E,$C90)-SUM($D90:G90),0)</f>
        <v>137</v>
      </c>
      <c r="I90" s="9">
        <f>IF((I$1*1)&lt;=MAX('DB Costi-Ore YtD'!$A:$A),SUMIFS('DB Costi-Ore YtD'!$F:$F,'DB Costi-Ore YtD'!$A:$A,I$1,'DB Costi-Ore YtD'!$B:$B,$A90,'DB Costi-Ore YtD'!$E:$E,$C90)-SUM($D90:H90),0)</f>
        <v>144.5</v>
      </c>
      <c r="J90" s="9">
        <f>IF((J$1*1)&lt;=MAX('DB Costi-Ore YtD'!$A:$A),SUMIFS('DB Costi-Ore YtD'!$F:$F,'DB Costi-Ore YtD'!$A:$A,J$1,'DB Costi-Ore YtD'!$B:$B,$A90,'DB Costi-Ore YtD'!$E:$E,$C90)-SUM($D90:I90),0)</f>
        <v>0</v>
      </c>
      <c r="K90" s="9">
        <f>IF((K$1*1)&lt;=MAX('DB Costi-Ore YtD'!$A:$A),SUMIFS('DB Costi-Ore YtD'!$F:$F,'DB Costi-Ore YtD'!$A:$A,K$1,'DB Costi-Ore YtD'!$B:$B,$A90,'DB Costi-Ore YtD'!$E:$E,$C90)-SUM($D90:J90),0)</f>
        <v>0</v>
      </c>
      <c r="L90" s="9">
        <f>IF((L$1*1)&lt;=MAX('DB Costi-Ore YtD'!$A:$A),SUMIFS('DB Costi-Ore YtD'!$F:$F,'DB Costi-Ore YtD'!$A:$A,L$1,'DB Costi-Ore YtD'!$B:$B,$A90,'DB Costi-Ore YtD'!$E:$E,$C90)-SUM($D90:K90),0)</f>
        <v>0</v>
      </c>
      <c r="M90" s="9">
        <f>IF((M$1*1)&lt;=MAX('DB Costi-Ore YtD'!$A:$A),SUMIFS('DB Costi-Ore YtD'!$F:$F,'DB Costi-Ore YtD'!$A:$A,M$1,'DB Costi-Ore YtD'!$B:$B,$A90,'DB Costi-Ore YtD'!$E:$E,$C90)-SUM($D90:L90),0)</f>
        <v>0</v>
      </c>
      <c r="N90" s="9">
        <f>IF((N$1*1)&lt;=MAX('DB Costi-Ore YtD'!$A:$A),SUMIFS('DB Costi-Ore YtD'!$F:$F,'DB Costi-Ore YtD'!$A:$A,N$1,'DB Costi-Ore YtD'!$B:$B,$A90,'DB Costi-Ore YtD'!$E:$E,$C90)-SUM($D90:M90),0)</f>
        <v>0</v>
      </c>
      <c r="O90" s="9">
        <f>IF((O$1*1)&lt;=MAX('DB Costi-Ore YtD'!$A:$A),SUMIFS('DB Costi-Ore YtD'!$F:$F,'DB Costi-Ore YtD'!$A:$A,O$1,'DB Costi-Ore YtD'!$B:$B,$A90,'DB Costi-Ore YtD'!$E:$E,$C90)-SUM($D90:N90),0)</f>
        <v>0</v>
      </c>
    </row>
    <row r="91" spans="1:15" x14ac:dyDescent="0.3">
      <c r="A91" s="9" t="s">
        <v>207</v>
      </c>
      <c r="B91" s="9" t="s">
        <v>208</v>
      </c>
      <c r="C91" s="9" t="s">
        <v>12</v>
      </c>
      <c r="D91" s="9">
        <f>IF((D$1*1)&lt;=MAX('DB Costi-Ore YtD'!$A:$A),SUMIFS('DB Costi-Ore YtD'!$F:$F,'DB Costi-Ore YtD'!$A:$A,D$1,'DB Costi-Ore YtD'!$B:$B,$A91,'DB Costi-Ore YtD'!$E:$E,$C91),0)</f>
        <v>71.5</v>
      </c>
      <c r="E91" s="9">
        <f>IF((E$1*1)&lt;=MAX('DB Costi-Ore YtD'!$A:$A),SUMIFS('DB Costi-Ore YtD'!$F:$F,'DB Costi-Ore YtD'!$A:$A,E$1,'DB Costi-Ore YtD'!$B:$B,$A91,'DB Costi-Ore YtD'!$E:$E,$C91)-SUM($D91:D91),0)</f>
        <v>75.5</v>
      </c>
      <c r="F91" s="9">
        <f>IF((F$1*1)&lt;=MAX('DB Costi-Ore YtD'!$A:$A),SUMIFS('DB Costi-Ore YtD'!$F:$F,'DB Costi-Ore YtD'!$A:$A,F$1,'DB Costi-Ore YtD'!$B:$B,$A91,'DB Costi-Ore YtD'!$E:$E,$C91)-SUM($D91:E91),0)</f>
        <v>76</v>
      </c>
      <c r="G91" s="9">
        <f>IF((G$1*1)&lt;=MAX('DB Costi-Ore YtD'!$A:$A),SUMIFS('DB Costi-Ore YtD'!$F:$F,'DB Costi-Ore YtD'!$A:$A,G$1,'DB Costi-Ore YtD'!$B:$B,$A91,'DB Costi-Ore YtD'!$E:$E,$C91)-SUM($D91:F91),0)</f>
        <v>70.5</v>
      </c>
      <c r="H91" s="9">
        <f>IF((H$1*1)&lt;=MAX('DB Costi-Ore YtD'!$A:$A),SUMIFS('DB Costi-Ore YtD'!$F:$F,'DB Costi-Ore YtD'!$A:$A,H$1,'DB Costi-Ore YtD'!$B:$B,$A91,'DB Costi-Ore YtD'!$E:$E,$C91)-SUM($D91:G91),0)</f>
        <v>59.25</v>
      </c>
      <c r="I91" s="9">
        <f>IF((I$1*1)&lt;=MAX('DB Costi-Ore YtD'!$A:$A),SUMIFS('DB Costi-Ore YtD'!$F:$F,'DB Costi-Ore YtD'!$A:$A,I$1,'DB Costi-Ore YtD'!$B:$B,$A91,'DB Costi-Ore YtD'!$E:$E,$C91)-SUM($D91:H91),0)</f>
        <v>35</v>
      </c>
      <c r="J91" s="9">
        <f>IF((J$1*1)&lt;=MAX('DB Costi-Ore YtD'!$A:$A),SUMIFS('DB Costi-Ore YtD'!$F:$F,'DB Costi-Ore YtD'!$A:$A,J$1,'DB Costi-Ore YtD'!$B:$B,$A91,'DB Costi-Ore YtD'!$E:$E,$C91)-SUM($D91:I91),0)</f>
        <v>0</v>
      </c>
      <c r="K91" s="9">
        <f>IF((K$1*1)&lt;=MAX('DB Costi-Ore YtD'!$A:$A),SUMIFS('DB Costi-Ore YtD'!$F:$F,'DB Costi-Ore YtD'!$A:$A,K$1,'DB Costi-Ore YtD'!$B:$B,$A91,'DB Costi-Ore YtD'!$E:$E,$C91)-SUM($D91:J91),0)</f>
        <v>0</v>
      </c>
      <c r="L91" s="9">
        <f>IF((L$1*1)&lt;=MAX('DB Costi-Ore YtD'!$A:$A),SUMIFS('DB Costi-Ore YtD'!$F:$F,'DB Costi-Ore YtD'!$A:$A,L$1,'DB Costi-Ore YtD'!$B:$B,$A91,'DB Costi-Ore YtD'!$E:$E,$C91)-SUM($D91:K91),0)</f>
        <v>0</v>
      </c>
      <c r="M91" s="9">
        <f>IF((M$1*1)&lt;=MAX('DB Costi-Ore YtD'!$A:$A),SUMIFS('DB Costi-Ore YtD'!$F:$F,'DB Costi-Ore YtD'!$A:$A,M$1,'DB Costi-Ore YtD'!$B:$B,$A91,'DB Costi-Ore YtD'!$E:$E,$C91)-SUM($D91:L91),0)</f>
        <v>0</v>
      </c>
      <c r="N91" s="9">
        <f>IF((N$1*1)&lt;=MAX('DB Costi-Ore YtD'!$A:$A),SUMIFS('DB Costi-Ore YtD'!$F:$F,'DB Costi-Ore YtD'!$A:$A,N$1,'DB Costi-Ore YtD'!$B:$B,$A91,'DB Costi-Ore YtD'!$E:$E,$C91)-SUM($D91:M91),0)</f>
        <v>0</v>
      </c>
      <c r="O91" s="9">
        <f>IF((O$1*1)&lt;=MAX('DB Costi-Ore YtD'!$A:$A),SUMIFS('DB Costi-Ore YtD'!$F:$F,'DB Costi-Ore YtD'!$A:$A,O$1,'DB Costi-Ore YtD'!$B:$B,$A91,'DB Costi-Ore YtD'!$E:$E,$C91)-SUM($D91:N91),0)</f>
        <v>0</v>
      </c>
    </row>
    <row r="92" spans="1:15" x14ac:dyDescent="0.3">
      <c r="A92" s="9" t="s">
        <v>209</v>
      </c>
      <c r="B92" s="9" t="s">
        <v>210</v>
      </c>
      <c r="C92" s="9" t="s">
        <v>2</v>
      </c>
      <c r="D92" s="9">
        <f>IF((D$1*1)&lt;=MAX('DB Costi-Ore YtD'!$A:$A),SUMIFS('DB Costi-Ore YtD'!$F:$F,'DB Costi-Ore YtD'!$A:$A,D$1,'DB Costi-Ore YtD'!$B:$B,$A92,'DB Costi-Ore YtD'!$E:$E,$C92),0)</f>
        <v>114</v>
      </c>
      <c r="E92" s="9">
        <f>IF((E$1*1)&lt;=MAX('DB Costi-Ore YtD'!$A:$A),SUMIFS('DB Costi-Ore YtD'!$F:$F,'DB Costi-Ore YtD'!$A:$A,E$1,'DB Costi-Ore YtD'!$B:$B,$A92,'DB Costi-Ore YtD'!$E:$E,$C92)-SUM($D92:D92),0)</f>
        <v>102</v>
      </c>
      <c r="F92" s="9">
        <f>IF((F$1*1)&lt;=MAX('DB Costi-Ore YtD'!$A:$A),SUMIFS('DB Costi-Ore YtD'!$F:$F,'DB Costi-Ore YtD'!$A:$A,F$1,'DB Costi-Ore YtD'!$B:$B,$A92,'DB Costi-Ore YtD'!$E:$E,$C92)-SUM($D92:E92),0)</f>
        <v>118.5</v>
      </c>
      <c r="G92" s="9">
        <f>IF((G$1*1)&lt;=MAX('DB Costi-Ore YtD'!$A:$A),SUMIFS('DB Costi-Ore YtD'!$F:$F,'DB Costi-Ore YtD'!$A:$A,G$1,'DB Costi-Ore YtD'!$B:$B,$A92,'DB Costi-Ore YtD'!$E:$E,$C92)-SUM($D92:F92),0)</f>
        <v>54</v>
      </c>
      <c r="H92" s="9">
        <f>IF((H$1*1)&lt;=MAX('DB Costi-Ore YtD'!$A:$A),SUMIFS('DB Costi-Ore YtD'!$F:$F,'DB Costi-Ore YtD'!$A:$A,H$1,'DB Costi-Ore YtD'!$B:$B,$A92,'DB Costi-Ore YtD'!$E:$E,$C92)-SUM($D92:G92),0)</f>
        <v>114</v>
      </c>
      <c r="I92" s="9">
        <f>IF((I$1*1)&lt;=MAX('DB Costi-Ore YtD'!$A:$A),SUMIFS('DB Costi-Ore YtD'!$F:$F,'DB Costi-Ore YtD'!$A:$A,I$1,'DB Costi-Ore YtD'!$B:$B,$A92,'DB Costi-Ore YtD'!$E:$E,$C92)-SUM($D92:H92),0)</f>
        <v>120</v>
      </c>
      <c r="J92" s="9">
        <f>IF((J$1*1)&lt;=MAX('DB Costi-Ore YtD'!$A:$A),SUMIFS('DB Costi-Ore YtD'!$F:$F,'DB Costi-Ore YtD'!$A:$A,J$1,'DB Costi-Ore YtD'!$B:$B,$A92,'DB Costi-Ore YtD'!$E:$E,$C92)-SUM($D92:I92),0)</f>
        <v>0</v>
      </c>
      <c r="K92" s="9">
        <f>IF((K$1*1)&lt;=MAX('DB Costi-Ore YtD'!$A:$A),SUMIFS('DB Costi-Ore YtD'!$F:$F,'DB Costi-Ore YtD'!$A:$A,K$1,'DB Costi-Ore YtD'!$B:$B,$A92,'DB Costi-Ore YtD'!$E:$E,$C92)-SUM($D92:J92),0)</f>
        <v>0</v>
      </c>
      <c r="L92" s="9">
        <f>IF((L$1*1)&lt;=MAX('DB Costi-Ore YtD'!$A:$A),SUMIFS('DB Costi-Ore YtD'!$F:$F,'DB Costi-Ore YtD'!$A:$A,L$1,'DB Costi-Ore YtD'!$B:$B,$A92,'DB Costi-Ore YtD'!$E:$E,$C92)-SUM($D92:K92),0)</f>
        <v>0</v>
      </c>
      <c r="M92" s="9">
        <f>IF((M$1*1)&lt;=MAX('DB Costi-Ore YtD'!$A:$A),SUMIFS('DB Costi-Ore YtD'!$F:$F,'DB Costi-Ore YtD'!$A:$A,M$1,'DB Costi-Ore YtD'!$B:$B,$A92,'DB Costi-Ore YtD'!$E:$E,$C92)-SUM($D92:L92),0)</f>
        <v>0</v>
      </c>
      <c r="N92" s="9">
        <f>IF((N$1*1)&lt;=MAX('DB Costi-Ore YtD'!$A:$A),SUMIFS('DB Costi-Ore YtD'!$F:$F,'DB Costi-Ore YtD'!$A:$A,N$1,'DB Costi-Ore YtD'!$B:$B,$A92,'DB Costi-Ore YtD'!$E:$E,$C92)-SUM($D92:M92),0)</f>
        <v>0</v>
      </c>
      <c r="O92" s="9">
        <f>IF((O$1*1)&lt;=MAX('DB Costi-Ore YtD'!$A:$A),SUMIFS('DB Costi-Ore YtD'!$F:$F,'DB Costi-Ore YtD'!$A:$A,O$1,'DB Costi-Ore YtD'!$B:$B,$A92,'DB Costi-Ore YtD'!$E:$E,$C92)-SUM($D92:N92),0)</f>
        <v>0</v>
      </c>
    </row>
    <row r="93" spans="1:15" x14ac:dyDescent="0.3">
      <c r="A93" s="9" t="s">
        <v>211</v>
      </c>
      <c r="B93" s="9" t="s">
        <v>212</v>
      </c>
      <c r="C93" s="9" t="s">
        <v>9</v>
      </c>
      <c r="D93" s="9">
        <f>IF((D$1*1)&lt;=MAX('DB Costi-Ore YtD'!$A:$A),SUMIFS('DB Costi-Ore YtD'!$F:$F,'DB Costi-Ore YtD'!$A:$A,D$1,'DB Costi-Ore YtD'!$B:$B,$A93,'DB Costi-Ore YtD'!$E:$E,$C93),0)</f>
        <v>144</v>
      </c>
      <c r="E93" s="9">
        <f>IF((E$1*1)&lt;=MAX('DB Costi-Ore YtD'!$A:$A),SUMIFS('DB Costi-Ore YtD'!$F:$F,'DB Costi-Ore YtD'!$A:$A,E$1,'DB Costi-Ore YtD'!$B:$B,$A93,'DB Costi-Ore YtD'!$E:$E,$C93)-SUM($D93:D93),0)</f>
        <v>152</v>
      </c>
      <c r="F93" s="9">
        <f>IF((F$1*1)&lt;=MAX('DB Costi-Ore YtD'!$A:$A),SUMIFS('DB Costi-Ore YtD'!$F:$F,'DB Costi-Ore YtD'!$A:$A,F$1,'DB Costi-Ore YtD'!$B:$B,$A93,'DB Costi-Ore YtD'!$E:$E,$C93)-SUM($D93:E93),0)</f>
        <v>160</v>
      </c>
      <c r="G93" s="9">
        <f>IF((G$1*1)&lt;=MAX('DB Costi-Ore YtD'!$A:$A),SUMIFS('DB Costi-Ore YtD'!$F:$F,'DB Costi-Ore YtD'!$A:$A,G$1,'DB Costi-Ore YtD'!$B:$B,$A93,'DB Costi-Ore YtD'!$E:$E,$C93)-SUM($D93:F93),0)</f>
        <v>105.5</v>
      </c>
      <c r="H93" s="9">
        <f>IF((H$1*1)&lt;=MAX('DB Costi-Ore YtD'!$A:$A),SUMIFS('DB Costi-Ore YtD'!$F:$F,'DB Costi-Ore YtD'!$A:$A,H$1,'DB Costi-Ore YtD'!$B:$B,$A93,'DB Costi-Ore YtD'!$E:$E,$C93)-SUM($D93:G93),0)</f>
        <v>142.5</v>
      </c>
      <c r="I93" s="9">
        <f>IF((I$1*1)&lt;=MAX('DB Costi-Ore YtD'!$A:$A),SUMIFS('DB Costi-Ore YtD'!$F:$F,'DB Costi-Ore YtD'!$A:$A,I$1,'DB Costi-Ore YtD'!$B:$B,$A93,'DB Costi-Ore YtD'!$E:$E,$C93)-SUM($D93:H93),0)</f>
        <v>175.75</v>
      </c>
      <c r="J93" s="9">
        <f>IF((J$1*1)&lt;=MAX('DB Costi-Ore YtD'!$A:$A),SUMIFS('DB Costi-Ore YtD'!$F:$F,'DB Costi-Ore YtD'!$A:$A,J$1,'DB Costi-Ore YtD'!$B:$B,$A93,'DB Costi-Ore YtD'!$E:$E,$C93)-SUM($D93:I93),0)</f>
        <v>0</v>
      </c>
      <c r="K93" s="9">
        <f>IF((K$1*1)&lt;=MAX('DB Costi-Ore YtD'!$A:$A),SUMIFS('DB Costi-Ore YtD'!$F:$F,'DB Costi-Ore YtD'!$A:$A,K$1,'DB Costi-Ore YtD'!$B:$B,$A93,'DB Costi-Ore YtD'!$E:$E,$C93)-SUM($D93:J93),0)</f>
        <v>0</v>
      </c>
      <c r="L93" s="9">
        <f>IF((L$1*1)&lt;=MAX('DB Costi-Ore YtD'!$A:$A),SUMIFS('DB Costi-Ore YtD'!$F:$F,'DB Costi-Ore YtD'!$A:$A,L$1,'DB Costi-Ore YtD'!$B:$B,$A93,'DB Costi-Ore YtD'!$E:$E,$C93)-SUM($D93:K93),0)</f>
        <v>0</v>
      </c>
      <c r="M93" s="9">
        <f>IF((M$1*1)&lt;=MAX('DB Costi-Ore YtD'!$A:$A),SUMIFS('DB Costi-Ore YtD'!$F:$F,'DB Costi-Ore YtD'!$A:$A,M$1,'DB Costi-Ore YtD'!$B:$B,$A93,'DB Costi-Ore YtD'!$E:$E,$C93)-SUM($D93:L93),0)</f>
        <v>0</v>
      </c>
      <c r="N93" s="9">
        <f>IF((N$1*1)&lt;=MAX('DB Costi-Ore YtD'!$A:$A),SUMIFS('DB Costi-Ore YtD'!$F:$F,'DB Costi-Ore YtD'!$A:$A,N$1,'DB Costi-Ore YtD'!$B:$B,$A93,'DB Costi-Ore YtD'!$E:$E,$C93)-SUM($D93:M93),0)</f>
        <v>0</v>
      </c>
      <c r="O93" s="9">
        <f>IF((O$1*1)&lt;=MAX('DB Costi-Ore YtD'!$A:$A),SUMIFS('DB Costi-Ore YtD'!$F:$F,'DB Costi-Ore YtD'!$A:$A,O$1,'DB Costi-Ore YtD'!$B:$B,$A93,'DB Costi-Ore YtD'!$E:$E,$C93)-SUM($D93:N93),0)</f>
        <v>0</v>
      </c>
    </row>
    <row r="94" spans="1:15" x14ac:dyDescent="0.3">
      <c r="A94" s="9" t="s">
        <v>213</v>
      </c>
      <c r="B94" s="9" t="s">
        <v>214</v>
      </c>
      <c r="C94" s="9" t="s">
        <v>8</v>
      </c>
      <c r="D94" s="9">
        <f>IF((D$1*1)&lt;=MAX('DB Costi-Ore YtD'!$A:$A),SUMIFS('DB Costi-Ore YtD'!$F:$F,'DB Costi-Ore YtD'!$A:$A,D$1,'DB Costi-Ore YtD'!$B:$B,$A94,'DB Costi-Ore YtD'!$E:$E,$C94),0)</f>
        <v>151.5</v>
      </c>
      <c r="E94" s="9">
        <f>IF((E$1*1)&lt;=MAX('DB Costi-Ore YtD'!$A:$A),SUMIFS('DB Costi-Ore YtD'!$F:$F,'DB Costi-Ore YtD'!$A:$A,E$1,'DB Costi-Ore YtD'!$B:$B,$A94,'DB Costi-Ore YtD'!$E:$E,$C94)-SUM($D94:D94),0)</f>
        <v>140.5</v>
      </c>
      <c r="F94" s="9">
        <f>IF((F$1*1)&lt;=MAX('DB Costi-Ore YtD'!$A:$A),SUMIFS('DB Costi-Ore YtD'!$F:$F,'DB Costi-Ore YtD'!$A:$A,F$1,'DB Costi-Ore YtD'!$B:$B,$A94,'DB Costi-Ore YtD'!$E:$E,$C94)-SUM($D94:E94),0)</f>
        <v>81</v>
      </c>
      <c r="G94" s="9">
        <f>IF((G$1*1)&lt;=MAX('DB Costi-Ore YtD'!$A:$A),SUMIFS('DB Costi-Ore YtD'!$F:$F,'DB Costi-Ore YtD'!$A:$A,G$1,'DB Costi-Ore YtD'!$B:$B,$A94,'DB Costi-Ore YtD'!$E:$E,$C94)-SUM($D94:F94),0)</f>
        <v>134.75</v>
      </c>
      <c r="H94" s="9">
        <f>IF((H$1*1)&lt;=MAX('DB Costi-Ore YtD'!$A:$A),SUMIFS('DB Costi-Ore YtD'!$F:$F,'DB Costi-Ore YtD'!$A:$A,H$1,'DB Costi-Ore YtD'!$B:$B,$A94,'DB Costi-Ore YtD'!$E:$E,$C94)-SUM($D94:G94),0)</f>
        <v>144.5</v>
      </c>
      <c r="I94" s="9">
        <f>IF((I$1*1)&lt;=MAX('DB Costi-Ore YtD'!$A:$A),SUMIFS('DB Costi-Ore YtD'!$F:$F,'DB Costi-Ore YtD'!$A:$A,I$1,'DB Costi-Ore YtD'!$B:$B,$A94,'DB Costi-Ore YtD'!$E:$E,$C94)-SUM($D94:H94),0)</f>
        <v>136</v>
      </c>
      <c r="J94" s="9">
        <f>IF((J$1*1)&lt;=MAX('DB Costi-Ore YtD'!$A:$A),SUMIFS('DB Costi-Ore YtD'!$F:$F,'DB Costi-Ore YtD'!$A:$A,J$1,'DB Costi-Ore YtD'!$B:$B,$A94,'DB Costi-Ore YtD'!$E:$E,$C94)-SUM($D94:I94),0)</f>
        <v>0</v>
      </c>
      <c r="K94" s="9">
        <f>IF((K$1*1)&lt;=MAX('DB Costi-Ore YtD'!$A:$A),SUMIFS('DB Costi-Ore YtD'!$F:$F,'DB Costi-Ore YtD'!$A:$A,K$1,'DB Costi-Ore YtD'!$B:$B,$A94,'DB Costi-Ore YtD'!$E:$E,$C94)-SUM($D94:J94),0)</f>
        <v>0</v>
      </c>
      <c r="L94" s="9">
        <f>IF((L$1*1)&lt;=MAX('DB Costi-Ore YtD'!$A:$A),SUMIFS('DB Costi-Ore YtD'!$F:$F,'DB Costi-Ore YtD'!$A:$A,L$1,'DB Costi-Ore YtD'!$B:$B,$A94,'DB Costi-Ore YtD'!$E:$E,$C94)-SUM($D94:K94),0)</f>
        <v>0</v>
      </c>
      <c r="M94" s="9">
        <f>IF((M$1*1)&lt;=MAX('DB Costi-Ore YtD'!$A:$A),SUMIFS('DB Costi-Ore YtD'!$F:$F,'DB Costi-Ore YtD'!$A:$A,M$1,'DB Costi-Ore YtD'!$B:$B,$A94,'DB Costi-Ore YtD'!$E:$E,$C94)-SUM($D94:L94),0)</f>
        <v>0</v>
      </c>
      <c r="N94" s="9">
        <f>IF((N$1*1)&lt;=MAX('DB Costi-Ore YtD'!$A:$A),SUMIFS('DB Costi-Ore YtD'!$F:$F,'DB Costi-Ore YtD'!$A:$A,N$1,'DB Costi-Ore YtD'!$B:$B,$A94,'DB Costi-Ore YtD'!$E:$E,$C94)-SUM($D94:M94),0)</f>
        <v>0</v>
      </c>
      <c r="O94" s="9">
        <f>IF((O$1*1)&lt;=MAX('DB Costi-Ore YtD'!$A:$A),SUMIFS('DB Costi-Ore YtD'!$F:$F,'DB Costi-Ore YtD'!$A:$A,O$1,'DB Costi-Ore YtD'!$B:$B,$A94,'DB Costi-Ore YtD'!$E:$E,$C94)-SUM($D94:N94),0)</f>
        <v>0</v>
      </c>
    </row>
    <row r="95" spans="1:15" x14ac:dyDescent="0.3">
      <c r="A95" s="9" t="s">
        <v>215</v>
      </c>
      <c r="B95" s="9" t="s">
        <v>216</v>
      </c>
      <c r="C95" s="9" t="s">
        <v>7</v>
      </c>
      <c r="D95" s="9">
        <f>IF((D$1*1)&lt;=MAX('DB Costi-Ore YtD'!$A:$A),SUMIFS('DB Costi-Ore YtD'!$F:$F,'DB Costi-Ore YtD'!$A:$A,D$1,'DB Costi-Ore YtD'!$B:$B,$A95,'DB Costi-Ore YtD'!$E:$E,$C95),0)</f>
        <v>137.25</v>
      </c>
      <c r="E95" s="9">
        <f>IF((E$1*1)&lt;=MAX('DB Costi-Ore YtD'!$A:$A),SUMIFS('DB Costi-Ore YtD'!$F:$F,'DB Costi-Ore YtD'!$A:$A,E$1,'DB Costi-Ore YtD'!$B:$B,$A95,'DB Costi-Ore YtD'!$E:$E,$C95)-SUM($D95:D95),0)</f>
        <v>144.5</v>
      </c>
      <c r="F95" s="9">
        <f>IF((F$1*1)&lt;=MAX('DB Costi-Ore YtD'!$A:$A),SUMIFS('DB Costi-Ore YtD'!$F:$F,'DB Costi-Ore YtD'!$A:$A,F$1,'DB Costi-Ore YtD'!$B:$B,$A95,'DB Costi-Ore YtD'!$E:$E,$C95)-SUM($D95:E95),0)</f>
        <v>130</v>
      </c>
      <c r="G95" s="9">
        <f>IF((G$1*1)&lt;=MAX('DB Costi-Ore YtD'!$A:$A),SUMIFS('DB Costi-Ore YtD'!$F:$F,'DB Costi-Ore YtD'!$A:$A,G$1,'DB Costi-Ore YtD'!$B:$B,$A95,'DB Costi-Ore YtD'!$E:$E,$C95)-SUM($D95:F95),0)</f>
        <v>150.75</v>
      </c>
      <c r="H95" s="9">
        <f>IF((H$1*1)&lt;=MAX('DB Costi-Ore YtD'!$A:$A),SUMIFS('DB Costi-Ore YtD'!$F:$F,'DB Costi-Ore YtD'!$A:$A,H$1,'DB Costi-Ore YtD'!$B:$B,$A95,'DB Costi-Ore YtD'!$E:$E,$C95)-SUM($D95:G95),0)</f>
        <v>159.5</v>
      </c>
      <c r="I95" s="9">
        <f>IF((I$1*1)&lt;=MAX('DB Costi-Ore YtD'!$A:$A),SUMIFS('DB Costi-Ore YtD'!$F:$F,'DB Costi-Ore YtD'!$A:$A,I$1,'DB Costi-Ore YtD'!$B:$B,$A95,'DB Costi-Ore YtD'!$E:$E,$C95)-SUM($D95:H95),0)</f>
        <v>144</v>
      </c>
      <c r="J95" s="9">
        <f>IF((J$1*1)&lt;=MAX('DB Costi-Ore YtD'!$A:$A),SUMIFS('DB Costi-Ore YtD'!$F:$F,'DB Costi-Ore YtD'!$A:$A,J$1,'DB Costi-Ore YtD'!$B:$B,$A95,'DB Costi-Ore YtD'!$E:$E,$C95)-SUM($D95:I95),0)</f>
        <v>0</v>
      </c>
      <c r="K95" s="9">
        <f>IF((K$1*1)&lt;=MAX('DB Costi-Ore YtD'!$A:$A),SUMIFS('DB Costi-Ore YtD'!$F:$F,'DB Costi-Ore YtD'!$A:$A,K$1,'DB Costi-Ore YtD'!$B:$B,$A95,'DB Costi-Ore YtD'!$E:$E,$C95)-SUM($D95:J95),0)</f>
        <v>0</v>
      </c>
      <c r="L95" s="9">
        <f>IF((L$1*1)&lt;=MAX('DB Costi-Ore YtD'!$A:$A),SUMIFS('DB Costi-Ore YtD'!$F:$F,'DB Costi-Ore YtD'!$A:$A,L$1,'DB Costi-Ore YtD'!$B:$B,$A95,'DB Costi-Ore YtD'!$E:$E,$C95)-SUM($D95:K95),0)</f>
        <v>0</v>
      </c>
      <c r="M95" s="9">
        <f>IF((M$1*1)&lt;=MAX('DB Costi-Ore YtD'!$A:$A),SUMIFS('DB Costi-Ore YtD'!$F:$F,'DB Costi-Ore YtD'!$A:$A,M$1,'DB Costi-Ore YtD'!$B:$B,$A95,'DB Costi-Ore YtD'!$E:$E,$C95)-SUM($D95:L95),0)</f>
        <v>0</v>
      </c>
      <c r="N95" s="9">
        <f>IF((N$1*1)&lt;=MAX('DB Costi-Ore YtD'!$A:$A),SUMIFS('DB Costi-Ore YtD'!$F:$F,'DB Costi-Ore YtD'!$A:$A,N$1,'DB Costi-Ore YtD'!$B:$B,$A95,'DB Costi-Ore YtD'!$E:$E,$C95)-SUM($D95:M95),0)</f>
        <v>0</v>
      </c>
      <c r="O95" s="9">
        <f>IF((O$1*1)&lt;=MAX('DB Costi-Ore YtD'!$A:$A),SUMIFS('DB Costi-Ore YtD'!$F:$F,'DB Costi-Ore YtD'!$A:$A,O$1,'DB Costi-Ore YtD'!$B:$B,$A95,'DB Costi-Ore YtD'!$E:$E,$C95)-SUM($D95:N95),0)</f>
        <v>0</v>
      </c>
    </row>
    <row r="96" spans="1:15" x14ac:dyDescent="0.3">
      <c r="A96" s="9" t="s">
        <v>217</v>
      </c>
      <c r="B96" s="9" t="s">
        <v>218</v>
      </c>
      <c r="C96" s="9" t="s">
        <v>2</v>
      </c>
      <c r="D96" s="9">
        <f>IF((D$1*1)&lt;=MAX('DB Costi-Ore YtD'!$A:$A),SUMIFS('DB Costi-Ore YtD'!$F:$F,'DB Costi-Ore YtD'!$A:$A,D$1,'DB Costi-Ore YtD'!$B:$B,$A96,'DB Costi-Ore YtD'!$E:$E,$C96),0)</f>
        <v>157.5</v>
      </c>
      <c r="E96" s="9">
        <f>IF((E$1*1)&lt;=MAX('DB Costi-Ore YtD'!$A:$A),SUMIFS('DB Costi-Ore YtD'!$F:$F,'DB Costi-Ore YtD'!$A:$A,E$1,'DB Costi-Ore YtD'!$B:$B,$A96,'DB Costi-Ore YtD'!$E:$E,$C96)-SUM($D96:D96),0)</f>
        <v>53</v>
      </c>
      <c r="F96" s="9">
        <f>IF((F$1*1)&lt;=MAX('DB Costi-Ore YtD'!$A:$A),SUMIFS('DB Costi-Ore YtD'!$F:$F,'DB Costi-Ore YtD'!$A:$A,F$1,'DB Costi-Ore YtD'!$B:$B,$A96,'DB Costi-Ore YtD'!$E:$E,$C96)-SUM($D96:E96),0)</f>
        <v>119</v>
      </c>
      <c r="G96" s="9">
        <f>IF((G$1*1)&lt;=MAX('DB Costi-Ore YtD'!$A:$A),SUMIFS('DB Costi-Ore YtD'!$F:$F,'DB Costi-Ore YtD'!$A:$A,G$1,'DB Costi-Ore YtD'!$B:$B,$A96,'DB Costi-Ore YtD'!$E:$E,$C96)-SUM($D96:F96),0)</f>
        <v>150</v>
      </c>
      <c r="H96" s="9">
        <f>IF((H$1*1)&lt;=MAX('DB Costi-Ore YtD'!$A:$A),SUMIFS('DB Costi-Ore YtD'!$F:$F,'DB Costi-Ore YtD'!$A:$A,H$1,'DB Costi-Ore YtD'!$B:$B,$A96,'DB Costi-Ore YtD'!$E:$E,$C96)-SUM($D96:G96),0)</f>
        <v>118.5</v>
      </c>
      <c r="I96" s="9">
        <f>IF((I$1*1)&lt;=MAX('DB Costi-Ore YtD'!$A:$A),SUMIFS('DB Costi-Ore YtD'!$F:$F,'DB Costi-Ore YtD'!$A:$A,I$1,'DB Costi-Ore YtD'!$B:$B,$A96,'DB Costi-Ore YtD'!$E:$E,$C96)-SUM($D96:H96),0)</f>
        <v>152</v>
      </c>
      <c r="J96" s="9">
        <f>IF((J$1*1)&lt;=MAX('DB Costi-Ore YtD'!$A:$A),SUMIFS('DB Costi-Ore YtD'!$F:$F,'DB Costi-Ore YtD'!$A:$A,J$1,'DB Costi-Ore YtD'!$B:$B,$A96,'DB Costi-Ore YtD'!$E:$E,$C96)-SUM($D96:I96),0)</f>
        <v>0</v>
      </c>
      <c r="K96" s="9">
        <f>IF((K$1*1)&lt;=MAX('DB Costi-Ore YtD'!$A:$A),SUMIFS('DB Costi-Ore YtD'!$F:$F,'DB Costi-Ore YtD'!$A:$A,K$1,'DB Costi-Ore YtD'!$B:$B,$A96,'DB Costi-Ore YtD'!$E:$E,$C96)-SUM($D96:J96),0)</f>
        <v>0</v>
      </c>
      <c r="L96" s="9">
        <f>IF((L$1*1)&lt;=MAX('DB Costi-Ore YtD'!$A:$A),SUMIFS('DB Costi-Ore YtD'!$F:$F,'DB Costi-Ore YtD'!$A:$A,L$1,'DB Costi-Ore YtD'!$B:$B,$A96,'DB Costi-Ore YtD'!$E:$E,$C96)-SUM($D96:K96),0)</f>
        <v>0</v>
      </c>
      <c r="M96" s="9">
        <f>IF((M$1*1)&lt;=MAX('DB Costi-Ore YtD'!$A:$A),SUMIFS('DB Costi-Ore YtD'!$F:$F,'DB Costi-Ore YtD'!$A:$A,M$1,'DB Costi-Ore YtD'!$B:$B,$A96,'DB Costi-Ore YtD'!$E:$E,$C96)-SUM($D96:L96),0)</f>
        <v>0</v>
      </c>
      <c r="N96" s="9">
        <f>IF((N$1*1)&lt;=MAX('DB Costi-Ore YtD'!$A:$A),SUMIFS('DB Costi-Ore YtD'!$F:$F,'DB Costi-Ore YtD'!$A:$A,N$1,'DB Costi-Ore YtD'!$B:$B,$A96,'DB Costi-Ore YtD'!$E:$E,$C96)-SUM($D96:M96),0)</f>
        <v>0</v>
      </c>
      <c r="O96" s="9">
        <f>IF((O$1*1)&lt;=MAX('DB Costi-Ore YtD'!$A:$A),SUMIFS('DB Costi-Ore YtD'!$F:$F,'DB Costi-Ore YtD'!$A:$A,O$1,'DB Costi-Ore YtD'!$B:$B,$A96,'DB Costi-Ore YtD'!$E:$E,$C96)-SUM($D96:N96),0)</f>
        <v>0</v>
      </c>
    </row>
    <row r="97" spans="1:15" x14ac:dyDescent="0.3">
      <c r="A97" s="9" t="s">
        <v>219</v>
      </c>
      <c r="B97" s="9" t="s">
        <v>220</v>
      </c>
      <c r="C97" s="9" t="s">
        <v>15</v>
      </c>
      <c r="D97" s="9">
        <f>IF((D$1*1)&lt;=MAX('DB Costi-Ore YtD'!$A:$A),SUMIFS('DB Costi-Ore YtD'!$F:$F,'DB Costi-Ore YtD'!$A:$A,D$1,'DB Costi-Ore YtD'!$B:$B,$A97,'DB Costi-Ore YtD'!$E:$E,$C97),0)</f>
        <v>144</v>
      </c>
      <c r="E97" s="9">
        <f>IF((E$1*1)&lt;=MAX('DB Costi-Ore YtD'!$A:$A),SUMIFS('DB Costi-Ore YtD'!$F:$F,'DB Costi-Ore YtD'!$A:$A,E$1,'DB Costi-Ore YtD'!$B:$B,$A97,'DB Costi-Ore YtD'!$E:$E,$C97)-SUM($D97:D97),0)</f>
        <v>151.5</v>
      </c>
      <c r="F97" s="9">
        <f>IF((F$1*1)&lt;=MAX('DB Costi-Ore YtD'!$A:$A),SUMIFS('DB Costi-Ore YtD'!$F:$F,'DB Costi-Ore YtD'!$A:$A,F$1,'DB Costi-Ore YtD'!$B:$B,$A97,'DB Costi-Ore YtD'!$E:$E,$C97)-SUM($D97:E97),0)</f>
        <v>131.75</v>
      </c>
      <c r="G97" s="9">
        <f>IF((G$1*1)&lt;=MAX('DB Costi-Ore YtD'!$A:$A),SUMIFS('DB Costi-Ore YtD'!$F:$F,'DB Costi-Ore YtD'!$A:$A,G$1,'DB Costi-Ore YtD'!$B:$B,$A97,'DB Costi-Ore YtD'!$E:$E,$C97)-SUM($D97:F97),0)</f>
        <v>141.5</v>
      </c>
      <c r="H97" s="9">
        <f>IF((H$1*1)&lt;=MAX('DB Costi-Ore YtD'!$A:$A),SUMIFS('DB Costi-Ore YtD'!$F:$F,'DB Costi-Ore YtD'!$A:$A,H$1,'DB Costi-Ore YtD'!$B:$B,$A97,'DB Costi-Ore YtD'!$E:$E,$C97)-SUM($D97:G97),0)</f>
        <v>139.25</v>
      </c>
      <c r="I97" s="9">
        <f>IF((I$1*1)&lt;=MAX('DB Costi-Ore YtD'!$A:$A),SUMIFS('DB Costi-Ore YtD'!$F:$F,'DB Costi-Ore YtD'!$A:$A,I$1,'DB Costi-Ore YtD'!$B:$B,$A97,'DB Costi-Ore YtD'!$E:$E,$C97)-SUM($D97:H97),0)</f>
        <v>130.75</v>
      </c>
      <c r="J97" s="9">
        <f>IF((J$1*1)&lt;=MAX('DB Costi-Ore YtD'!$A:$A),SUMIFS('DB Costi-Ore YtD'!$F:$F,'DB Costi-Ore YtD'!$A:$A,J$1,'DB Costi-Ore YtD'!$B:$B,$A97,'DB Costi-Ore YtD'!$E:$E,$C97)-SUM($D97:I97),0)</f>
        <v>0</v>
      </c>
      <c r="K97" s="9">
        <f>IF((K$1*1)&lt;=MAX('DB Costi-Ore YtD'!$A:$A),SUMIFS('DB Costi-Ore YtD'!$F:$F,'DB Costi-Ore YtD'!$A:$A,K$1,'DB Costi-Ore YtD'!$B:$B,$A97,'DB Costi-Ore YtD'!$E:$E,$C97)-SUM($D97:J97),0)</f>
        <v>0</v>
      </c>
      <c r="L97" s="9">
        <f>IF((L$1*1)&lt;=MAX('DB Costi-Ore YtD'!$A:$A),SUMIFS('DB Costi-Ore YtD'!$F:$F,'DB Costi-Ore YtD'!$A:$A,L$1,'DB Costi-Ore YtD'!$B:$B,$A97,'DB Costi-Ore YtD'!$E:$E,$C97)-SUM($D97:K97),0)</f>
        <v>0</v>
      </c>
      <c r="M97" s="9">
        <f>IF((M$1*1)&lt;=MAX('DB Costi-Ore YtD'!$A:$A),SUMIFS('DB Costi-Ore YtD'!$F:$F,'DB Costi-Ore YtD'!$A:$A,M$1,'DB Costi-Ore YtD'!$B:$B,$A97,'DB Costi-Ore YtD'!$E:$E,$C97)-SUM($D97:L97),0)</f>
        <v>0</v>
      </c>
      <c r="N97" s="9">
        <f>IF((N$1*1)&lt;=MAX('DB Costi-Ore YtD'!$A:$A),SUMIFS('DB Costi-Ore YtD'!$F:$F,'DB Costi-Ore YtD'!$A:$A,N$1,'DB Costi-Ore YtD'!$B:$B,$A97,'DB Costi-Ore YtD'!$E:$E,$C97)-SUM($D97:M97),0)</f>
        <v>0</v>
      </c>
      <c r="O97" s="9">
        <f>IF((O$1*1)&lt;=MAX('DB Costi-Ore YtD'!$A:$A),SUMIFS('DB Costi-Ore YtD'!$F:$F,'DB Costi-Ore YtD'!$A:$A,O$1,'DB Costi-Ore YtD'!$B:$B,$A97,'DB Costi-Ore YtD'!$E:$E,$C97)-SUM($D97:N97),0)</f>
        <v>0</v>
      </c>
    </row>
    <row r="98" spans="1:15" x14ac:dyDescent="0.3">
      <c r="A98" s="9" t="s">
        <v>221</v>
      </c>
      <c r="B98" s="9" t="s">
        <v>222</v>
      </c>
      <c r="C98" s="9" t="s">
        <v>2</v>
      </c>
      <c r="D98" s="9">
        <f>IF((D$1*1)&lt;=MAX('DB Costi-Ore YtD'!$A:$A),SUMIFS('DB Costi-Ore YtD'!$F:$F,'DB Costi-Ore YtD'!$A:$A,D$1,'DB Costi-Ore YtD'!$B:$B,$A98,'DB Costi-Ore YtD'!$E:$E,$C98),0)</f>
        <v>134.25</v>
      </c>
      <c r="E98" s="9">
        <f>IF((E$1*1)&lt;=MAX('DB Costi-Ore YtD'!$A:$A),SUMIFS('DB Costi-Ore YtD'!$F:$F,'DB Costi-Ore YtD'!$A:$A,E$1,'DB Costi-Ore YtD'!$B:$B,$A98,'DB Costi-Ore YtD'!$E:$E,$C98)-SUM($D98:D98),0)</f>
        <v>91</v>
      </c>
      <c r="F98" s="9">
        <f>IF((F$1*1)&lt;=MAX('DB Costi-Ore YtD'!$A:$A),SUMIFS('DB Costi-Ore YtD'!$F:$F,'DB Costi-Ore YtD'!$A:$A,F$1,'DB Costi-Ore YtD'!$B:$B,$A98,'DB Costi-Ore YtD'!$E:$E,$C98)-SUM($D98:E98),0)</f>
        <v>150</v>
      </c>
      <c r="G98" s="9">
        <f>IF((G$1*1)&lt;=MAX('DB Costi-Ore YtD'!$A:$A),SUMIFS('DB Costi-Ore YtD'!$F:$F,'DB Costi-Ore YtD'!$A:$A,G$1,'DB Costi-Ore YtD'!$B:$B,$A98,'DB Costi-Ore YtD'!$E:$E,$C98)-SUM($D98:F98),0)</f>
        <v>122</v>
      </c>
      <c r="H98" s="9">
        <f>IF((H$1*1)&lt;=MAX('DB Costi-Ore YtD'!$A:$A),SUMIFS('DB Costi-Ore YtD'!$F:$F,'DB Costi-Ore YtD'!$A:$A,H$1,'DB Costi-Ore YtD'!$B:$B,$A98,'DB Costi-Ore YtD'!$E:$E,$C98)-SUM($D98:G98),0)</f>
        <v>139</v>
      </c>
      <c r="I98" s="9">
        <f>IF((I$1*1)&lt;=MAX('DB Costi-Ore YtD'!$A:$A),SUMIFS('DB Costi-Ore YtD'!$F:$F,'DB Costi-Ore YtD'!$A:$A,I$1,'DB Costi-Ore YtD'!$B:$B,$A98,'DB Costi-Ore YtD'!$E:$E,$C98)-SUM($D98:H98),0)</f>
        <v>140.75</v>
      </c>
      <c r="J98" s="9">
        <f>IF((J$1*1)&lt;=MAX('DB Costi-Ore YtD'!$A:$A),SUMIFS('DB Costi-Ore YtD'!$F:$F,'DB Costi-Ore YtD'!$A:$A,J$1,'DB Costi-Ore YtD'!$B:$B,$A98,'DB Costi-Ore YtD'!$E:$E,$C98)-SUM($D98:I98),0)</f>
        <v>0</v>
      </c>
      <c r="K98" s="9">
        <f>IF((K$1*1)&lt;=MAX('DB Costi-Ore YtD'!$A:$A),SUMIFS('DB Costi-Ore YtD'!$F:$F,'DB Costi-Ore YtD'!$A:$A,K$1,'DB Costi-Ore YtD'!$B:$B,$A98,'DB Costi-Ore YtD'!$E:$E,$C98)-SUM($D98:J98),0)</f>
        <v>0</v>
      </c>
      <c r="L98" s="9">
        <f>IF((L$1*1)&lt;=MAX('DB Costi-Ore YtD'!$A:$A),SUMIFS('DB Costi-Ore YtD'!$F:$F,'DB Costi-Ore YtD'!$A:$A,L$1,'DB Costi-Ore YtD'!$B:$B,$A98,'DB Costi-Ore YtD'!$E:$E,$C98)-SUM($D98:K98),0)</f>
        <v>0</v>
      </c>
      <c r="M98" s="9">
        <f>IF((M$1*1)&lt;=MAX('DB Costi-Ore YtD'!$A:$A),SUMIFS('DB Costi-Ore YtD'!$F:$F,'DB Costi-Ore YtD'!$A:$A,M$1,'DB Costi-Ore YtD'!$B:$B,$A98,'DB Costi-Ore YtD'!$E:$E,$C98)-SUM($D98:L98),0)</f>
        <v>0</v>
      </c>
      <c r="N98" s="9">
        <f>IF((N$1*1)&lt;=MAX('DB Costi-Ore YtD'!$A:$A),SUMIFS('DB Costi-Ore YtD'!$F:$F,'DB Costi-Ore YtD'!$A:$A,N$1,'DB Costi-Ore YtD'!$B:$B,$A98,'DB Costi-Ore YtD'!$E:$E,$C98)-SUM($D98:M98),0)</f>
        <v>0</v>
      </c>
      <c r="O98" s="9">
        <f>IF((O$1*1)&lt;=MAX('DB Costi-Ore YtD'!$A:$A),SUMIFS('DB Costi-Ore YtD'!$F:$F,'DB Costi-Ore YtD'!$A:$A,O$1,'DB Costi-Ore YtD'!$B:$B,$A98,'DB Costi-Ore YtD'!$E:$E,$C98)-SUM($D98:N98),0)</f>
        <v>0</v>
      </c>
    </row>
    <row r="99" spans="1:15" x14ac:dyDescent="0.3">
      <c r="A99" s="9" t="s">
        <v>223</v>
      </c>
      <c r="B99" s="9" t="s">
        <v>224</v>
      </c>
      <c r="C99" s="9" t="s">
        <v>14</v>
      </c>
      <c r="D99" s="9">
        <f>IF((D$1*1)&lt;=MAX('DB Costi-Ore YtD'!$A:$A),SUMIFS('DB Costi-Ore YtD'!$F:$F,'DB Costi-Ore YtD'!$A:$A,D$1,'DB Costi-Ore YtD'!$B:$B,$A99,'DB Costi-Ore YtD'!$E:$E,$C99),0)</f>
        <v>144</v>
      </c>
      <c r="E99" s="9">
        <f>IF((E$1*1)&lt;=MAX('DB Costi-Ore YtD'!$A:$A),SUMIFS('DB Costi-Ore YtD'!$F:$F,'DB Costi-Ore YtD'!$A:$A,E$1,'DB Costi-Ore YtD'!$B:$B,$A99,'DB Costi-Ore YtD'!$E:$E,$C99)-SUM($D99:D99),0)</f>
        <v>152</v>
      </c>
      <c r="F99" s="9">
        <f>IF((F$1*1)&lt;=MAX('DB Costi-Ore YtD'!$A:$A),SUMIFS('DB Costi-Ore YtD'!$F:$F,'DB Costi-Ore YtD'!$A:$A,F$1,'DB Costi-Ore YtD'!$B:$B,$A99,'DB Costi-Ore YtD'!$E:$E,$C99)-SUM($D99:E99),0)</f>
        <v>160</v>
      </c>
      <c r="G99" s="9">
        <f>IF((G$1*1)&lt;=MAX('DB Costi-Ore YtD'!$A:$A),SUMIFS('DB Costi-Ore YtD'!$F:$F,'DB Costi-Ore YtD'!$A:$A,G$1,'DB Costi-Ore YtD'!$B:$B,$A99,'DB Costi-Ore YtD'!$E:$E,$C99)-SUM($D99:F99),0)</f>
        <v>151.5</v>
      </c>
      <c r="H99" s="9">
        <f>IF((H$1*1)&lt;=MAX('DB Costi-Ore YtD'!$A:$A),SUMIFS('DB Costi-Ore YtD'!$F:$F,'DB Costi-Ore YtD'!$A:$A,H$1,'DB Costi-Ore YtD'!$B:$B,$A99,'DB Costi-Ore YtD'!$E:$E,$C99)-SUM($D99:G99),0)</f>
        <v>159.5</v>
      </c>
      <c r="I99" s="9">
        <f>IF((I$1*1)&lt;=MAX('DB Costi-Ore YtD'!$A:$A),SUMIFS('DB Costi-Ore YtD'!$F:$F,'DB Costi-Ore YtD'!$A:$A,I$1,'DB Costi-Ore YtD'!$B:$B,$A99,'DB Costi-Ore YtD'!$E:$E,$C99)-SUM($D99:H99),0)</f>
        <v>114</v>
      </c>
      <c r="J99" s="9">
        <f>IF((J$1*1)&lt;=MAX('DB Costi-Ore YtD'!$A:$A),SUMIFS('DB Costi-Ore YtD'!$F:$F,'DB Costi-Ore YtD'!$A:$A,J$1,'DB Costi-Ore YtD'!$B:$B,$A99,'DB Costi-Ore YtD'!$E:$E,$C99)-SUM($D99:I99),0)</f>
        <v>0</v>
      </c>
      <c r="K99" s="9">
        <f>IF((K$1*1)&lt;=MAX('DB Costi-Ore YtD'!$A:$A),SUMIFS('DB Costi-Ore YtD'!$F:$F,'DB Costi-Ore YtD'!$A:$A,K$1,'DB Costi-Ore YtD'!$B:$B,$A99,'DB Costi-Ore YtD'!$E:$E,$C99)-SUM($D99:J99),0)</f>
        <v>0</v>
      </c>
      <c r="L99" s="9">
        <f>IF((L$1*1)&lt;=MAX('DB Costi-Ore YtD'!$A:$A),SUMIFS('DB Costi-Ore YtD'!$F:$F,'DB Costi-Ore YtD'!$A:$A,L$1,'DB Costi-Ore YtD'!$B:$B,$A99,'DB Costi-Ore YtD'!$E:$E,$C99)-SUM($D99:K99),0)</f>
        <v>0</v>
      </c>
      <c r="M99" s="9">
        <f>IF((M$1*1)&lt;=MAX('DB Costi-Ore YtD'!$A:$A),SUMIFS('DB Costi-Ore YtD'!$F:$F,'DB Costi-Ore YtD'!$A:$A,M$1,'DB Costi-Ore YtD'!$B:$B,$A99,'DB Costi-Ore YtD'!$E:$E,$C99)-SUM($D99:L99),0)</f>
        <v>0</v>
      </c>
      <c r="N99" s="9">
        <f>IF((N$1*1)&lt;=MAX('DB Costi-Ore YtD'!$A:$A),SUMIFS('DB Costi-Ore YtD'!$F:$F,'DB Costi-Ore YtD'!$A:$A,N$1,'DB Costi-Ore YtD'!$B:$B,$A99,'DB Costi-Ore YtD'!$E:$E,$C99)-SUM($D99:M99),0)</f>
        <v>0</v>
      </c>
      <c r="O99" s="9">
        <f>IF((O$1*1)&lt;=MAX('DB Costi-Ore YtD'!$A:$A),SUMIFS('DB Costi-Ore YtD'!$F:$F,'DB Costi-Ore YtD'!$A:$A,O$1,'DB Costi-Ore YtD'!$B:$B,$A99,'DB Costi-Ore YtD'!$E:$E,$C99)-SUM($D99:N99),0)</f>
        <v>0</v>
      </c>
    </row>
    <row r="100" spans="1:15" x14ac:dyDescent="0.3">
      <c r="A100" s="9" t="s">
        <v>225</v>
      </c>
      <c r="B100" s="9" t="s">
        <v>226</v>
      </c>
      <c r="C100" s="9" t="s">
        <v>3</v>
      </c>
      <c r="D100" s="9">
        <f>IF((D$1*1)&lt;=MAX('DB Costi-Ore YtD'!$A:$A),SUMIFS('DB Costi-Ore YtD'!$F:$F,'DB Costi-Ore YtD'!$A:$A,D$1,'DB Costi-Ore YtD'!$B:$B,$A100,'DB Costi-Ore YtD'!$E:$E,$C100),0)</f>
        <v>48</v>
      </c>
      <c r="E100" s="9">
        <f>IF((E$1*1)&lt;=MAX('DB Costi-Ore YtD'!$A:$A),SUMIFS('DB Costi-Ore YtD'!$F:$F,'DB Costi-Ore YtD'!$A:$A,E$1,'DB Costi-Ore YtD'!$B:$B,$A100,'DB Costi-Ore YtD'!$E:$E,$C100)-SUM($D100:D100),0)</f>
        <v>83.25</v>
      </c>
      <c r="F100" s="9">
        <f>IF((F$1*1)&lt;=MAX('DB Costi-Ore YtD'!$A:$A),SUMIFS('DB Costi-Ore YtD'!$F:$F,'DB Costi-Ore YtD'!$A:$A,F$1,'DB Costi-Ore YtD'!$B:$B,$A100,'DB Costi-Ore YtD'!$E:$E,$C100)-SUM($D100:E100),0)</f>
        <v>115.25</v>
      </c>
      <c r="G100" s="9">
        <f>IF((G$1*1)&lt;=MAX('DB Costi-Ore YtD'!$A:$A),SUMIFS('DB Costi-Ore YtD'!$F:$F,'DB Costi-Ore YtD'!$A:$A,G$1,'DB Costi-Ore YtD'!$B:$B,$A100,'DB Costi-Ore YtD'!$E:$E,$C100)-SUM($D100:F100),0)</f>
        <v>74.75</v>
      </c>
      <c r="H100" s="9">
        <f>IF((H$1*1)&lt;=MAX('DB Costi-Ore YtD'!$A:$A),SUMIFS('DB Costi-Ore YtD'!$F:$F,'DB Costi-Ore YtD'!$A:$A,H$1,'DB Costi-Ore YtD'!$B:$B,$A100,'DB Costi-Ore YtD'!$E:$E,$C100)-SUM($D100:G100),0)</f>
        <v>104.5</v>
      </c>
      <c r="I100" s="9">
        <f>IF((I$1*1)&lt;=MAX('DB Costi-Ore YtD'!$A:$A),SUMIFS('DB Costi-Ore YtD'!$F:$F,'DB Costi-Ore YtD'!$A:$A,I$1,'DB Costi-Ore YtD'!$B:$B,$A100,'DB Costi-Ore YtD'!$E:$E,$C100)-SUM($D100:H100),0)</f>
        <v>105.75</v>
      </c>
      <c r="J100" s="9">
        <f>IF((J$1*1)&lt;=MAX('DB Costi-Ore YtD'!$A:$A),SUMIFS('DB Costi-Ore YtD'!$F:$F,'DB Costi-Ore YtD'!$A:$A,J$1,'DB Costi-Ore YtD'!$B:$B,$A100,'DB Costi-Ore YtD'!$E:$E,$C100)-SUM($D100:I100),0)</f>
        <v>0</v>
      </c>
      <c r="K100" s="9">
        <f>IF((K$1*1)&lt;=MAX('DB Costi-Ore YtD'!$A:$A),SUMIFS('DB Costi-Ore YtD'!$F:$F,'DB Costi-Ore YtD'!$A:$A,K$1,'DB Costi-Ore YtD'!$B:$B,$A100,'DB Costi-Ore YtD'!$E:$E,$C100)-SUM($D100:J100),0)</f>
        <v>0</v>
      </c>
      <c r="L100" s="9">
        <f>IF((L$1*1)&lt;=MAX('DB Costi-Ore YtD'!$A:$A),SUMIFS('DB Costi-Ore YtD'!$F:$F,'DB Costi-Ore YtD'!$A:$A,L$1,'DB Costi-Ore YtD'!$B:$B,$A100,'DB Costi-Ore YtD'!$E:$E,$C100)-SUM($D100:K100),0)</f>
        <v>0</v>
      </c>
      <c r="M100" s="9">
        <f>IF((M$1*1)&lt;=MAX('DB Costi-Ore YtD'!$A:$A),SUMIFS('DB Costi-Ore YtD'!$F:$F,'DB Costi-Ore YtD'!$A:$A,M$1,'DB Costi-Ore YtD'!$B:$B,$A100,'DB Costi-Ore YtD'!$E:$E,$C100)-SUM($D100:L100),0)</f>
        <v>0</v>
      </c>
      <c r="N100" s="9">
        <f>IF((N$1*1)&lt;=MAX('DB Costi-Ore YtD'!$A:$A),SUMIFS('DB Costi-Ore YtD'!$F:$F,'DB Costi-Ore YtD'!$A:$A,N$1,'DB Costi-Ore YtD'!$B:$B,$A100,'DB Costi-Ore YtD'!$E:$E,$C100)-SUM($D100:M100),0)</f>
        <v>0</v>
      </c>
      <c r="O100" s="9">
        <f>IF((O$1*1)&lt;=MAX('DB Costi-Ore YtD'!$A:$A),SUMIFS('DB Costi-Ore YtD'!$F:$F,'DB Costi-Ore YtD'!$A:$A,O$1,'DB Costi-Ore YtD'!$B:$B,$A100,'DB Costi-Ore YtD'!$E:$E,$C100)-SUM($D100:N100),0)</f>
        <v>0</v>
      </c>
    </row>
    <row r="101" spans="1:15" x14ac:dyDescent="0.3">
      <c r="A101" s="9" t="s">
        <v>227</v>
      </c>
      <c r="B101" s="9" t="s">
        <v>228</v>
      </c>
      <c r="C101" s="9" t="s">
        <v>7</v>
      </c>
      <c r="D101" s="9">
        <f>IF((D$1*1)&lt;=MAX('DB Costi-Ore YtD'!$A:$A),SUMIFS('DB Costi-Ore YtD'!$F:$F,'DB Costi-Ore YtD'!$A:$A,D$1,'DB Costi-Ore YtD'!$B:$B,$A101,'DB Costi-Ore YtD'!$E:$E,$C101),0)</f>
        <v>106</v>
      </c>
      <c r="E101" s="9">
        <f>IF((E$1*1)&lt;=MAX('DB Costi-Ore YtD'!$A:$A),SUMIFS('DB Costi-Ore YtD'!$F:$F,'DB Costi-Ore YtD'!$A:$A,E$1,'DB Costi-Ore YtD'!$B:$B,$A101,'DB Costi-Ore YtD'!$E:$E,$C101)-SUM($D101:D101),0)</f>
        <v>114</v>
      </c>
      <c r="F101" s="9">
        <f>IF((F$1*1)&lt;=MAX('DB Costi-Ore YtD'!$A:$A),SUMIFS('DB Costi-Ore YtD'!$F:$F,'DB Costi-Ore YtD'!$A:$A,F$1,'DB Costi-Ore YtD'!$B:$B,$A101,'DB Costi-Ore YtD'!$E:$E,$C101)-SUM($D101:E101),0)</f>
        <v>139.5</v>
      </c>
      <c r="G101" s="9">
        <f>IF((G$1*1)&lt;=MAX('DB Costi-Ore YtD'!$A:$A),SUMIFS('DB Costi-Ore YtD'!$F:$F,'DB Costi-Ore YtD'!$A:$A,G$1,'DB Costi-Ore YtD'!$B:$B,$A101,'DB Costi-Ore YtD'!$E:$E,$C101)-SUM($D101:F101),0)</f>
        <v>150.25</v>
      </c>
      <c r="H101" s="9">
        <f>IF((H$1*1)&lt;=MAX('DB Costi-Ore YtD'!$A:$A),SUMIFS('DB Costi-Ore YtD'!$F:$F,'DB Costi-Ore YtD'!$A:$A,H$1,'DB Costi-Ore YtD'!$B:$B,$A101,'DB Costi-Ore YtD'!$E:$E,$C101)-SUM($D101:G101),0)</f>
        <v>-509.75</v>
      </c>
      <c r="I101" s="9">
        <f>IF((I$1*1)&lt;=MAX('DB Costi-Ore YtD'!$A:$A),SUMIFS('DB Costi-Ore YtD'!$F:$F,'DB Costi-Ore YtD'!$A:$A,I$1,'DB Costi-Ore YtD'!$B:$B,$A101,'DB Costi-Ore YtD'!$E:$E,$C101)-SUM($D101:H101),0)</f>
        <v>0</v>
      </c>
      <c r="J101" s="9">
        <f>IF((J$1*1)&lt;=MAX('DB Costi-Ore YtD'!$A:$A),SUMIFS('DB Costi-Ore YtD'!$F:$F,'DB Costi-Ore YtD'!$A:$A,J$1,'DB Costi-Ore YtD'!$B:$B,$A101,'DB Costi-Ore YtD'!$E:$E,$C101)-SUM($D101:I101),0)</f>
        <v>0</v>
      </c>
      <c r="K101" s="9">
        <f>IF((K$1*1)&lt;=MAX('DB Costi-Ore YtD'!$A:$A),SUMIFS('DB Costi-Ore YtD'!$F:$F,'DB Costi-Ore YtD'!$A:$A,K$1,'DB Costi-Ore YtD'!$B:$B,$A101,'DB Costi-Ore YtD'!$E:$E,$C101)-SUM($D101:J101),0)</f>
        <v>0</v>
      </c>
      <c r="L101" s="9">
        <f>IF((L$1*1)&lt;=MAX('DB Costi-Ore YtD'!$A:$A),SUMIFS('DB Costi-Ore YtD'!$F:$F,'DB Costi-Ore YtD'!$A:$A,L$1,'DB Costi-Ore YtD'!$B:$B,$A101,'DB Costi-Ore YtD'!$E:$E,$C101)-SUM($D101:K101),0)</f>
        <v>0</v>
      </c>
      <c r="M101" s="9">
        <f>IF((M$1*1)&lt;=MAX('DB Costi-Ore YtD'!$A:$A),SUMIFS('DB Costi-Ore YtD'!$F:$F,'DB Costi-Ore YtD'!$A:$A,M$1,'DB Costi-Ore YtD'!$B:$B,$A101,'DB Costi-Ore YtD'!$E:$E,$C101)-SUM($D101:L101),0)</f>
        <v>0</v>
      </c>
      <c r="N101" s="9">
        <f>IF((N$1*1)&lt;=MAX('DB Costi-Ore YtD'!$A:$A),SUMIFS('DB Costi-Ore YtD'!$F:$F,'DB Costi-Ore YtD'!$A:$A,N$1,'DB Costi-Ore YtD'!$B:$B,$A101,'DB Costi-Ore YtD'!$E:$E,$C101)-SUM($D101:M101),0)</f>
        <v>0</v>
      </c>
      <c r="O101" s="9">
        <f>IF((O$1*1)&lt;=MAX('DB Costi-Ore YtD'!$A:$A),SUMIFS('DB Costi-Ore YtD'!$F:$F,'DB Costi-Ore YtD'!$A:$A,O$1,'DB Costi-Ore YtD'!$B:$B,$A101,'DB Costi-Ore YtD'!$E:$E,$C101)-SUM($D101:N101),0)</f>
        <v>0</v>
      </c>
    </row>
    <row r="102" spans="1:15" x14ac:dyDescent="0.3">
      <c r="A102" s="9" t="s">
        <v>229</v>
      </c>
      <c r="B102" s="9" t="s">
        <v>230</v>
      </c>
      <c r="C102" s="9" t="s">
        <v>2</v>
      </c>
      <c r="D102" s="9">
        <f>IF((D$1*1)&lt;=MAX('DB Costi-Ore YtD'!$A:$A),SUMIFS('DB Costi-Ore YtD'!$F:$F,'DB Costi-Ore YtD'!$A:$A,D$1,'DB Costi-Ore YtD'!$B:$B,$A102,'DB Costi-Ore YtD'!$E:$E,$C102),0)</f>
        <v>117.5</v>
      </c>
      <c r="E102" s="9">
        <f>IF((E$1*1)&lt;=MAX('DB Costi-Ore YtD'!$A:$A),SUMIFS('DB Costi-Ore YtD'!$F:$F,'DB Costi-Ore YtD'!$A:$A,E$1,'DB Costi-Ore YtD'!$B:$B,$A102,'DB Costi-Ore YtD'!$E:$E,$C102)-SUM($D102:D102),0)</f>
        <v>136</v>
      </c>
      <c r="F102" s="9">
        <f>IF((F$1*1)&lt;=MAX('DB Costi-Ore YtD'!$A:$A),SUMIFS('DB Costi-Ore YtD'!$F:$F,'DB Costi-Ore YtD'!$A:$A,F$1,'DB Costi-Ore YtD'!$B:$B,$A102,'DB Costi-Ore YtD'!$E:$E,$C102)-SUM($D102:E102),0)</f>
        <v>82.25</v>
      </c>
      <c r="G102" s="9">
        <f>IF((G$1*1)&lt;=MAX('DB Costi-Ore YtD'!$A:$A),SUMIFS('DB Costi-Ore YtD'!$F:$F,'DB Costi-Ore YtD'!$A:$A,G$1,'DB Costi-Ore YtD'!$B:$B,$A102,'DB Costi-Ore YtD'!$E:$E,$C102)-SUM($D102:F102),0)</f>
        <v>139</v>
      </c>
      <c r="H102" s="9">
        <f>IF((H$1*1)&lt;=MAX('DB Costi-Ore YtD'!$A:$A),SUMIFS('DB Costi-Ore YtD'!$F:$F,'DB Costi-Ore YtD'!$A:$A,H$1,'DB Costi-Ore YtD'!$B:$B,$A102,'DB Costi-Ore YtD'!$E:$E,$C102)-SUM($D102:G102),0)</f>
        <v>86.5</v>
      </c>
      <c r="I102" s="9">
        <f>IF((I$1*1)&lt;=MAX('DB Costi-Ore YtD'!$A:$A),SUMIFS('DB Costi-Ore YtD'!$F:$F,'DB Costi-Ore YtD'!$A:$A,I$1,'DB Costi-Ore YtD'!$B:$B,$A102,'DB Costi-Ore YtD'!$E:$E,$C102)-SUM($D102:H102),0)</f>
        <v>0</v>
      </c>
      <c r="J102" s="9">
        <f>IF((J$1*1)&lt;=MAX('DB Costi-Ore YtD'!$A:$A),SUMIFS('DB Costi-Ore YtD'!$F:$F,'DB Costi-Ore YtD'!$A:$A,J$1,'DB Costi-Ore YtD'!$B:$B,$A102,'DB Costi-Ore YtD'!$E:$E,$C102)-SUM($D102:I102),0)</f>
        <v>0</v>
      </c>
      <c r="K102" s="9">
        <f>IF((K$1*1)&lt;=MAX('DB Costi-Ore YtD'!$A:$A),SUMIFS('DB Costi-Ore YtD'!$F:$F,'DB Costi-Ore YtD'!$A:$A,K$1,'DB Costi-Ore YtD'!$B:$B,$A102,'DB Costi-Ore YtD'!$E:$E,$C102)-SUM($D102:J102),0)</f>
        <v>0</v>
      </c>
      <c r="L102" s="9">
        <f>IF((L$1*1)&lt;=MAX('DB Costi-Ore YtD'!$A:$A),SUMIFS('DB Costi-Ore YtD'!$F:$F,'DB Costi-Ore YtD'!$A:$A,L$1,'DB Costi-Ore YtD'!$B:$B,$A102,'DB Costi-Ore YtD'!$E:$E,$C102)-SUM($D102:K102),0)</f>
        <v>0</v>
      </c>
      <c r="M102" s="9">
        <f>IF((M$1*1)&lt;=MAX('DB Costi-Ore YtD'!$A:$A),SUMIFS('DB Costi-Ore YtD'!$F:$F,'DB Costi-Ore YtD'!$A:$A,M$1,'DB Costi-Ore YtD'!$B:$B,$A102,'DB Costi-Ore YtD'!$E:$E,$C102)-SUM($D102:L102),0)</f>
        <v>0</v>
      </c>
      <c r="N102" s="9">
        <f>IF((N$1*1)&lt;=MAX('DB Costi-Ore YtD'!$A:$A),SUMIFS('DB Costi-Ore YtD'!$F:$F,'DB Costi-Ore YtD'!$A:$A,N$1,'DB Costi-Ore YtD'!$B:$B,$A102,'DB Costi-Ore YtD'!$E:$E,$C102)-SUM($D102:M102),0)</f>
        <v>0</v>
      </c>
      <c r="O102" s="9">
        <f>IF((O$1*1)&lt;=MAX('DB Costi-Ore YtD'!$A:$A),SUMIFS('DB Costi-Ore YtD'!$F:$F,'DB Costi-Ore YtD'!$A:$A,O$1,'DB Costi-Ore YtD'!$B:$B,$A102,'DB Costi-Ore YtD'!$E:$E,$C102)-SUM($D102:N102),0)</f>
        <v>0</v>
      </c>
    </row>
    <row r="103" spans="1:15" x14ac:dyDescent="0.3">
      <c r="A103" s="9" t="s">
        <v>231</v>
      </c>
      <c r="B103" s="9" t="s">
        <v>232</v>
      </c>
      <c r="C103" s="9" t="s">
        <v>2</v>
      </c>
      <c r="D103" s="9">
        <f>IF((D$1*1)&lt;=MAX('DB Costi-Ore YtD'!$A:$A),SUMIFS('DB Costi-Ore YtD'!$F:$F,'DB Costi-Ore YtD'!$A:$A,D$1,'DB Costi-Ore YtD'!$B:$B,$A103,'DB Costi-Ore YtD'!$E:$E,$C103),0)</f>
        <v>144</v>
      </c>
      <c r="E103" s="9">
        <f>IF((E$1*1)&lt;=MAX('DB Costi-Ore YtD'!$A:$A),SUMIFS('DB Costi-Ore YtD'!$F:$F,'DB Costi-Ore YtD'!$A:$A,E$1,'DB Costi-Ore YtD'!$B:$B,$A103,'DB Costi-Ore YtD'!$E:$E,$C103)-SUM($D103:D103),0)</f>
        <v>142.5</v>
      </c>
      <c r="F103" s="9">
        <f>IF((F$1*1)&lt;=MAX('DB Costi-Ore YtD'!$A:$A),SUMIFS('DB Costi-Ore YtD'!$F:$F,'DB Costi-Ore YtD'!$A:$A,F$1,'DB Costi-Ore YtD'!$B:$B,$A103,'DB Costi-Ore YtD'!$E:$E,$C103)-SUM($D103:E103),0)</f>
        <v>134</v>
      </c>
      <c r="G103" s="9">
        <f>IF((G$1*1)&lt;=MAX('DB Costi-Ore YtD'!$A:$A),SUMIFS('DB Costi-Ore YtD'!$F:$F,'DB Costi-Ore YtD'!$A:$A,G$1,'DB Costi-Ore YtD'!$B:$B,$A103,'DB Costi-Ore YtD'!$E:$E,$C103)-SUM($D103:F103),0)</f>
        <v>149</v>
      </c>
      <c r="H103" s="9">
        <f>IF((H$1*1)&lt;=MAX('DB Costi-Ore YtD'!$A:$A),SUMIFS('DB Costi-Ore YtD'!$F:$F,'DB Costi-Ore YtD'!$A:$A,H$1,'DB Costi-Ore YtD'!$B:$B,$A103,'DB Costi-Ore YtD'!$E:$E,$C103)-SUM($D103:G103),0)</f>
        <v>51.5</v>
      </c>
      <c r="I103" s="9">
        <f>IF((I$1*1)&lt;=MAX('DB Costi-Ore YtD'!$A:$A),SUMIFS('DB Costi-Ore YtD'!$F:$F,'DB Costi-Ore YtD'!$A:$A,I$1,'DB Costi-Ore YtD'!$B:$B,$A103,'DB Costi-Ore YtD'!$E:$E,$C103)-SUM($D103:H103),0)</f>
        <v>243.75</v>
      </c>
      <c r="J103" s="9">
        <f>IF((J$1*1)&lt;=MAX('DB Costi-Ore YtD'!$A:$A),SUMIFS('DB Costi-Ore YtD'!$F:$F,'DB Costi-Ore YtD'!$A:$A,J$1,'DB Costi-Ore YtD'!$B:$B,$A103,'DB Costi-Ore YtD'!$E:$E,$C103)-SUM($D103:I103),0)</f>
        <v>0</v>
      </c>
      <c r="K103" s="9">
        <f>IF((K$1*1)&lt;=MAX('DB Costi-Ore YtD'!$A:$A),SUMIFS('DB Costi-Ore YtD'!$F:$F,'DB Costi-Ore YtD'!$A:$A,K$1,'DB Costi-Ore YtD'!$B:$B,$A103,'DB Costi-Ore YtD'!$E:$E,$C103)-SUM($D103:J103),0)</f>
        <v>0</v>
      </c>
      <c r="L103" s="9">
        <f>IF((L$1*1)&lt;=MAX('DB Costi-Ore YtD'!$A:$A),SUMIFS('DB Costi-Ore YtD'!$F:$F,'DB Costi-Ore YtD'!$A:$A,L$1,'DB Costi-Ore YtD'!$B:$B,$A103,'DB Costi-Ore YtD'!$E:$E,$C103)-SUM($D103:K103),0)</f>
        <v>0</v>
      </c>
      <c r="M103" s="9">
        <f>IF((M$1*1)&lt;=MAX('DB Costi-Ore YtD'!$A:$A),SUMIFS('DB Costi-Ore YtD'!$F:$F,'DB Costi-Ore YtD'!$A:$A,M$1,'DB Costi-Ore YtD'!$B:$B,$A103,'DB Costi-Ore YtD'!$E:$E,$C103)-SUM($D103:L103),0)</f>
        <v>0</v>
      </c>
      <c r="N103" s="9">
        <f>IF((N$1*1)&lt;=MAX('DB Costi-Ore YtD'!$A:$A),SUMIFS('DB Costi-Ore YtD'!$F:$F,'DB Costi-Ore YtD'!$A:$A,N$1,'DB Costi-Ore YtD'!$B:$B,$A103,'DB Costi-Ore YtD'!$E:$E,$C103)-SUM($D103:M103),0)</f>
        <v>0</v>
      </c>
      <c r="O103" s="9">
        <f>IF((O$1*1)&lt;=MAX('DB Costi-Ore YtD'!$A:$A),SUMIFS('DB Costi-Ore YtD'!$F:$F,'DB Costi-Ore YtD'!$A:$A,O$1,'DB Costi-Ore YtD'!$B:$B,$A103,'DB Costi-Ore YtD'!$E:$E,$C103)-SUM($D103:N103),0)</f>
        <v>0</v>
      </c>
    </row>
    <row r="104" spans="1:15" x14ac:dyDescent="0.3">
      <c r="A104" s="9" t="s">
        <v>233</v>
      </c>
      <c r="B104" s="9" t="s">
        <v>234</v>
      </c>
      <c r="C104" s="9" t="s">
        <v>2</v>
      </c>
      <c r="D104" s="9">
        <f>IF((D$1*1)&lt;=MAX('DB Costi-Ore YtD'!$A:$A),SUMIFS('DB Costi-Ore YtD'!$F:$F,'DB Costi-Ore YtD'!$A:$A,D$1,'DB Costi-Ore YtD'!$B:$B,$A104,'DB Costi-Ore YtD'!$E:$E,$C104),0)</f>
        <v>100.25</v>
      </c>
      <c r="E104" s="9">
        <f>IF((E$1*1)&lt;=MAX('DB Costi-Ore YtD'!$A:$A),SUMIFS('DB Costi-Ore YtD'!$F:$F,'DB Costi-Ore YtD'!$A:$A,E$1,'DB Costi-Ore YtD'!$B:$B,$A104,'DB Costi-Ore YtD'!$E:$E,$C104)-SUM($D104:D104),0)</f>
        <v>76.5</v>
      </c>
      <c r="F104" s="9">
        <f>IF((F$1*1)&lt;=MAX('DB Costi-Ore YtD'!$A:$A),SUMIFS('DB Costi-Ore YtD'!$F:$F,'DB Costi-Ore YtD'!$A:$A,F$1,'DB Costi-Ore YtD'!$B:$B,$A104,'DB Costi-Ore YtD'!$E:$E,$C104)-SUM($D104:E104),0)</f>
        <v>94.75</v>
      </c>
      <c r="G104" s="9">
        <f>IF((G$1*1)&lt;=MAX('DB Costi-Ore YtD'!$A:$A),SUMIFS('DB Costi-Ore YtD'!$F:$F,'DB Costi-Ore YtD'!$A:$A,G$1,'DB Costi-Ore YtD'!$B:$B,$A104,'DB Costi-Ore YtD'!$E:$E,$C104)-SUM($D104:F104),0)</f>
        <v>110.25</v>
      </c>
      <c r="H104" s="9">
        <f>IF((H$1*1)&lt;=MAX('DB Costi-Ore YtD'!$A:$A),SUMIFS('DB Costi-Ore YtD'!$F:$F,'DB Costi-Ore YtD'!$A:$A,H$1,'DB Costi-Ore YtD'!$B:$B,$A104,'DB Costi-Ore YtD'!$E:$E,$C104)-SUM($D104:G104),0)</f>
        <v>-381.75</v>
      </c>
      <c r="I104" s="9">
        <f>IF((I$1*1)&lt;=MAX('DB Costi-Ore YtD'!$A:$A),SUMIFS('DB Costi-Ore YtD'!$F:$F,'DB Costi-Ore YtD'!$A:$A,I$1,'DB Costi-Ore YtD'!$B:$B,$A104,'DB Costi-Ore YtD'!$E:$E,$C104)-SUM($D104:H104),0)</f>
        <v>0</v>
      </c>
      <c r="J104" s="9">
        <f>IF((J$1*1)&lt;=MAX('DB Costi-Ore YtD'!$A:$A),SUMIFS('DB Costi-Ore YtD'!$F:$F,'DB Costi-Ore YtD'!$A:$A,J$1,'DB Costi-Ore YtD'!$B:$B,$A104,'DB Costi-Ore YtD'!$E:$E,$C104)-SUM($D104:I104),0)</f>
        <v>0</v>
      </c>
      <c r="K104" s="9">
        <f>IF((K$1*1)&lt;=MAX('DB Costi-Ore YtD'!$A:$A),SUMIFS('DB Costi-Ore YtD'!$F:$F,'DB Costi-Ore YtD'!$A:$A,K$1,'DB Costi-Ore YtD'!$B:$B,$A104,'DB Costi-Ore YtD'!$E:$E,$C104)-SUM($D104:J104),0)</f>
        <v>0</v>
      </c>
      <c r="L104" s="9">
        <f>IF((L$1*1)&lt;=MAX('DB Costi-Ore YtD'!$A:$A),SUMIFS('DB Costi-Ore YtD'!$F:$F,'DB Costi-Ore YtD'!$A:$A,L$1,'DB Costi-Ore YtD'!$B:$B,$A104,'DB Costi-Ore YtD'!$E:$E,$C104)-SUM($D104:K104),0)</f>
        <v>0</v>
      </c>
      <c r="M104" s="9">
        <f>IF((M$1*1)&lt;=MAX('DB Costi-Ore YtD'!$A:$A),SUMIFS('DB Costi-Ore YtD'!$F:$F,'DB Costi-Ore YtD'!$A:$A,M$1,'DB Costi-Ore YtD'!$B:$B,$A104,'DB Costi-Ore YtD'!$E:$E,$C104)-SUM($D104:L104),0)</f>
        <v>0</v>
      </c>
      <c r="N104" s="9">
        <f>IF((N$1*1)&lt;=MAX('DB Costi-Ore YtD'!$A:$A),SUMIFS('DB Costi-Ore YtD'!$F:$F,'DB Costi-Ore YtD'!$A:$A,N$1,'DB Costi-Ore YtD'!$B:$B,$A104,'DB Costi-Ore YtD'!$E:$E,$C104)-SUM($D104:M104),0)</f>
        <v>0</v>
      </c>
      <c r="O104" s="9">
        <f>IF((O$1*1)&lt;=MAX('DB Costi-Ore YtD'!$A:$A),SUMIFS('DB Costi-Ore YtD'!$F:$F,'DB Costi-Ore YtD'!$A:$A,O$1,'DB Costi-Ore YtD'!$B:$B,$A104,'DB Costi-Ore YtD'!$E:$E,$C104)-SUM($D104:N104),0)</f>
        <v>0</v>
      </c>
    </row>
    <row r="105" spans="1:15" x14ac:dyDescent="0.3">
      <c r="A105" s="9" t="s">
        <v>235</v>
      </c>
      <c r="B105" s="9" t="s">
        <v>236</v>
      </c>
      <c r="C105" s="9" t="s">
        <v>3</v>
      </c>
      <c r="D105" s="9">
        <f>IF((D$1*1)&lt;=MAX('DB Costi-Ore YtD'!$A:$A),SUMIFS('DB Costi-Ore YtD'!$F:$F,'DB Costi-Ore YtD'!$A:$A,D$1,'DB Costi-Ore YtD'!$B:$B,$A105,'DB Costi-Ore YtD'!$E:$E,$C105),0)</f>
        <v>0</v>
      </c>
      <c r="E105" s="9">
        <f>IF((E$1*1)&lt;=MAX('DB Costi-Ore YtD'!$A:$A),SUMIFS('DB Costi-Ore YtD'!$F:$F,'DB Costi-Ore YtD'!$A:$A,E$1,'DB Costi-Ore YtD'!$B:$B,$A105,'DB Costi-Ore YtD'!$E:$E,$C105)-SUM($D105:D105),0)</f>
        <v>38</v>
      </c>
      <c r="F105" s="9">
        <f>IF((F$1*1)&lt;=MAX('DB Costi-Ore YtD'!$A:$A),SUMIFS('DB Costi-Ore YtD'!$F:$F,'DB Costi-Ore YtD'!$A:$A,F$1,'DB Costi-Ore YtD'!$B:$B,$A105,'DB Costi-Ore YtD'!$E:$E,$C105)-SUM($D105:E105),0)</f>
        <v>149</v>
      </c>
      <c r="G105" s="9">
        <f>IF((G$1*1)&lt;=MAX('DB Costi-Ore YtD'!$A:$A),SUMIFS('DB Costi-Ore YtD'!$F:$F,'DB Costi-Ore YtD'!$A:$A,G$1,'DB Costi-Ore YtD'!$B:$B,$A105,'DB Costi-Ore YtD'!$E:$E,$C105)-SUM($D105:F105),0)</f>
        <v>151.5</v>
      </c>
      <c r="H105" s="9">
        <f>IF((H$1*1)&lt;=MAX('DB Costi-Ore YtD'!$A:$A),SUMIFS('DB Costi-Ore YtD'!$F:$F,'DB Costi-Ore YtD'!$A:$A,H$1,'DB Costi-Ore YtD'!$B:$B,$A105,'DB Costi-Ore YtD'!$E:$E,$C105)-SUM($D105:G105),0)</f>
        <v>144.5</v>
      </c>
      <c r="I105" s="9">
        <f>IF((I$1*1)&lt;=MAX('DB Costi-Ore YtD'!$A:$A),SUMIFS('DB Costi-Ore YtD'!$F:$F,'DB Costi-Ore YtD'!$A:$A,I$1,'DB Costi-Ore YtD'!$B:$B,$A105,'DB Costi-Ore YtD'!$E:$E,$C105)-SUM($D105:H105),0)</f>
        <v>144.5</v>
      </c>
      <c r="J105" s="9">
        <f>IF((J$1*1)&lt;=MAX('DB Costi-Ore YtD'!$A:$A),SUMIFS('DB Costi-Ore YtD'!$F:$F,'DB Costi-Ore YtD'!$A:$A,J$1,'DB Costi-Ore YtD'!$B:$B,$A105,'DB Costi-Ore YtD'!$E:$E,$C105)-SUM($D105:I105),0)</f>
        <v>0</v>
      </c>
      <c r="K105" s="9">
        <f>IF((K$1*1)&lt;=MAX('DB Costi-Ore YtD'!$A:$A),SUMIFS('DB Costi-Ore YtD'!$F:$F,'DB Costi-Ore YtD'!$A:$A,K$1,'DB Costi-Ore YtD'!$B:$B,$A105,'DB Costi-Ore YtD'!$E:$E,$C105)-SUM($D105:J105),0)</f>
        <v>0</v>
      </c>
      <c r="L105" s="9">
        <f>IF((L$1*1)&lt;=MAX('DB Costi-Ore YtD'!$A:$A),SUMIFS('DB Costi-Ore YtD'!$F:$F,'DB Costi-Ore YtD'!$A:$A,L$1,'DB Costi-Ore YtD'!$B:$B,$A105,'DB Costi-Ore YtD'!$E:$E,$C105)-SUM($D105:K105),0)</f>
        <v>0</v>
      </c>
      <c r="M105" s="9">
        <f>IF((M$1*1)&lt;=MAX('DB Costi-Ore YtD'!$A:$A),SUMIFS('DB Costi-Ore YtD'!$F:$F,'DB Costi-Ore YtD'!$A:$A,M$1,'DB Costi-Ore YtD'!$B:$B,$A105,'DB Costi-Ore YtD'!$E:$E,$C105)-SUM($D105:L105),0)</f>
        <v>0</v>
      </c>
      <c r="N105" s="9">
        <f>IF((N$1*1)&lt;=MAX('DB Costi-Ore YtD'!$A:$A),SUMIFS('DB Costi-Ore YtD'!$F:$F,'DB Costi-Ore YtD'!$A:$A,N$1,'DB Costi-Ore YtD'!$B:$B,$A105,'DB Costi-Ore YtD'!$E:$E,$C105)-SUM($D105:M105),0)</f>
        <v>0</v>
      </c>
      <c r="O105" s="9">
        <f>IF((O$1*1)&lt;=MAX('DB Costi-Ore YtD'!$A:$A),SUMIFS('DB Costi-Ore YtD'!$F:$F,'DB Costi-Ore YtD'!$A:$A,O$1,'DB Costi-Ore YtD'!$B:$B,$A105,'DB Costi-Ore YtD'!$E:$E,$C105)-SUM($D105:N105),0)</f>
        <v>0</v>
      </c>
    </row>
    <row r="106" spans="1:15" x14ac:dyDescent="0.3">
      <c r="A106" s="9" t="s">
        <v>237</v>
      </c>
      <c r="B106" s="9" t="s">
        <v>238</v>
      </c>
      <c r="C106" s="9" t="s">
        <v>5</v>
      </c>
      <c r="D106" s="9">
        <f>IF((D$1*1)&lt;=MAX('DB Costi-Ore YtD'!$A:$A),SUMIFS('DB Costi-Ore YtD'!$F:$F,'DB Costi-Ore YtD'!$A:$A,D$1,'DB Costi-Ore YtD'!$B:$B,$A106,'DB Costi-Ore YtD'!$E:$E,$C106),0)</f>
        <v>63</v>
      </c>
      <c r="E106" s="9">
        <f>IF((E$1*1)&lt;=MAX('DB Costi-Ore YtD'!$A:$A),SUMIFS('DB Costi-Ore YtD'!$F:$F,'DB Costi-Ore YtD'!$A:$A,E$1,'DB Costi-Ore YtD'!$B:$B,$A106,'DB Costi-Ore YtD'!$E:$E,$C106)-SUM($D106:D106),0)</f>
        <v>0</v>
      </c>
      <c r="F106" s="9">
        <f>IF((F$1*1)&lt;=MAX('DB Costi-Ore YtD'!$A:$A),SUMIFS('DB Costi-Ore YtD'!$F:$F,'DB Costi-Ore YtD'!$A:$A,F$1,'DB Costi-Ore YtD'!$B:$B,$A106,'DB Costi-Ore YtD'!$E:$E,$C106)-SUM($D106:E106),0)</f>
        <v>0</v>
      </c>
      <c r="G106" s="9">
        <f>IF((G$1*1)&lt;=MAX('DB Costi-Ore YtD'!$A:$A),SUMIFS('DB Costi-Ore YtD'!$F:$F,'DB Costi-Ore YtD'!$A:$A,G$1,'DB Costi-Ore YtD'!$B:$B,$A106,'DB Costi-Ore YtD'!$E:$E,$C106)-SUM($D106:F106),0)</f>
        <v>0</v>
      </c>
      <c r="H106" s="9">
        <f>IF((H$1*1)&lt;=MAX('DB Costi-Ore YtD'!$A:$A),SUMIFS('DB Costi-Ore YtD'!$F:$F,'DB Costi-Ore YtD'!$A:$A,H$1,'DB Costi-Ore YtD'!$B:$B,$A106,'DB Costi-Ore YtD'!$E:$E,$C106)-SUM($D106:G106),0)</f>
        <v>0</v>
      </c>
      <c r="I106" s="9">
        <f>IF((I$1*1)&lt;=MAX('DB Costi-Ore YtD'!$A:$A),SUMIFS('DB Costi-Ore YtD'!$F:$F,'DB Costi-Ore YtD'!$A:$A,I$1,'DB Costi-Ore YtD'!$B:$B,$A106,'DB Costi-Ore YtD'!$E:$E,$C106)-SUM($D106:H106),0)</f>
        <v>0</v>
      </c>
      <c r="J106" s="9">
        <f>IF((J$1*1)&lt;=MAX('DB Costi-Ore YtD'!$A:$A),SUMIFS('DB Costi-Ore YtD'!$F:$F,'DB Costi-Ore YtD'!$A:$A,J$1,'DB Costi-Ore YtD'!$B:$B,$A106,'DB Costi-Ore YtD'!$E:$E,$C106)-SUM($D106:I106),0)</f>
        <v>0</v>
      </c>
      <c r="K106" s="9">
        <f>IF((K$1*1)&lt;=MAX('DB Costi-Ore YtD'!$A:$A),SUMIFS('DB Costi-Ore YtD'!$F:$F,'DB Costi-Ore YtD'!$A:$A,K$1,'DB Costi-Ore YtD'!$B:$B,$A106,'DB Costi-Ore YtD'!$E:$E,$C106)-SUM($D106:J106),0)</f>
        <v>0</v>
      </c>
      <c r="L106" s="9">
        <f>IF((L$1*1)&lt;=MAX('DB Costi-Ore YtD'!$A:$A),SUMIFS('DB Costi-Ore YtD'!$F:$F,'DB Costi-Ore YtD'!$A:$A,L$1,'DB Costi-Ore YtD'!$B:$B,$A106,'DB Costi-Ore YtD'!$E:$E,$C106)-SUM($D106:K106),0)</f>
        <v>0</v>
      </c>
      <c r="M106" s="9">
        <f>IF((M$1*1)&lt;=MAX('DB Costi-Ore YtD'!$A:$A),SUMIFS('DB Costi-Ore YtD'!$F:$F,'DB Costi-Ore YtD'!$A:$A,M$1,'DB Costi-Ore YtD'!$B:$B,$A106,'DB Costi-Ore YtD'!$E:$E,$C106)-SUM($D106:L106),0)</f>
        <v>0</v>
      </c>
      <c r="N106" s="9">
        <f>IF((N$1*1)&lt;=MAX('DB Costi-Ore YtD'!$A:$A),SUMIFS('DB Costi-Ore YtD'!$F:$F,'DB Costi-Ore YtD'!$A:$A,N$1,'DB Costi-Ore YtD'!$B:$B,$A106,'DB Costi-Ore YtD'!$E:$E,$C106)-SUM($D106:M106),0)</f>
        <v>0</v>
      </c>
      <c r="O106" s="9">
        <f>IF((O$1*1)&lt;=MAX('DB Costi-Ore YtD'!$A:$A),SUMIFS('DB Costi-Ore YtD'!$F:$F,'DB Costi-Ore YtD'!$A:$A,O$1,'DB Costi-Ore YtD'!$B:$B,$A106,'DB Costi-Ore YtD'!$E:$E,$C106)-SUM($D106:N106),0)</f>
        <v>0</v>
      </c>
    </row>
    <row r="107" spans="1:15" x14ac:dyDescent="0.3">
      <c r="A107" s="9" t="s">
        <v>239</v>
      </c>
      <c r="B107" s="9" t="s">
        <v>240</v>
      </c>
      <c r="C107" s="9" t="s">
        <v>12</v>
      </c>
      <c r="D107" s="9">
        <f>IF((D$1*1)&lt;=MAX('DB Costi-Ore YtD'!$A:$A),SUMIFS('DB Costi-Ore YtD'!$F:$F,'DB Costi-Ore YtD'!$A:$A,D$1,'DB Costi-Ore YtD'!$B:$B,$A107,'DB Costi-Ore YtD'!$E:$E,$C107),0)</f>
        <v>157.5</v>
      </c>
      <c r="E107" s="9">
        <f>IF((E$1*1)&lt;=MAX('DB Costi-Ore YtD'!$A:$A),SUMIFS('DB Costi-Ore YtD'!$F:$F,'DB Costi-Ore YtD'!$A:$A,E$1,'DB Costi-Ore YtD'!$B:$B,$A107,'DB Costi-Ore YtD'!$E:$E,$C107)-SUM($D107:D107),0)</f>
        <v>144</v>
      </c>
      <c r="F107" s="9">
        <f>IF((F$1*1)&lt;=MAX('DB Costi-Ore YtD'!$A:$A),SUMIFS('DB Costi-Ore YtD'!$F:$F,'DB Costi-Ore YtD'!$A:$A,F$1,'DB Costi-Ore YtD'!$B:$B,$A107,'DB Costi-Ore YtD'!$E:$E,$C107)-SUM($D107:E107),0)</f>
        <v>158</v>
      </c>
      <c r="G107" s="9">
        <f>IF((G$1*1)&lt;=MAX('DB Costi-Ore YtD'!$A:$A),SUMIFS('DB Costi-Ore YtD'!$F:$F,'DB Costi-Ore YtD'!$A:$A,G$1,'DB Costi-Ore YtD'!$B:$B,$A107,'DB Costi-Ore YtD'!$E:$E,$C107)-SUM($D107:F107),0)</f>
        <v>121.5</v>
      </c>
      <c r="H107" s="9">
        <f>IF((H$1*1)&lt;=MAX('DB Costi-Ore YtD'!$A:$A),SUMIFS('DB Costi-Ore YtD'!$F:$F,'DB Costi-Ore YtD'!$A:$A,H$1,'DB Costi-Ore YtD'!$B:$B,$A107,'DB Costi-Ore YtD'!$E:$E,$C107)-SUM($D107:G107),0)</f>
        <v>148</v>
      </c>
      <c r="I107" s="9">
        <f>IF((I$1*1)&lt;=MAX('DB Costi-Ore YtD'!$A:$A),SUMIFS('DB Costi-Ore YtD'!$F:$F,'DB Costi-Ore YtD'!$A:$A,I$1,'DB Costi-Ore YtD'!$B:$B,$A107,'DB Costi-Ore YtD'!$E:$E,$C107)-SUM($D107:H107),0)</f>
        <v>134.75</v>
      </c>
      <c r="J107" s="9">
        <f>IF((J$1*1)&lt;=MAX('DB Costi-Ore YtD'!$A:$A),SUMIFS('DB Costi-Ore YtD'!$F:$F,'DB Costi-Ore YtD'!$A:$A,J$1,'DB Costi-Ore YtD'!$B:$B,$A107,'DB Costi-Ore YtD'!$E:$E,$C107)-SUM($D107:I107),0)</f>
        <v>0</v>
      </c>
      <c r="K107" s="9">
        <f>IF((K$1*1)&lt;=MAX('DB Costi-Ore YtD'!$A:$A),SUMIFS('DB Costi-Ore YtD'!$F:$F,'DB Costi-Ore YtD'!$A:$A,K$1,'DB Costi-Ore YtD'!$B:$B,$A107,'DB Costi-Ore YtD'!$E:$E,$C107)-SUM($D107:J107),0)</f>
        <v>0</v>
      </c>
      <c r="L107" s="9">
        <f>IF((L$1*1)&lt;=MAX('DB Costi-Ore YtD'!$A:$A),SUMIFS('DB Costi-Ore YtD'!$F:$F,'DB Costi-Ore YtD'!$A:$A,L$1,'DB Costi-Ore YtD'!$B:$B,$A107,'DB Costi-Ore YtD'!$E:$E,$C107)-SUM($D107:K107),0)</f>
        <v>0</v>
      </c>
      <c r="M107" s="9">
        <f>IF((M$1*1)&lt;=MAX('DB Costi-Ore YtD'!$A:$A),SUMIFS('DB Costi-Ore YtD'!$F:$F,'DB Costi-Ore YtD'!$A:$A,M$1,'DB Costi-Ore YtD'!$B:$B,$A107,'DB Costi-Ore YtD'!$E:$E,$C107)-SUM($D107:L107),0)</f>
        <v>0</v>
      </c>
      <c r="N107" s="9">
        <f>IF((N$1*1)&lt;=MAX('DB Costi-Ore YtD'!$A:$A),SUMIFS('DB Costi-Ore YtD'!$F:$F,'DB Costi-Ore YtD'!$A:$A,N$1,'DB Costi-Ore YtD'!$B:$B,$A107,'DB Costi-Ore YtD'!$E:$E,$C107)-SUM($D107:M107),0)</f>
        <v>0</v>
      </c>
      <c r="O107" s="9">
        <f>IF((O$1*1)&lt;=MAX('DB Costi-Ore YtD'!$A:$A),SUMIFS('DB Costi-Ore YtD'!$F:$F,'DB Costi-Ore YtD'!$A:$A,O$1,'DB Costi-Ore YtD'!$B:$B,$A107,'DB Costi-Ore YtD'!$E:$E,$C107)-SUM($D107:N107),0)</f>
        <v>0</v>
      </c>
    </row>
    <row r="108" spans="1:15" x14ac:dyDescent="0.3">
      <c r="A108" s="9" t="s">
        <v>241</v>
      </c>
      <c r="B108" s="9" t="s">
        <v>242</v>
      </c>
      <c r="C108" s="9" t="s">
        <v>13</v>
      </c>
      <c r="D108" s="9">
        <f>IF((D$1*1)&lt;=MAX('DB Costi-Ore YtD'!$A:$A),SUMIFS('DB Costi-Ore YtD'!$F:$F,'DB Costi-Ore YtD'!$A:$A,D$1,'DB Costi-Ore YtD'!$B:$B,$A108,'DB Costi-Ore YtD'!$E:$E,$C108),0)</f>
        <v>144</v>
      </c>
      <c r="E108" s="9">
        <f>IF((E$1*1)&lt;=MAX('DB Costi-Ore YtD'!$A:$A),SUMIFS('DB Costi-Ore YtD'!$F:$F,'DB Costi-Ore YtD'!$A:$A,E$1,'DB Costi-Ore YtD'!$B:$B,$A108,'DB Costi-Ore YtD'!$E:$E,$C108)-SUM($D108:D108),0)</f>
        <v>150.25</v>
      </c>
      <c r="F108" s="9">
        <f>IF((F$1*1)&lt;=MAX('DB Costi-Ore YtD'!$A:$A),SUMIFS('DB Costi-Ore YtD'!$F:$F,'DB Costi-Ore YtD'!$A:$A,F$1,'DB Costi-Ore YtD'!$B:$B,$A108,'DB Costi-Ore YtD'!$E:$E,$C108)-SUM($D108:E108),0)</f>
        <v>152</v>
      </c>
      <c r="G108" s="9">
        <f>IF((G$1*1)&lt;=MAX('DB Costi-Ore YtD'!$A:$A),SUMIFS('DB Costi-Ore YtD'!$F:$F,'DB Costi-Ore YtD'!$A:$A,G$1,'DB Costi-Ore YtD'!$B:$B,$A108,'DB Costi-Ore YtD'!$E:$E,$C108)-SUM($D108:F108),0)</f>
        <v>121.5</v>
      </c>
      <c r="H108" s="9">
        <f>IF((H$1*1)&lt;=MAX('DB Costi-Ore YtD'!$A:$A),SUMIFS('DB Costi-Ore YtD'!$F:$F,'DB Costi-Ore YtD'!$A:$A,H$1,'DB Costi-Ore YtD'!$B:$B,$A108,'DB Costi-Ore YtD'!$E:$E,$C108)-SUM($D108:G108),0)</f>
        <v>159.5</v>
      </c>
      <c r="I108" s="9">
        <f>IF((I$1*1)&lt;=MAX('DB Costi-Ore YtD'!$A:$A),SUMIFS('DB Costi-Ore YtD'!$F:$F,'DB Costi-Ore YtD'!$A:$A,I$1,'DB Costi-Ore YtD'!$B:$B,$A108,'DB Costi-Ore YtD'!$E:$E,$C108)-SUM($D108:H108),0)</f>
        <v>136.5</v>
      </c>
      <c r="J108" s="9">
        <f>IF((J$1*1)&lt;=MAX('DB Costi-Ore YtD'!$A:$A),SUMIFS('DB Costi-Ore YtD'!$F:$F,'DB Costi-Ore YtD'!$A:$A,J$1,'DB Costi-Ore YtD'!$B:$B,$A108,'DB Costi-Ore YtD'!$E:$E,$C108)-SUM($D108:I108),0)</f>
        <v>0</v>
      </c>
      <c r="K108" s="9">
        <f>IF((K$1*1)&lt;=MAX('DB Costi-Ore YtD'!$A:$A),SUMIFS('DB Costi-Ore YtD'!$F:$F,'DB Costi-Ore YtD'!$A:$A,K$1,'DB Costi-Ore YtD'!$B:$B,$A108,'DB Costi-Ore YtD'!$E:$E,$C108)-SUM($D108:J108),0)</f>
        <v>0</v>
      </c>
      <c r="L108" s="9">
        <f>IF((L$1*1)&lt;=MAX('DB Costi-Ore YtD'!$A:$A),SUMIFS('DB Costi-Ore YtD'!$F:$F,'DB Costi-Ore YtD'!$A:$A,L$1,'DB Costi-Ore YtD'!$B:$B,$A108,'DB Costi-Ore YtD'!$E:$E,$C108)-SUM($D108:K108),0)</f>
        <v>0</v>
      </c>
      <c r="M108" s="9">
        <f>IF((M$1*1)&lt;=MAX('DB Costi-Ore YtD'!$A:$A),SUMIFS('DB Costi-Ore YtD'!$F:$F,'DB Costi-Ore YtD'!$A:$A,M$1,'DB Costi-Ore YtD'!$B:$B,$A108,'DB Costi-Ore YtD'!$E:$E,$C108)-SUM($D108:L108),0)</f>
        <v>0</v>
      </c>
      <c r="N108" s="9">
        <f>IF((N$1*1)&lt;=MAX('DB Costi-Ore YtD'!$A:$A),SUMIFS('DB Costi-Ore YtD'!$F:$F,'DB Costi-Ore YtD'!$A:$A,N$1,'DB Costi-Ore YtD'!$B:$B,$A108,'DB Costi-Ore YtD'!$E:$E,$C108)-SUM($D108:M108),0)</f>
        <v>0</v>
      </c>
      <c r="O108" s="9">
        <f>IF((O$1*1)&lt;=MAX('DB Costi-Ore YtD'!$A:$A),SUMIFS('DB Costi-Ore YtD'!$F:$F,'DB Costi-Ore YtD'!$A:$A,O$1,'DB Costi-Ore YtD'!$B:$B,$A108,'DB Costi-Ore YtD'!$E:$E,$C108)-SUM($D108:N108),0)</f>
        <v>0</v>
      </c>
    </row>
    <row r="109" spans="1:15" x14ac:dyDescent="0.3">
      <c r="A109" s="9" t="s">
        <v>243</v>
      </c>
      <c r="B109" s="9" t="s">
        <v>244</v>
      </c>
      <c r="C109" s="9" t="s">
        <v>5</v>
      </c>
      <c r="D109" s="9">
        <f>IF((D$1*1)&lt;=MAX('DB Costi-Ore YtD'!$A:$A),SUMIFS('DB Costi-Ore YtD'!$F:$F,'DB Costi-Ore YtD'!$A:$A,D$1,'DB Costi-Ore YtD'!$B:$B,$A109,'DB Costi-Ore YtD'!$E:$E,$C109),0)</f>
        <v>147</v>
      </c>
      <c r="E109" s="9">
        <f>IF((E$1*1)&lt;=MAX('DB Costi-Ore YtD'!$A:$A),SUMIFS('DB Costi-Ore YtD'!$F:$F,'DB Costi-Ore YtD'!$A:$A,E$1,'DB Costi-Ore YtD'!$B:$B,$A109,'DB Costi-Ore YtD'!$E:$E,$C109)-SUM($D109:D109),0)</f>
        <v>125.5</v>
      </c>
      <c r="F109" s="9">
        <f>IF((F$1*1)&lt;=MAX('DB Costi-Ore YtD'!$A:$A),SUMIFS('DB Costi-Ore YtD'!$F:$F,'DB Costi-Ore YtD'!$A:$A,F$1,'DB Costi-Ore YtD'!$B:$B,$A109,'DB Costi-Ore YtD'!$E:$E,$C109)-SUM($D109:E109),0)</f>
        <v>136.25</v>
      </c>
      <c r="G109" s="9">
        <f>IF((G$1*1)&lt;=MAX('DB Costi-Ore YtD'!$A:$A),SUMIFS('DB Costi-Ore YtD'!$F:$F,'DB Costi-Ore YtD'!$A:$A,G$1,'DB Costi-Ore YtD'!$B:$B,$A109,'DB Costi-Ore YtD'!$E:$E,$C109)-SUM($D109:F109),0)</f>
        <v>128</v>
      </c>
      <c r="H109" s="9">
        <f>IF((H$1*1)&lt;=MAX('DB Costi-Ore YtD'!$A:$A),SUMIFS('DB Costi-Ore YtD'!$F:$F,'DB Costi-Ore YtD'!$A:$A,H$1,'DB Costi-Ore YtD'!$B:$B,$A109,'DB Costi-Ore YtD'!$E:$E,$C109)-SUM($D109:G109),0)</f>
        <v>145</v>
      </c>
      <c r="I109" s="9">
        <f>IF((I$1*1)&lt;=MAX('DB Costi-Ore YtD'!$A:$A),SUMIFS('DB Costi-Ore YtD'!$F:$F,'DB Costi-Ore YtD'!$A:$A,I$1,'DB Costi-Ore YtD'!$B:$B,$A109,'DB Costi-Ore YtD'!$E:$E,$C109)-SUM($D109:H109),0)</f>
        <v>131.25</v>
      </c>
      <c r="J109" s="9">
        <f>IF((J$1*1)&lt;=MAX('DB Costi-Ore YtD'!$A:$A),SUMIFS('DB Costi-Ore YtD'!$F:$F,'DB Costi-Ore YtD'!$A:$A,J$1,'DB Costi-Ore YtD'!$B:$B,$A109,'DB Costi-Ore YtD'!$E:$E,$C109)-SUM($D109:I109),0)</f>
        <v>0</v>
      </c>
      <c r="K109" s="9">
        <f>IF((K$1*1)&lt;=MAX('DB Costi-Ore YtD'!$A:$A),SUMIFS('DB Costi-Ore YtD'!$F:$F,'DB Costi-Ore YtD'!$A:$A,K$1,'DB Costi-Ore YtD'!$B:$B,$A109,'DB Costi-Ore YtD'!$E:$E,$C109)-SUM($D109:J109),0)</f>
        <v>0</v>
      </c>
      <c r="L109" s="9">
        <f>IF((L$1*1)&lt;=MAX('DB Costi-Ore YtD'!$A:$A),SUMIFS('DB Costi-Ore YtD'!$F:$F,'DB Costi-Ore YtD'!$A:$A,L$1,'DB Costi-Ore YtD'!$B:$B,$A109,'DB Costi-Ore YtD'!$E:$E,$C109)-SUM($D109:K109),0)</f>
        <v>0</v>
      </c>
      <c r="M109" s="9">
        <f>IF((M$1*1)&lt;=MAX('DB Costi-Ore YtD'!$A:$A),SUMIFS('DB Costi-Ore YtD'!$F:$F,'DB Costi-Ore YtD'!$A:$A,M$1,'DB Costi-Ore YtD'!$B:$B,$A109,'DB Costi-Ore YtD'!$E:$E,$C109)-SUM($D109:L109),0)</f>
        <v>0</v>
      </c>
      <c r="N109" s="9">
        <f>IF((N$1*1)&lt;=MAX('DB Costi-Ore YtD'!$A:$A),SUMIFS('DB Costi-Ore YtD'!$F:$F,'DB Costi-Ore YtD'!$A:$A,N$1,'DB Costi-Ore YtD'!$B:$B,$A109,'DB Costi-Ore YtD'!$E:$E,$C109)-SUM($D109:M109),0)</f>
        <v>0</v>
      </c>
      <c r="O109" s="9">
        <f>IF((O$1*1)&lt;=MAX('DB Costi-Ore YtD'!$A:$A),SUMIFS('DB Costi-Ore YtD'!$F:$F,'DB Costi-Ore YtD'!$A:$A,O$1,'DB Costi-Ore YtD'!$B:$B,$A109,'DB Costi-Ore YtD'!$E:$E,$C109)-SUM($D109:N109),0)</f>
        <v>0</v>
      </c>
    </row>
    <row r="110" spans="1:15" x14ac:dyDescent="0.3">
      <c r="A110" s="9" t="s">
        <v>245</v>
      </c>
      <c r="B110" s="9" t="s">
        <v>246</v>
      </c>
      <c r="C110" s="9" t="s">
        <v>3</v>
      </c>
      <c r="D110" s="9">
        <f>IF((D$1*1)&lt;=MAX('DB Costi-Ore YtD'!$A:$A),SUMIFS('DB Costi-Ore YtD'!$F:$F,'DB Costi-Ore YtD'!$A:$A,D$1,'DB Costi-Ore YtD'!$B:$B,$A110,'DB Costi-Ore YtD'!$E:$E,$C110),0)</f>
        <v>71</v>
      </c>
      <c r="E110" s="9">
        <f>IF((E$1*1)&lt;=MAX('DB Costi-Ore YtD'!$A:$A),SUMIFS('DB Costi-Ore YtD'!$F:$F,'DB Costi-Ore YtD'!$A:$A,E$1,'DB Costi-Ore YtD'!$B:$B,$A110,'DB Costi-Ore YtD'!$E:$E,$C110)-SUM($D110:D110),0)</f>
        <v>58.5</v>
      </c>
      <c r="F110" s="9">
        <f>IF((F$1*1)&lt;=MAX('DB Costi-Ore YtD'!$A:$A),SUMIFS('DB Costi-Ore YtD'!$F:$F,'DB Costi-Ore YtD'!$A:$A,F$1,'DB Costi-Ore YtD'!$B:$B,$A110,'DB Costi-Ore YtD'!$E:$E,$C110)-SUM($D110:E110),0)</f>
        <v>75</v>
      </c>
      <c r="G110" s="9">
        <f>IF((G$1*1)&lt;=MAX('DB Costi-Ore YtD'!$A:$A),SUMIFS('DB Costi-Ore YtD'!$F:$F,'DB Costi-Ore YtD'!$A:$A,G$1,'DB Costi-Ore YtD'!$B:$B,$A110,'DB Costi-Ore YtD'!$E:$E,$C110)-SUM($D110:F110),0)</f>
        <v>55</v>
      </c>
      <c r="H110" s="9">
        <f>IF((H$1*1)&lt;=MAX('DB Costi-Ore YtD'!$A:$A),SUMIFS('DB Costi-Ore YtD'!$F:$F,'DB Costi-Ore YtD'!$A:$A,H$1,'DB Costi-Ore YtD'!$B:$B,$A110,'DB Costi-Ore YtD'!$E:$E,$C110)-SUM($D110:G110),0)</f>
        <v>58</v>
      </c>
      <c r="I110" s="9">
        <f>IF((I$1*1)&lt;=MAX('DB Costi-Ore YtD'!$A:$A),SUMIFS('DB Costi-Ore YtD'!$F:$F,'DB Costi-Ore YtD'!$A:$A,I$1,'DB Costi-Ore YtD'!$B:$B,$A110,'DB Costi-Ore YtD'!$E:$E,$C110)-SUM($D110:H110),0)</f>
        <v>68</v>
      </c>
      <c r="J110" s="9">
        <f>IF((J$1*1)&lt;=MAX('DB Costi-Ore YtD'!$A:$A),SUMIFS('DB Costi-Ore YtD'!$F:$F,'DB Costi-Ore YtD'!$A:$A,J$1,'DB Costi-Ore YtD'!$B:$B,$A110,'DB Costi-Ore YtD'!$E:$E,$C110)-SUM($D110:I110),0)</f>
        <v>0</v>
      </c>
      <c r="K110" s="9">
        <f>IF((K$1*1)&lt;=MAX('DB Costi-Ore YtD'!$A:$A),SUMIFS('DB Costi-Ore YtD'!$F:$F,'DB Costi-Ore YtD'!$A:$A,K$1,'DB Costi-Ore YtD'!$B:$B,$A110,'DB Costi-Ore YtD'!$E:$E,$C110)-SUM($D110:J110),0)</f>
        <v>0</v>
      </c>
      <c r="L110" s="9">
        <f>IF((L$1*1)&lt;=MAX('DB Costi-Ore YtD'!$A:$A),SUMIFS('DB Costi-Ore YtD'!$F:$F,'DB Costi-Ore YtD'!$A:$A,L$1,'DB Costi-Ore YtD'!$B:$B,$A110,'DB Costi-Ore YtD'!$E:$E,$C110)-SUM($D110:K110),0)</f>
        <v>0</v>
      </c>
      <c r="M110" s="9">
        <f>IF((M$1*1)&lt;=MAX('DB Costi-Ore YtD'!$A:$A),SUMIFS('DB Costi-Ore YtD'!$F:$F,'DB Costi-Ore YtD'!$A:$A,M$1,'DB Costi-Ore YtD'!$B:$B,$A110,'DB Costi-Ore YtD'!$E:$E,$C110)-SUM($D110:L110),0)</f>
        <v>0</v>
      </c>
      <c r="N110" s="9">
        <f>IF((N$1*1)&lt;=MAX('DB Costi-Ore YtD'!$A:$A),SUMIFS('DB Costi-Ore YtD'!$F:$F,'DB Costi-Ore YtD'!$A:$A,N$1,'DB Costi-Ore YtD'!$B:$B,$A110,'DB Costi-Ore YtD'!$E:$E,$C110)-SUM($D110:M110),0)</f>
        <v>0</v>
      </c>
      <c r="O110" s="9">
        <f>IF((O$1*1)&lt;=MAX('DB Costi-Ore YtD'!$A:$A),SUMIFS('DB Costi-Ore YtD'!$F:$F,'DB Costi-Ore YtD'!$A:$A,O$1,'DB Costi-Ore YtD'!$B:$B,$A110,'DB Costi-Ore YtD'!$E:$E,$C110)-SUM($D110:N110),0)</f>
        <v>0</v>
      </c>
    </row>
    <row r="111" spans="1:15" x14ac:dyDescent="0.3">
      <c r="A111" s="9" t="s">
        <v>247</v>
      </c>
      <c r="B111" s="9" t="s">
        <v>248</v>
      </c>
      <c r="C111" s="9" t="s">
        <v>2</v>
      </c>
      <c r="D111" s="9">
        <f>IF((D$1*1)&lt;=MAX('DB Costi-Ore YtD'!$A:$A),SUMIFS('DB Costi-Ore YtD'!$F:$F,'DB Costi-Ore YtD'!$A:$A,D$1,'DB Costi-Ore YtD'!$B:$B,$A111,'DB Costi-Ore YtD'!$E:$E,$C111),0)</f>
        <v>135</v>
      </c>
      <c r="E111" s="9">
        <f>IF((E$1*1)&lt;=MAX('DB Costi-Ore YtD'!$A:$A),SUMIFS('DB Costi-Ore YtD'!$F:$F,'DB Costi-Ore YtD'!$A:$A,E$1,'DB Costi-Ore YtD'!$B:$B,$A111,'DB Costi-Ore YtD'!$E:$E,$C111)-SUM($D111:D111),0)</f>
        <v>120</v>
      </c>
      <c r="F111" s="9">
        <f>IF((F$1*1)&lt;=MAX('DB Costi-Ore YtD'!$A:$A),SUMIFS('DB Costi-Ore YtD'!$F:$F,'DB Costi-Ore YtD'!$A:$A,F$1,'DB Costi-Ore YtD'!$B:$B,$A111,'DB Costi-Ore YtD'!$E:$E,$C111)-SUM($D111:E111),0)</f>
        <v>139.5</v>
      </c>
      <c r="G111" s="9">
        <f>IF((G$1*1)&lt;=MAX('DB Costi-Ore YtD'!$A:$A),SUMIFS('DB Costi-Ore YtD'!$F:$F,'DB Costi-Ore YtD'!$A:$A,G$1,'DB Costi-Ore YtD'!$B:$B,$A111,'DB Costi-Ore YtD'!$E:$E,$C111)-SUM($D111:F111),0)</f>
        <v>148</v>
      </c>
      <c r="H111" s="9">
        <f>IF((H$1*1)&lt;=MAX('DB Costi-Ore YtD'!$A:$A),SUMIFS('DB Costi-Ore YtD'!$F:$F,'DB Costi-Ore YtD'!$A:$A,H$1,'DB Costi-Ore YtD'!$B:$B,$A111,'DB Costi-Ore YtD'!$E:$E,$C111)-SUM($D111:G111),0)</f>
        <v>140</v>
      </c>
      <c r="I111" s="9">
        <f>IF((I$1*1)&lt;=MAX('DB Costi-Ore YtD'!$A:$A),SUMIFS('DB Costi-Ore YtD'!$F:$F,'DB Costi-Ore YtD'!$A:$A,I$1,'DB Costi-Ore YtD'!$B:$B,$A111,'DB Costi-Ore YtD'!$E:$E,$C111)-SUM($D111:H111),0)</f>
        <v>113.25</v>
      </c>
      <c r="J111" s="9">
        <f>IF((J$1*1)&lt;=MAX('DB Costi-Ore YtD'!$A:$A),SUMIFS('DB Costi-Ore YtD'!$F:$F,'DB Costi-Ore YtD'!$A:$A,J$1,'DB Costi-Ore YtD'!$B:$B,$A111,'DB Costi-Ore YtD'!$E:$E,$C111)-SUM($D111:I111),0)</f>
        <v>0</v>
      </c>
      <c r="K111" s="9">
        <f>IF((K$1*1)&lt;=MAX('DB Costi-Ore YtD'!$A:$A),SUMIFS('DB Costi-Ore YtD'!$F:$F,'DB Costi-Ore YtD'!$A:$A,K$1,'DB Costi-Ore YtD'!$B:$B,$A111,'DB Costi-Ore YtD'!$E:$E,$C111)-SUM($D111:J111),0)</f>
        <v>0</v>
      </c>
      <c r="L111" s="9">
        <f>IF((L$1*1)&lt;=MAX('DB Costi-Ore YtD'!$A:$A),SUMIFS('DB Costi-Ore YtD'!$F:$F,'DB Costi-Ore YtD'!$A:$A,L$1,'DB Costi-Ore YtD'!$B:$B,$A111,'DB Costi-Ore YtD'!$E:$E,$C111)-SUM($D111:K111),0)</f>
        <v>0</v>
      </c>
      <c r="M111" s="9">
        <f>IF((M$1*1)&lt;=MAX('DB Costi-Ore YtD'!$A:$A),SUMIFS('DB Costi-Ore YtD'!$F:$F,'DB Costi-Ore YtD'!$A:$A,M$1,'DB Costi-Ore YtD'!$B:$B,$A111,'DB Costi-Ore YtD'!$E:$E,$C111)-SUM($D111:L111),0)</f>
        <v>0</v>
      </c>
      <c r="N111" s="9">
        <f>IF((N$1*1)&lt;=MAX('DB Costi-Ore YtD'!$A:$A),SUMIFS('DB Costi-Ore YtD'!$F:$F,'DB Costi-Ore YtD'!$A:$A,N$1,'DB Costi-Ore YtD'!$B:$B,$A111,'DB Costi-Ore YtD'!$E:$E,$C111)-SUM($D111:M111),0)</f>
        <v>0</v>
      </c>
      <c r="O111" s="9">
        <f>IF((O$1*1)&lt;=MAX('DB Costi-Ore YtD'!$A:$A),SUMIFS('DB Costi-Ore YtD'!$F:$F,'DB Costi-Ore YtD'!$A:$A,O$1,'DB Costi-Ore YtD'!$B:$B,$A111,'DB Costi-Ore YtD'!$E:$E,$C111)-SUM($D111:N111),0)</f>
        <v>0</v>
      </c>
    </row>
    <row r="112" spans="1:15" x14ac:dyDescent="0.3">
      <c r="A112" s="9" t="s">
        <v>249</v>
      </c>
      <c r="B112" s="9" t="s">
        <v>250</v>
      </c>
      <c r="C112" s="9" t="s">
        <v>2</v>
      </c>
      <c r="D112" s="9">
        <f>IF((D$1*1)&lt;=MAX('DB Costi-Ore YtD'!$A:$A),SUMIFS('DB Costi-Ore YtD'!$F:$F,'DB Costi-Ore YtD'!$A:$A,D$1,'DB Costi-Ore YtD'!$B:$B,$A112,'DB Costi-Ore YtD'!$E:$E,$C112),0)</f>
        <v>159</v>
      </c>
      <c r="E112" s="9">
        <f>IF((E$1*1)&lt;=MAX('DB Costi-Ore YtD'!$A:$A),SUMIFS('DB Costi-Ore YtD'!$F:$F,'DB Costi-Ore YtD'!$A:$A,E$1,'DB Costi-Ore YtD'!$B:$B,$A112,'DB Costi-Ore YtD'!$E:$E,$C112)-SUM($D112:D112),0)</f>
        <v>152</v>
      </c>
      <c r="F112" s="9">
        <f>IF((F$1*1)&lt;=MAX('DB Costi-Ore YtD'!$A:$A),SUMIFS('DB Costi-Ore YtD'!$F:$F,'DB Costi-Ore YtD'!$A:$A,F$1,'DB Costi-Ore YtD'!$B:$B,$A112,'DB Costi-Ore YtD'!$E:$E,$C112)-SUM($D112:E112),0)</f>
        <v>157</v>
      </c>
      <c r="G112" s="9">
        <f>IF((G$1*1)&lt;=MAX('DB Costi-Ore YtD'!$A:$A),SUMIFS('DB Costi-Ore YtD'!$F:$F,'DB Costi-Ore YtD'!$A:$A,G$1,'DB Costi-Ore YtD'!$B:$B,$A112,'DB Costi-Ore YtD'!$E:$E,$C112)-SUM($D112:F112),0)</f>
        <v>155.5</v>
      </c>
      <c r="H112" s="9">
        <f>IF((H$1*1)&lt;=MAX('DB Costi-Ore YtD'!$A:$A),SUMIFS('DB Costi-Ore YtD'!$F:$F,'DB Costi-Ore YtD'!$A:$A,H$1,'DB Costi-Ore YtD'!$B:$B,$A112,'DB Costi-Ore YtD'!$E:$E,$C112)-SUM($D112:G112),0)</f>
        <v>144.5</v>
      </c>
      <c r="I112" s="9">
        <f>IF((I$1*1)&lt;=MAX('DB Costi-Ore YtD'!$A:$A),SUMIFS('DB Costi-Ore YtD'!$F:$F,'DB Costi-Ore YtD'!$A:$A,I$1,'DB Costi-Ore YtD'!$B:$B,$A112,'DB Costi-Ore YtD'!$E:$E,$C112)-SUM($D112:H112),0)</f>
        <v>147.75</v>
      </c>
      <c r="J112" s="9">
        <f>IF((J$1*1)&lt;=MAX('DB Costi-Ore YtD'!$A:$A),SUMIFS('DB Costi-Ore YtD'!$F:$F,'DB Costi-Ore YtD'!$A:$A,J$1,'DB Costi-Ore YtD'!$B:$B,$A112,'DB Costi-Ore YtD'!$E:$E,$C112)-SUM($D112:I112),0)</f>
        <v>0</v>
      </c>
      <c r="K112" s="9">
        <f>IF((K$1*1)&lt;=MAX('DB Costi-Ore YtD'!$A:$A),SUMIFS('DB Costi-Ore YtD'!$F:$F,'DB Costi-Ore YtD'!$A:$A,K$1,'DB Costi-Ore YtD'!$B:$B,$A112,'DB Costi-Ore YtD'!$E:$E,$C112)-SUM($D112:J112),0)</f>
        <v>0</v>
      </c>
      <c r="L112" s="9">
        <f>IF((L$1*1)&lt;=MAX('DB Costi-Ore YtD'!$A:$A),SUMIFS('DB Costi-Ore YtD'!$F:$F,'DB Costi-Ore YtD'!$A:$A,L$1,'DB Costi-Ore YtD'!$B:$B,$A112,'DB Costi-Ore YtD'!$E:$E,$C112)-SUM($D112:K112),0)</f>
        <v>0</v>
      </c>
      <c r="M112" s="9">
        <f>IF((M$1*1)&lt;=MAX('DB Costi-Ore YtD'!$A:$A),SUMIFS('DB Costi-Ore YtD'!$F:$F,'DB Costi-Ore YtD'!$A:$A,M$1,'DB Costi-Ore YtD'!$B:$B,$A112,'DB Costi-Ore YtD'!$E:$E,$C112)-SUM($D112:L112),0)</f>
        <v>0</v>
      </c>
      <c r="N112" s="9">
        <f>IF((N$1*1)&lt;=MAX('DB Costi-Ore YtD'!$A:$A),SUMIFS('DB Costi-Ore YtD'!$F:$F,'DB Costi-Ore YtD'!$A:$A,N$1,'DB Costi-Ore YtD'!$B:$B,$A112,'DB Costi-Ore YtD'!$E:$E,$C112)-SUM($D112:M112),0)</f>
        <v>0</v>
      </c>
      <c r="O112" s="9">
        <f>IF((O$1*1)&lt;=MAX('DB Costi-Ore YtD'!$A:$A),SUMIFS('DB Costi-Ore YtD'!$F:$F,'DB Costi-Ore YtD'!$A:$A,O$1,'DB Costi-Ore YtD'!$B:$B,$A112,'DB Costi-Ore YtD'!$E:$E,$C112)-SUM($D112:N112),0)</f>
        <v>0</v>
      </c>
    </row>
    <row r="113" spans="1:15" x14ac:dyDescent="0.3">
      <c r="A113" s="9" t="s">
        <v>251</v>
      </c>
      <c r="B113" s="9" t="s">
        <v>252</v>
      </c>
      <c r="C113" s="9" t="s">
        <v>2</v>
      </c>
      <c r="D113" s="9">
        <f>IF((D$1*1)&lt;=MAX('DB Costi-Ore YtD'!$A:$A),SUMIFS('DB Costi-Ore YtD'!$F:$F,'DB Costi-Ore YtD'!$A:$A,D$1,'DB Costi-Ore YtD'!$B:$B,$A113,'DB Costi-Ore YtD'!$E:$E,$C113),0)</f>
        <v>22.75</v>
      </c>
      <c r="E113" s="9">
        <f>IF((E$1*1)&lt;=MAX('DB Costi-Ore YtD'!$A:$A),SUMIFS('DB Costi-Ore YtD'!$F:$F,'DB Costi-Ore YtD'!$A:$A,E$1,'DB Costi-Ore YtD'!$B:$B,$A113,'DB Costi-Ore YtD'!$E:$E,$C113)-SUM($D113:D113),0)</f>
        <v>0</v>
      </c>
      <c r="F113" s="9">
        <f>IF((F$1*1)&lt;=MAX('DB Costi-Ore YtD'!$A:$A),SUMIFS('DB Costi-Ore YtD'!$F:$F,'DB Costi-Ore YtD'!$A:$A,F$1,'DB Costi-Ore YtD'!$B:$B,$A113,'DB Costi-Ore YtD'!$E:$E,$C113)-SUM($D113:E113),0)</f>
        <v>47</v>
      </c>
      <c r="G113" s="9">
        <f>IF((G$1*1)&lt;=MAX('DB Costi-Ore YtD'!$A:$A),SUMIFS('DB Costi-Ore YtD'!$F:$F,'DB Costi-Ore YtD'!$A:$A,G$1,'DB Costi-Ore YtD'!$B:$B,$A113,'DB Costi-Ore YtD'!$E:$E,$C113)-SUM($D113:F113),0)</f>
        <v>29</v>
      </c>
      <c r="H113" s="9">
        <f>IF((H$1*1)&lt;=MAX('DB Costi-Ore YtD'!$A:$A),SUMIFS('DB Costi-Ore YtD'!$F:$F,'DB Costi-Ore YtD'!$A:$A,H$1,'DB Costi-Ore YtD'!$B:$B,$A113,'DB Costi-Ore YtD'!$E:$E,$C113)-SUM($D113:G113),0)</f>
        <v>36.5</v>
      </c>
      <c r="I113" s="9">
        <f>IF((I$1*1)&lt;=MAX('DB Costi-Ore YtD'!$A:$A),SUMIFS('DB Costi-Ore YtD'!$F:$F,'DB Costi-Ore YtD'!$A:$A,I$1,'DB Costi-Ore YtD'!$B:$B,$A113,'DB Costi-Ore YtD'!$E:$E,$C113)-SUM($D113:H113),0)</f>
        <v>32</v>
      </c>
      <c r="J113" s="9">
        <f>IF((J$1*1)&lt;=MAX('DB Costi-Ore YtD'!$A:$A),SUMIFS('DB Costi-Ore YtD'!$F:$F,'DB Costi-Ore YtD'!$A:$A,J$1,'DB Costi-Ore YtD'!$B:$B,$A113,'DB Costi-Ore YtD'!$E:$E,$C113)-SUM($D113:I113),0)</f>
        <v>0</v>
      </c>
      <c r="K113" s="9">
        <f>IF((K$1*1)&lt;=MAX('DB Costi-Ore YtD'!$A:$A),SUMIFS('DB Costi-Ore YtD'!$F:$F,'DB Costi-Ore YtD'!$A:$A,K$1,'DB Costi-Ore YtD'!$B:$B,$A113,'DB Costi-Ore YtD'!$E:$E,$C113)-SUM($D113:J113),0)</f>
        <v>0</v>
      </c>
      <c r="L113" s="9">
        <f>IF((L$1*1)&lt;=MAX('DB Costi-Ore YtD'!$A:$A),SUMIFS('DB Costi-Ore YtD'!$F:$F,'DB Costi-Ore YtD'!$A:$A,L$1,'DB Costi-Ore YtD'!$B:$B,$A113,'DB Costi-Ore YtD'!$E:$E,$C113)-SUM($D113:K113),0)</f>
        <v>0</v>
      </c>
      <c r="M113" s="9">
        <f>IF((M$1*1)&lt;=MAX('DB Costi-Ore YtD'!$A:$A),SUMIFS('DB Costi-Ore YtD'!$F:$F,'DB Costi-Ore YtD'!$A:$A,M$1,'DB Costi-Ore YtD'!$B:$B,$A113,'DB Costi-Ore YtD'!$E:$E,$C113)-SUM($D113:L113),0)</f>
        <v>0</v>
      </c>
      <c r="N113" s="9">
        <f>IF((N$1*1)&lt;=MAX('DB Costi-Ore YtD'!$A:$A),SUMIFS('DB Costi-Ore YtD'!$F:$F,'DB Costi-Ore YtD'!$A:$A,N$1,'DB Costi-Ore YtD'!$B:$B,$A113,'DB Costi-Ore YtD'!$E:$E,$C113)-SUM($D113:M113),0)</f>
        <v>0</v>
      </c>
      <c r="O113" s="9">
        <f>IF((O$1*1)&lt;=MAX('DB Costi-Ore YtD'!$A:$A),SUMIFS('DB Costi-Ore YtD'!$F:$F,'DB Costi-Ore YtD'!$A:$A,O$1,'DB Costi-Ore YtD'!$B:$B,$A113,'DB Costi-Ore YtD'!$E:$E,$C113)-SUM($D113:N113),0)</f>
        <v>0</v>
      </c>
    </row>
    <row r="114" spans="1:15" x14ac:dyDescent="0.3">
      <c r="A114" s="9" t="s">
        <v>253</v>
      </c>
      <c r="B114" s="9" t="s">
        <v>254</v>
      </c>
      <c r="C114" s="9" t="s">
        <v>5</v>
      </c>
      <c r="D114" s="9">
        <f>IF((D$1*1)&lt;=MAX('DB Costi-Ore YtD'!$A:$A),SUMIFS('DB Costi-Ore YtD'!$F:$F,'DB Costi-Ore YtD'!$A:$A,D$1,'DB Costi-Ore YtD'!$B:$B,$A114,'DB Costi-Ore YtD'!$E:$E,$C114),0)</f>
        <v>143</v>
      </c>
      <c r="E114" s="9">
        <f>IF((E$1*1)&lt;=MAX('DB Costi-Ore YtD'!$A:$A),SUMIFS('DB Costi-Ore YtD'!$F:$F,'DB Costi-Ore YtD'!$A:$A,E$1,'DB Costi-Ore YtD'!$B:$B,$A114,'DB Costi-Ore YtD'!$E:$E,$C114)-SUM($D114:D114),0)</f>
        <v>134</v>
      </c>
      <c r="F114" s="9">
        <f>IF((F$1*1)&lt;=MAX('DB Costi-Ore YtD'!$A:$A),SUMIFS('DB Costi-Ore YtD'!$F:$F,'DB Costi-Ore YtD'!$A:$A,F$1,'DB Costi-Ore YtD'!$B:$B,$A114,'DB Costi-Ore YtD'!$E:$E,$C114)-SUM($D114:E114),0)</f>
        <v>118.5</v>
      </c>
      <c r="G114" s="9">
        <f>IF((G$1*1)&lt;=MAX('DB Costi-Ore YtD'!$A:$A),SUMIFS('DB Costi-Ore YtD'!$F:$F,'DB Costi-Ore YtD'!$A:$A,G$1,'DB Costi-Ore YtD'!$B:$B,$A114,'DB Costi-Ore YtD'!$E:$E,$C114)-SUM($D114:F114),0)</f>
        <v>121.5</v>
      </c>
      <c r="H114" s="9">
        <f>IF((H$1*1)&lt;=MAX('DB Costi-Ore YtD'!$A:$A),SUMIFS('DB Costi-Ore YtD'!$F:$F,'DB Costi-Ore YtD'!$A:$A,H$1,'DB Costi-Ore YtD'!$B:$B,$A114,'DB Costi-Ore YtD'!$E:$E,$C114)-SUM($D114:G114),0)</f>
        <v>48.5</v>
      </c>
      <c r="I114" s="9">
        <f>IF((I$1*1)&lt;=MAX('DB Costi-Ore YtD'!$A:$A),SUMIFS('DB Costi-Ore YtD'!$F:$F,'DB Costi-Ore YtD'!$A:$A,I$1,'DB Costi-Ore YtD'!$B:$B,$A114,'DB Costi-Ore YtD'!$E:$E,$C114)-SUM($D114:H114),0)</f>
        <v>94.25</v>
      </c>
      <c r="J114" s="9">
        <f>IF((J$1*1)&lt;=MAX('DB Costi-Ore YtD'!$A:$A),SUMIFS('DB Costi-Ore YtD'!$F:$F,'DB Costi-Ore YtD'!$A:$A,J$1,'DB Costi-Ore YtD'!$B:$B,$A114,'DB Costi-Ore YtD'!$E:$E,$C114)-SUM($D114:I114),0)</f>
        <v>0</v>
      </c>
      <c r="K114" s="9">
        <f>IF((K$1*1)&lt;=MAX('DB Costi-Ore YtD'!$A:$A),SUMIFS('DB Costi-Ore YtD'!$F:$F,'DB Costi-Ore YtD'!$A:$A,K$1,'DB Costi-Ore YtD'!$B:$B,$A114,'DB Costi-Ore YtD'!$E:$E,$C114)-SUM($D114:J114),0)</f>
        <v>0</v>
      </c>
      <c r="L114" s="9">
        <f>IF((L$1*1)&lt;=MAX('DB Costi-Ore YtD'!$A:$A),SUMIFS('DB Costi-Ore YtD'!$F:$F,'DB Costi-Ore YtD'!$A:$A,L$1,'DB Costi-Ore YtD'!$B:$B,$A114,'DB Costi-Ore YtD'!$E:$E,$C114)-SUM($D114:K114),0)</f>
        <v>0</v>
      </c>
      <c r="M114" s="9">
        <f>IF((M$1*1)&lt;=MAX('DB Costi-Ore YtD'!$A:$A),SUMIFS('DB Costi-Ore YtD'!$F:$F,'DB Costi-Ore YtD'!$A:$A,M$1,'DB Costi-Ore YtD'!$B:$B,$A114,'DB Costi-Ore YtD'!$E:$E,$C114)-SUM($D114:L114),0)</f>
        <v>0</v>
      </c>
      <c r="N114" s="9">
        <f>IF((N$1*1)&lt;=MAX('DB Costi-Ore YtD'!$A:$A),SUMIFS('DB Costi-Ore YtD'!$F:$F,'DB Costi-Ore YtD'!$A:$A,N$1,'DB Costi-Ore YtD'!$B:$B,$A114,'DB Costi-Ore YtD'!$E:$E,$C114)-SUM($D114:M114),0)</f>
        <v>0</v>
      </c>
      <c r="O114" s="9">
        <f>IF((O$1*1)&lt;=MAX('DB Costi-Ore YtD'!$A:$A),SUMIFS('DB Costi-Ore YtD'!$F:$F,'DB Costi-Ore YtD'!$A:$A,O$1,'DB Costi-Ore YtD'!$B:$B,$A114,'DB Costi-Ore YtD'!$E:$E,$C114)-SUM($D114:N114),0)</f>
        <v>0</v>
      </c>
    </row>
    <row r="115" spans="1:15" x14ac:dyDescent="0.3">
      <c r="A115" s="9" t="s">
        <v>255</v>
      </c>
      <c r="B115" s="9" t="s">
        <v>256</v>
      </c>
      <c r="C115" s="9" t="s">
        <v>5</v>
      </c>
      <c r="D115" s="9">
        <f>IF((D$1*1)&lt;=MAX('DB Costi-Ore YtD'!$A:$A),SUMIFS('DB Costi-Ore YtD'!$F:$F,'DB Costi-Ore YtD'!$A:$A,D$1,'DB Costi-Ore YtD'!$B:$B,$A115,'DB Costi-Ore YtD'!$E:$E,$C115),0)</f>
        <v>77</v>
      </c>
      <c r="E115" s="9">
        <f>IF((E$1*1)&lt;=MAX('DB Costi-Ore YtD'!$A:$A),SUMIFS('DB Costi-Ore YtD'!$F:$F,'DB Costi-Ore YtD'!$A:$A,E$1,'DB Costi-Ore YtD'!$B:$B,$A115,'DB Costi-Ore YtD'!$E:$E,$C115)-SUM($D115:D115),0)</f>
        <v>49</v>
      </c>
      <c r="F115" s="9">
        <f>IF((F$1*1)&lt;=MAX('DB Costi-Ore YtD'!$A:$A),SUMIFS('DB Costi-Ore YtD'!$F:$F,'DB Costi-Ore YtD'!$A:$A,F$1,'DB Costi-Ore YtD'!$B:$B,$A115,'DB Costi-Ore YtD'!$E:$E,$C115)-SUM($D115:E115),0)</f>
        <v>0</v>
      </c>
      <c r="G115" s="9">
        <f>IF((G$1*1)&lt;=MAX('DB Costi-Ore YtD'!$A:$A),SUMIFS('DB Costi-Ore YtD'!$F:$F,'DB Costi-Ore YtD'!$A:$A,G$1,'DB Costi-Ore YtD'!$B:$B,$A115,'DB Costi-Ore YtD'!$E:$E,$C115)-SUM($D115:F115),0)</f>
        <v>0</v>
      </c>
      <c r="H115" s="9">
        <f>IF((H$1*1)&lt;=MAX('DB Costi-Ore YtD'!$A:$A),SUMIFS('DB Costi-Ore YtD'!$F:$F,'DB Costi-Ore YtD'!$A:$A,H$1,'DB Costi-Ore YtD'!$B:$B,$A115,'DB Costi-Ore YtD'!$E:$E,$C115)-SUM($D115:G115),0)</f>
        <v>0</v>
      </c>
      <c r="I115" s="9">
        <f>IF((I$1*1)&lt;=MAX('DB Costi-Ore YtD'!$A:$A),SUMIFS('DB Costi-Ore YtD'!$F:$F,'DB Costi-Ore YtD'!$A:$A,I$1,'DB Costi-Ore YtD'!$B:$B,$A115,'DB Costi-Ore YtD'!$E:$E,$C115)-SUM($D115:H115),0)</f>
        <v>0</v>
      </c>
      <c r="J115" s="9">
        <f>IF((J$1*1)&lt;=MAX('DB Costi-Ore YtD'!$A:$A),SUMIFS('DB Costi-Ore YtD'!$F:$F,'DB Costi-Ore YtD'!$A:$A,J$1,'DB Costi-Ore YtD'!$B:$B,$A115,'DB Costi-Ore YtD'!$E:$E,$C115)-SUM($D115:I115),0)</f>
        <v>0</v>
      </c>
      <c r="K115" s="9">
        <f>IF((K$1*1)&lt;=MAX('DB Costi-Ore YtD'!$A:$A),SUMIFS('DB Costi-Ore YtD'!$F:$F,'DB Costi-Ore YtD'!$A:$A,K$1,'DB Costi-Ore YtD'!$B:$B,$A115,'DB Costi-Ore YtD'!$E:$E,$C115)-SUM($D115:J115),0)</f>
        <v>0</v>
      </c>
      <c r="L115" s="9">
        <f>IF((L$1*1)&lt;=MAX('DB Costi-Ore YtD'!$A:$A),SUMIFS('DB Costi-Ore YtD'!$F:$F,'DB Costi-Ore YtD'!$A:$A,L$1,'DB Costi-Ore YtD'!$B:$B,$A115,'DB Costi-Ore YtD'!$E:$E,$C115)-SUM($D115:K115),0)</f>
        <v>0</v>
      </c>
      <c r="M115" s="9">
        <f>IF((M$1*1)&lt;=MAX('DB Costi-Ore YtD'!$A:$A),SUMIFS('DB Costi-Ore YtD'!$F:$F,'DB Costi-Ore YtD'!$A:$A,M$1,'DB Costi-Ore YtD'!$B:$B,$A115,'DB Costi-Ore YtD'!$E:$E,$C115)-SUM($D115:L115),0)</f>
        <v>0</v>
      </c>
      <c r="N115" s="9">
        <f>IF((N$1*1)&lt;=MAX('DB Costi-Ore YtD'!$A:$A),SUMIFS('DB Costi-Ore YtD'!$F:$F,'DB Costi-Ore YtD'!$A:$A,N$1,'DB Costi-Ore YtD'!$B:$B,$A115,'DB Costi-Ore YtD'!$E:$E,$C115)-SUM($D115:M115),0)</f>
        <v>0</v>
      </c>
      <c r="O115" s="9">
        <f>IF((O$1*1)&lt;=MAX('DB Costi-Ore YtD'!$A:$A),SUMIFS('DB Costi-Ore YtD'!$F:$F,'DB Costi-Ore YtD'!$A:$A,O$1,'DB Costi-Ore YtD'!$B:$B,$A115,'DB Costi-Ore YtD'!$E:$E,$C115)-SUM($D115:N115),0)</f>
        <v>0</v>
      </c>
    </row>
    <row r="116" spans="1:15" x14ac:dyDescent="0.3">
      <c r="A116" s="9" t="s">
        <v>257</v>
      </c>
      <c r="B116" s="9" t="s">
        <v>258</v>
      </c>
      <c r="C116" s="9" t="s">
        <v>5</v>
      </c>
      <c r="D116" s="9">
        <f>IF((D$1*1)&lt;=MAX('DB Costi-Ore YtD'!$A:$A),SUMIFS('DB Costi-Ore YtD'!$F:$F,'DB Costi-Ore YtD'!$A:$A,D$1,'DB Costi-Ore YtD'!$B:$B,$A116,'DB Costi-Ore YtD'!$E:$E,$C116),0)</f>
        <v>0</v>
      </c>
      <c r="E116" s="9">
        <f>IF((E$1*1)&lt;=MAX('DB Costi-Ore YtD'!$A:$A),SUMIFS('DB Costi-Ore YtD'!$F:$F,'DB Costi-Ore YtD'!$A:$A,E$1,'DB Costi-Ore YtD'!$B:$B,$A116,'DB Costi-Ore YtD'!$E:$E,$C116)-SUM($D116:D116),0)</f>
        <v>0</v>
      </c>
      <c r="F116" s="9">
        <f>IF((F$1*1)&lt;=MAX('DB Costi-Ore YtD'!$A:$A),SUMIFS('DB Costi-Ore YtD'!$F:$F,'DB Costi-Ore YtD'!$A:$A,F$1,'DB Costi-Ore YtD'!$B:$B,$A116,'DB Costi-Ore YtD'!$E:$E,$C116)-SUM($D116:E116),0)</f>
        <v>0</v>
      </c>
      <c r="G116" s="9">
        <f>IF((G$1*1)&lt;=MAX('DB Costi-Ore YtD'!$A:$A),SUMIFS('DB Costi-Ore YtD'!$F:$F,'DB Costi-Ore YtD'!$A:$A,G$1,'DB Costi-Ore YtD'!$B:$B,$A116,'DB Costi-Ore YtD'!$E:$E,$C116)-SUM($D116:F116),0)</f>
        <v>0</v>
      </c>
      <c r="H116" s="9">
        <f>IF((H$1*1)&lt;=MAX('DB Costi-Ore YtD'!$A:$A),SUMIFS('DB Costi-Ore YtD'!$F:$F,'DB Costi-Ore YtD'!$A:$A,H$1,'DB Costi-Ore YtD'!$B:$B,$A116,'DB Costi-Ore YtD'!$E:$E,$C116)-SUM($D116:G116),0)</f>
        <v>0</v>
      </c>
      <c r="I116" s="9">
        <f>IF((I$1*1)&lt;=MAX('DB Costi-Ore YtD'!$A:$A),SUMIFS('DB Costi-Ore YtD'!$F:$F,'DB Costi-Ore YtD'!$A:$A,I$1,'DB Costi-Ore YtD'!$B:$B,$A116,'DB Costi-Ore YtD'!$E:$E,$C116)-SUM($D116:H116),0)</f>
        <v>0</v>
      </c>
      <c r="J116" s="9">
        <f>IF((J$1*1)&lt;=MAX('DB Costi-Ore YtD'!$A:$A),SUMIFS('DB Costi-Ore YtD'!$F:$F,'DB Costi-Ore YtD'!$A:$A,J$1,'DB Costi-Ore YtD'!$B:$B,$A116,'DB Costi-Ore YtD'!$E:$E,$C116)-SUM($D116:I116),0)</f>
        <v>0</v>
      </c>
      <c r="K116" s="9">
        <f>IF((K$1*1)&lt;=MAX('DB Costi-Ore YtD'!$A:$A),SUMIFS('DB Costi-Ore YtD'!$F:$F,'DB Costi-Ore YtD'!$A:$A,K$1,'DB Costi-Ore YtD'!$B:$B,$A116,'DB Costi-Ore YtD'!$E:$E,$C116)-SUM($D116:J116),0)</f>
        <v>0</v>
      </c>
      <c r="L116" s="9">
        <f>IF((L$1*1)&lt;=MAX('DB Costi-Ore YtD'!$A:$A),SUMIFS('DB Costi-Ore YtD'!$F:$F,'DB Costi-Ore YtD'!$A:$A,L$1,'DB Costi-Ore YtD'!$B:$B,$A116,'DB Costi-Ore YtD'!$E:$E,$C116)-SUM($D116:K116),0)</f>
        <v>0</v>
      </c>
      <c r="M116" s="9">
        <f>IF((M$1*1)&lt;=MAX('DB Costi-Ore YtD'!$A:$A),SUMIFS('DB Costi-Ore YtD'!$F:$F,'DB Costi-Ore YtD'!$A:$A,M$1,'DB Costi-Ore YtD'!$B:$B,$A116,'DB Costi-Ore YtD'!$E:$E,$C116)-SUM($D116:L116),0)</f>
        <v>0</v>
      </c>
      <c r="N116" s="9">
        <f>IF((N$1*1)&lt;=MAX('DB Costi-Ore YtD'!$A:$A),SUMIFS('DB Costi-Ore YtD'!$F:$F,'DB Costi-Ore YtD'!$A:$A,N$1,'DB Costi-Ore YtD'!$B:$B,$A116,'DB Costi-Ore YtD'!$E:$E,$C116)-SUM($D116:M116),0)</f>
        <v>0</v>
      </c>
      <c r="O116" s="9">
        <f>IF((O$1*1)&lt;=MAX('DB Costi-Ore YtD'!$A:$A),SUMIFS('DB Costi-Ore YtD'!$F:$F,'DB Costi-Ore YtD'!$A:$A,O$1,'DB Costi-Ore YtD'!$B:$B,$A116,'DB Costi-Ore YtD'!$E:$E,$C116)-SUM($D116:N116),0)</f>
        <v>0</v>
      </c>
    </row>
    <row r="117" spans="1:15" x14ac:dyDescent="0.3">
      <c r="A117" s="9" t="s">
        <v>259</v>
      </c>
      <c r="B117" s="9" t="s">
        <v>260</v>
      </c>
      <c r="C117" s="9" t="s">
        <v>2</v>
      </c>
      <c r="D117" s="9">
        <f>IF((D$1*1)&lt;=MAX('DB Costi-Ore YtD'!$A:$A),SUMIFS('DB Costi-Ore YtD'!$F:$F,'DB Costi-Ore YtD'!$A:$A,D$1,'DB Costi-Ore YtD'!$B:$B,$A117,'DB Costi-Ore YtD'!$E:$E,$C117),0)</f>
        <v>105</v>
      </c>
      <c r="E117" s="9">
        <f>IF((E$1*1)&lt;=MAX('DB Costi-Ore YtD'!$A:$A),SUMIFS('DB Costi-Ore YtD'!$F:$F,'DB Costi-Ore YtD'!$A:$A,E$1,'DB Costi-Ore YtD'!$B:$B,$A117,'DB Costi-Ore YtD'!$E:$E,$C117)-SUM($D117:D117),0)</f>
        <v>120.25</v>
      </c>
      <c r="F117" s="9">
        <f>IF((F$1*1)&lt;=MAX('DB Costi-Ore YtD'!$A:$A),SUMIFS('DB Costi-Ore YtD'!$F:$F,'DB Costi-Ore YtD'!$A:$A,F$1,'DB Costi-Ore YtD'!$B:$B,$A117,'DB Costi-Ore YtD'!$E:$E,$C117)-SUM($D117:E117),0)</f>
        <v>102.5</v>
      </c>
      <c r="G117" s="9">
        <f>IF((G$1*1)&lt;=MAX('DB Costi-Ore YtD'!$A:$A),SUMIFS('DB Costi-Ore YtD'!$F:$F,'DB Costi-Ore YtD'!$A:$A,G$1,'DB Costi-Ore YtD'!$B:$B,$A117,'DB Costi-Ore YtD'!$E:$E,$C117)-SUM($D117:F117),0)</f>
        <v>126.5</v>
      </c>
      <c r="H117" s="9">
        <f>IF((H$1*1)&lt;=MAX('DB Costi-Ore YtD'!$A:$A),SUMIFS('DB Costi-Ore YtD'!$F:$F,'DB Costi-Ore YtD'!$A:$A,H$1,'DB Costi-Ore YtD'!$B:$B,$A117,'DB Costi-Ore YtD'!$E:$E,$C117)-SUM($D117:G117),0)</f>
        <v>112.5</v>
      </c>
      <c r="I117" s="9">
        <f>IF((I$1*1)&lt;=MAX('DB Costi-Ore YtD'!$A:$A),SUMIFS('DB Costi-Ore YtD'!$F:$F,'DB Costi-Ore YtD'!$A:$A,I$1,'DB Costi-Ore YtD'!$B:$B,$A117,'DB Costi-Ore YtD'!$E:$E,$C117)-SUM($D117:H117),0)</f>
        <v>107</v>
      </c>
      <c r="J117" s="9">
        <f>IF((J$1*1)&lt;=MAX('DB Costi-Ore YtD'!$A:$A),SUMIFS('DB Costi-Ore YtD'!$F:$F,'DB Costi-Ore YtD'!$A:$A,J$1,'DB Costi-Ore YtD'!$B:$B,$A117,'DB Costi-Ore YtD'!$E:$E,$C117)-SUM($D117:I117),0)</f>
        <v>0</v>
      </c>
      <c r="K117" s="9">
        <f>IF((K$1*1)&lt;=MAX('DB Costi-Ore YtD'!$A:$A),SUMIFS('DB Costi-Ore YtD'!$F:$F,'DB Costi-Ore YtD'!$A:$A,K$1,'DB Costi-Ore YtD'!$B:$B,$A117,'DB Costi-Ore YtD'!$E:$E,$C117)-SUM($D117:J117),0)</f>
        <v>0</v>
      </c>
      <c r="L117" s="9">
        <f>IF((L$1*1)&lt;=MAX('DB Costi-Ore YtD'!$A:$A),SUMIFS('DB Costi-Ore YtD'!$F:$F,'DB Costi-Ore YtD'!$A:$A,L$1,'DB Costi-Ore YtD'!$B:$B,$A117,'DB Costi-Ore YtD'!$E:$E,$C117)-SUM($D117:K117),0)</f>
        <v>0</v>
      </c>
      <c r="M117" s="9">
        <f>IF((M$1*1)&lt;=MAX('DB Costi-Ore YtD'!$A:$A),SUMIFS('DB Costi-Ore YtD'!$F:$F,'DB Costi-Ore YtD'!$A:$A,M$1,'DB Costi-Ore YtD'!$B:$B,$A117,'DB Costi-Ore YtD'!$E:$E,$C117)-SUM($D117:L117),0)</f>
        <v>0</v>
      </c>
      <c r="N117" s="9">
        <f>IF((N$1*1)&lt;=MAX('DB Costi-Ore YtD'!$A:$A),SUMIFS('DB Costi-Ore YtD'!$F:$F,'DB Costi-Ore YtD'!$A:$A,N$1,'DB Costi-Ore YtD'!$B:$B,$A117,'DB Costi-Ore YtD'!$E:$E,$C117)-SUM($D117:M117),0)</f>
        <v>0</v>
      </c>
      <c r="O117" s="9">
        <f>IF((O$1*1)&lt;=MAX('DB Costi-Ore YtD'!$A:$A),SUMIFS('DB Costi-Ore YtD'!$F:$F,'DB Costi-Ore YtD'!$A:$A,O$1,'DB Costi-Ore YtD'!$B:$B,$A117,'DB Costi-Ore YtD'!$E:$E,$C117)-SUM($D117:N117),0)</f>
        <v>0</v>
      </c>
    </row>
    <row r="118" spans="1:15" x14ac:dyDescent="0.3">
      <c r="A118" s="9" t="s">
        <v>261</v>
      </c>
      <c r="B118" s="9" t="s">
        <v>262</v>
      </c>
      <c r="C118" s="9" t="s">
        <v>13</v>
      </c>
      <c r="D118" s="9">
        <f>IF((D$1*1)&lt;=MAX('DB Costi-Ore YtD'!$A:$A),SUMIFS('DB Costi-Ore YtD'!$F:$F,'DB Costi-Ore YtD'!$A:$A,D$1,'DB Costi-Ore YtD'!$B:$B,$A118,'DB Costi-Ore YtD'!$E:$E,$C118),0)</f>
        <v>67.5</v>
      </c>
      <c r="E118" s="9">
        <f>IF((E$1*1)&lt;=MAX('DB Costi-Ore YtD'!$A:$A),SUMIFS('DB Costi-Ore YtD'!$F:$F,'DB Costi-Ore YtD'!$A:$A,E$1,'DB Costi-Ore YtD'!$B:$B,$A118,'DB Costi-Ore YtD'!$E:$E,$C118)-SUM($D118:D118),0)</f>
        <v>69</v>
      </c>
      <c r="F118" s="9">
        <f>IF((F$1*1)&lt;=MAX('DB Costi-Ore YtD'!$A:$A),SUMIFS('DB Costi-Ore YtD'!$F:$F,'DB Costi-Ore YtD'!$A:$A,F$1,'DB Costi-Ore YtD'!$B:$B,$A118,'DB Costi-Ore YtD'!$E:$E,$C118)-SUM($D118:E118),0)</f>
        <v>0</v>
      </c>
      <c r="G118" s="9">
        <f>IF((G$1*1)&lt;=MAX('DB Costi-Ore YtD'!$A:$A),SUMIFS('DB Costi-Ore YtD'!$F:$F,'DB Costi-Ore YtD'!$A:$A,G$1,'DB Costi-Ore YtD'!$B:$B,$A118,'DB Costi-Ore YtD'!$E:$E,$C118)-SUM($D118:F118),0)</f>
        <v>0</v>
      </c>
      <c r="H118" s="9">
        <f>IF((H$1*1)&lt;=MAX('DB Costi-Ore YtD'!$A:$A),SUMIFS('DB Costi-Ore YtD'!$F:$F,'DB Costi-Ore YtD'!$A:$A,H$1,'DB Costi-Ore YtD'!$B:$B,$A118,'DB Costi-Ore YtD'!$E:$E,$C118)-SUM($D118:G118),0)</f>
        <v>0</v>
      </c>
      <c r="I118" s="9">
        <f>IF((I$1*1)&lt;=MAX('DB Costi-Ore YtD'!$A:$A),SUMIFS('DB Costi-Ore YtD'!$F:$F,'DB Costi-Ore YtD'!$A:$A,I$1,'DB Costi-Ore YtD'!$B:$B,$A118,'DB Costi-Ore YtD'!$E:$E,$C118)-SUM($D118:H118),0)</f>
        <v>0</v>
      </c>
      <c r="J118" s="9">
        <f>IF((J$1*1)&lt;=MAX('DB Costi-Ore YtD'!$A:$A),SUMIFS('DB Costi-Ore YtD'!$F:$F,'DB Costi-Ore YtD'!$A:$A,J$1,'DB Costi-Ore YtD'!$B:$B,$A118,'DB Costi-Ore YtD'!$E:$E,$C118)-SUM($D118:I118),0)</f>
        <v>0</v>
      </c>
      <c r="K118" s="9">
        <f>IF((K$1*1)&lt;=MAX('DB Costi-Ore YtD'!$A:$A),SUMIFS('DB Costi-Ore YtD'!$F:$F,'DB Costi-Ore YtD'!$A:$A,K$1,'DB Costi-Ore YtD'!$B:$B,$A118,'DB Costi-Ore YtD'!$E:$E,$C118)-SUM($D118:J118),0)</f>
        <v>0</v>
      </c>
      <c r="L118" s="9">
        <f>IF((L$1*1)&lt;=MAX('DB Costi-Ore YtD'!$A:$A),SUMIFS('DB Costi-Ore YtD'!$F:$F,'DB Costi-Ore YtD'!$A:$A,L$1,'DB Costi-Ore YtD'!$B:$B,$A118,'DB Costi-Ore YtD'!$E:$E,$C118)-SUM($D118:K118),0)</f>
        <v>0</v>
      </c>
      <c r="M118" s="9">
        <f>IF((M$1*1)&lt;=MAX('DB Costi-Ore YtD'!$A:$A),SUMIFS('DB Costi-Ore YtD'!$F:$F,'DB Costi-Ore YtD'!$A:$A,M$1,'DB Costi-Ore YtD'!$B:$B,$A118,'DB Costi-Ore YtD'!$E:$E,$C118)-SUM($D118:L118),0)</f>
        <v>0</v>
      </c>
      <c r="N118" s="9">
        <f>IF((N$1*1)&lt;=MAX('DB Costi-Ore YtD'!$A:$A),SUMIFS('DB Costi-Ore YtD'!$F:$F,'DB Costi-Ore YtD'!$A:$A,N$1,'DB Costi-Ore YtD'!$B:$B,$A118,'DB Costi-Ore YtD'!$E:$E,$C118)-SUM($D118:M118),0)</f>
        <v>0</v>
      </c>
      <c r="O118" s="9">
        <f>IF((O$1*1)&lt;=MAX('DB Costi-Ore YtD'!$A:$A),SUMIFS('DB Costi-Ore YtD'!$F:$F,'DB Costi-Ore YtD'!$A:$A,O$1,'DB Costi-Ore YtD'!$B:$B,$A118,'DB Costi-Ore YtD'!$E:$E,$C118)-SUM($D118:N118),0)</f>
        <v>0</v>
      </c>
    </row>
    <row r="119" spans="1:15" x14ac:dyDescent="0.3">
      <c r="A119" s="9" t="s">
        <v>263</v>
      </c>
      <c r="B119" s="9" t="s">
        <v>264</v>
      </c>
      <c r="C119" s="9" t="s">
        <v>2</v>
      </c>
      <c r="D119" s="9">
        <f>IF((D$1*1)&lt;=MAX('DB Costi-Ore YtD'!$A:$A),SUMIFS('DB Costi-Ore YtD'!$F:$F,'DB Costi-Ore YtD'!$A:$A,D$1,'DB Costi-Ore YtD'!$B:$B,$A119,'DB Costi-Ore YtD'!$E:$E,$C119),0)</f>
        <v>114</v>
      </c>
      <c r="E119" s="9">
        <f>IF((E$1*1)&lt;=MAX('DB Costi-Ore YtD'!$A:$A),SUMIFS('DB Costi-Ore YtD'!$F:$F,'DB Costi-Ore YtD'!$A:$A,E$1,'DB Costi-Ore YtD'!$B:$B,$A119,'DB Costi-Ore YtD'!$E:$E,$C119)-SUM($D119:D119),0)</f>
        <v>107</v>
      </c>
      <c r="F119" s="9">
        <f>IF((F$1*1)&lt;=MAX('DB Costi-Ore YtD'!$A:$A),SUMIFS('DB Costi-Ore YtD'!$F:$F,'DB Costi-Ore YtD'!$A:$A,F$1,'DB Costi-Ore YtD'!$B:$B,$A119,'DB Costi-Ore YtD'!$E:$E,$C119)-SUM($D119:E119),0)</f>
        <v>122</v>
      </c>
      <c r="G119" s="9">
        <f>IF((G$1*1)&lt;=MAX('DB Costi-Ore YtD'!$A:$A),SUMIFS('DB Costi-Ore YtD'!$F:$F,'DB Costi-Ore YtD'!$A:$A,G$1,'DB Costi-Ore YtD'!$B:$B,$A119,'DB Costi-Ore YtD'!$E:$E,$C119)-SUM($D119:F119),0)</f>
        <v>106</v>
      </c>
      <c r="H119" s="9">
        <f>IF((H$1*1)&lt;=MAX('DB Costi-Ore YtD'!$A:$A),SUMIFS('DB Costi-Ore YtD'!$F:$F,'DB Costi-Ore YtD'!$A:$A,H$1,'DB Costi-Ore YtD'!$B:$B,$A119,'DB Costi-Ore YtD'!$E:$E,$C119)-SUM($D119:G119),0)</f>
        <v>106.5</v>
      </c>
      <c r="I119" s="9">
        <f>IF((I$1*1)&lt;=MAX('DB Costi-Ore YtD'!$A:$A),SUMIFS('DB Costi-Ore YtD'!$F:$F,'DB Costi-Ore YtD'!$A:$A,I$1,'DB Costi-Ore YtD'!$B:$B,$A119,'DB Costi-Ore YtD'!$E:$E,$C119)-SUM($D119:H119),0)</f>
        <v>107</v>
      </c>
      <c r="J119" s="9">
        <f>IF((J$1*1)&lt;=MAX('DB Costi-Ore YtD'!$A:$A),SUMIFS('DB Costi-Ore YtD'!$F:$F,'DB Costi-Ore YtD'!$A:$A,J$1,'DB Costi-Ore YtD'!$B:$B,$A119,'DB Costi-Ore YtD'!$E:$E,$C119)-SUM($D119:I119),0)</f>
        <v>0</v>
      </c>
      <c r="K119" s="9">
        <f>IF((K$1*1)&lt;=MAX('DB Costi-Ore YtD'!$A:$A),SUMIFS('DB Costi-Ore YtD'!$F:$F,'DB Costi-Ore YtD'!$A:$A,K$1,'DB Costi-Ore YtD'!$B:$B,$A119,'DB Costi-Ore YtD'!$E:$E,$C119)-SUM($D119:J119),0)</f>
        <v>0</v>
      </c>
      <c r="L119" s="9">
        <f>IF((L$1*1)&lt;=MAX('DB Costi-Ore YtD'!$A:$A),SUMIFS('DB Costi-Ore YtD'!$F:$F,'DB Costi-Ore YtD'!$A:$A,L$1,'DB Costi-Ore YtD'!$B:$B,$A119,'DB Costi-Ore YtD'!$E:$E,$C119)-SUM($D119:K119),0)</f>
        <v>0</v>
      </c>
      <c r="M119" s="9">
        <f>IF((M$1*1)&lt;=MAX('DB Costi-Ore YtD'!$A:$A),SUMIFS('DB Costi-Ore YtD'!$F:$F,'DB Costi-Ore YtD'!$A:$A,M$1,'DB Costi-Ore YtD'!$B:$B,$A119,'DB Costi-Ore YtD'!$E:$E,$C119)-SUM($D119:L119),0)</f>
        <v>0</v>
      </c>
      <c r="N119" s="9">
        <f>IF((N$1*1)&lt;=MAX('DB Costi-Ore YtD'!$A:$A),SUMIFS('DB Costi-Ore YtD'!$F:$F,'DB Costi-Ore YtD'!$A:$A,N$1,'DB Costi-Ore YtD'!$B:$B,$A119,'DB Costi-Ore YtD'!$E:$E,$C119)-SUM($D119:M119),0)</f>
        <v>0</v>
      </c>
      <c r="O119" s="9">
        <f>IF((O$1*1)&lt;=MAX('DB Costi-Ore YtD'!$A:$A),SUMIFS('DB Costi-Ore YtD'!$F:$F,'DB Costi-Ore YtD'!$A:$A,O$1,'DB Costi-Ore YtD'!$B:$B,$A119,'DB Costi-Ore YtD'!$E:$E,$C119)-SUM($D119:N119),0)</f>
        <v>0</v>
      </c>
    </row>
    <row r="120" spans="1:15" x14ac:dyDescent="0.3">
      <c r="A120" s="9" t="s">
        <v>265</v>
      </c>
      <c r="B120" s="9" t="s">
        <v>266</v>
      </c>
      <c r="C120" s="9" t="s">
        <v>7</v>
      </c>
      <c r="D120" s="9">
        <f>IF((D$1*1)&lt;=MAX('DB Costi-Ore YtD'!$A:$A),SUMIFS('DB Costi-Ore YtD'!$F:$F,'DB Costi-Ore YtD'!$A:$A,D$1,'DB Costi-Ore YtD'!$B:$B,$A120,'DB Costi-Ore YtD'!$E:$E,$C120),0)</f>
        <v>144</v>
      </c>
      <c r="E120" s="9">
        <f>IF((E$1*1)&lt;=MAX('DB Costi-Ore YtD'!$A:$A),SUMIFS('DB Costi-Ore YtD'!$F:$F,'DB Costi-Ore YtD'!$A:$A,E$1,'DB Costi-Ore YtD'!$B:$B,$A120,'DB Costi-Ore YtD'!$E:$E,$C120)-SUM($D120:D120),0)</f>
        <v>137</v>
      </c>
      <c r="F120" s="9">
        <f>IF((F$1*1)&lt;=MAX('DB Costi-Ore YtD'!$A:$A),SUMIFS('DB Costi-Ore YtD'!$F:$F,'DB Costi-Ore YtD'!$A:$A,F$1,'DB Costi-Ore YtD'!$B:$B,$A120,'DB Costi-Ore YtD'!$E:$E,$C120)-SUM($D120:E120),0)</f>
        <v>133</v>
      </c>
      <c r="G120" s="9">
        <f>IF((G$1*1)&lt;=MAX('DB Costi-Ore YtD'!$A:$A),SUMIFS('DB Costi-Ore YtD'!$F:$F,'DB Costi-Ore YtD'!$A:$A,G$1,'DB Costi-Ore YtD'!$B:$B,$A120,'DB Costi-Ore YtD'!$E:$E,$C120)-SUM($D120:F120),0)</f>
        <v>151.5</v>
      </c>
      <c r="H120" s="9">
        <f>IF((H$1*1)&lt;=MAX('DB Costi-Ore YtD'!$A:$A),SUMIFS('DB Costi-Ore YtD'!$F:$F,'DB Costi-Ore YtD'!$A:$A,H$1,'DB Costi-Ore YtD'!$B:$B,$A120,'DB Costi-Ore YtD'!$E:$E,$C120)-SUM($D120:G120),0)</f>
        <v>152</v>
      </c>
      <c r="I120" s="9">
        <f>IF((I$1*1)&lt;=MAX('DB Costi-Ore YtD'!$A:$A),SUMIFS('DB Costi-Ore YtD'!$F:$F,'DB Costi-Ore YtD'!$A:$A,I$1,'DB Costi-Ore YtD'!$B:$B,$A120,'DB Costi-Ore YtD'!$E:$E,$C120)-SUM($D120:H120),0)</f>
        <v>129</v>
      </c>
      <c r="J120" s="9">
        <f>IF((J$1*1)&lt;=MAX('DB Costi-Ore YtD'!$A:$A),SUMIFS('DB Costi-Ore YtD'!$F:$F,'DB Costi-Ore YtD'!$A:$A,J$1,'DB Costi-Ore YtD'!$B:$B,$A120,'DB Costi-Ore YtD'!$E:$E,$C120)-SUM($D120:I120),0)</f>
        <v>0</v>
      </c>
      <c r="K120" s="9">
        <f>IF((K$1*1)&lt;=MAX('DB Costi-Ore YtD'!$A:$A),SUMIFS('DB Costi-Ore YtD'!$F:$F,'DB Costi-Ore YtD'!$A:$A,K$1,'DB Costi-Ore YtD'!$B:$B,$A120,'DB Costi-Ore YtD'!$E:$E,$C120)-SUM($D120:J120),0)</f>
        <v>0</v>
      </c>
      <c r="L120" s="9">
        <f>IF((L$1*1)&lt;=MAX('DB Costi-Ore YtD'!$A:$A),SUMIFS('DB Costi-Ore YtD'!$F:$F,'DB Costi-Ore YtD'!$A:$A,L$1,'DB Costi-Ore YtD'!$B:$B,$A120,'DB Costi-Ore YtD'!$E:$E,$C120)-SUM($D120:K120),0)</f>
        <v>0</v>
      </c>
      <c r="M120" s="9">
        <f>IF((M$1*1)&lt;=MAX('DB Costi-Ore YtD'!$A:$A),SUMIFS('DB Costi-Ore YtD'!$F:$F,'DB Costi-Ore YtD'!$A:$A,M$1,'DB Costi-Ore YtD'!$B:$B,$A120,'DB Costi-Ore YtD'!$E:$E,$C120)-SUM($D120:L120),0)</f>
        <v>0</v>
      </c>
      <c r="N120" s="9">
        <f>IF((N$1*1)&lt;=MAX('DB Costi-Ore YtD'!$A:$A),SUMIFS('DB Costi-Ore YtD'!$F:$F,'DB Costi-Ore YtD'!$A:$A,N$1,'DB Costi-Ore YtD'!$B:$B,$A120,'DB Costi-Ore YtD'!$E:$E,$C120)-SUM($D120:M120),0)</f>
        <v>0</v>
      </c>
      <c r="O120" s="9">
        <f>IF((O$1*1)&lt;=MAX('DB Costi-Ore YtD'!$A:$A),SUMIFS('DB Costi-Ore YtD'!$F:$F,'DB Costi-Ore YtD'!$A:$A,O$1,'DB Costi-Ore YtD'!$B:$B,$A120,'DB Costi-Ore YtD'!$E:$E,$C120)-SUM($D120:N120),0)</f>
        <v>0</v>
      </c>
    </row>
    <row r="121" spans="1:15" x14ac:dyDescent="0.3">
      <c r="A121" s="9" t="s">
        <v>267</v>
      </c>
      <c r="B121" s="9" t="s">
        <v>268</v>
      </c>
      <c r="C121" s="9" t="s">
        <v>10</v>
      </c>
      <c r="D121" s="9">
        <f>IF((D$1*1)&lt;=MAX('DB Costi-Ore YtD'!$A:$A),SUMIFS('DB Costi-Ore YtD'!$F:$F,'DB Costi-Ore YtD'!$A:$A,D$1,'DB Costi-Ore YtD'!$B:$B,$A121,'DB Costi-Ore YtD'!$E:$E,$C121),0)</f>
        <v>114</v>
      </c>
      <c r="E121" s="9">
        <f>IF((E$1*1)&lt;=MAX('DB Costi-Ore YtD'!$A:$A),SUMIFS('DB Costi-Ore YtD'!$F:$F,'DB Costi-Ore YtD'!$A:$A,E$1,'DB Costi-Ore YtD'!$B:$B,$A121,'DB Costi-Ore YtD'!$E:$E,$C121)-SUM($D121:D121),0)</f>
        <v>129</v>
      </c>
      <c r="F121" s="9">
        <f>IF((F$1*1)&lt;=MAX('DB Costi-Ore YtD'!$A:$A),SUMIFS('DB Costi-Ore YtD'!$F:$F,'DB Costi-Ore YtD'!$A:$A,F$1,'DB Costi-Ore YtD'!$B:$B,$A121,'DB Costi-Ore YtD'!$E:$E,$C121)-SUM($D121:E121),0)</f>
        <v>160</v>
      </c>
      <c r="G121" s="9">
        <f>IF((G$1*1)&lt;=MAX('DB Costi-Ore YtD'!$A:$A),SUMIFS('DB Costi-Ore YtD'!$F:$F,'DB Costi-Ore YtD'!$A:$A,G$1,'DB Costi-Ore YtD'!$B:$B,$A121,'DB Costi-Ore YtD'!$E:$E,$C121)-SUM($D121:F121),0)</f>
        <v>148.5</v>
      </c>
      <c r="H121" s="9">
        <f>IF((H$1*1)&lt;=MAX('DB Costi-Ore YtD'!$A:$A),SUMIFS('DB Costi-Ore YtD'!$F:$F,'DB Costi-Ore YtD'!$A:$A,H$1,'DB Costi-Ore YtD'!$B:$B,$A121,'DB Costi-Ore YtD'!$E:$E,$C121)-SUM($D121:G121),0)</f>
        <v>125</v>
      </c>
      <c r="I121" s="9">
        <f>IF((I$1*1)&lt;=MAX('DB Costi-Ore YtD'!$A:$A),SUMIFS('DB Costi-Ore YtD'!$F:$F,'DB Costi-Ore YtD'!$A:$A,I$1,'DB Costi-Ore YtD'!$B:$B,$A121,'DB Costi-Ore YtD'!$E:$E,$C121)-SUM($D121:H121),0)</f>
        <v>144</v>
      </c>
      <c r="J121" s="9">
        <f>IF((J$1*1)&lt;=MAX('DB Costi-Ore YtD'!$A:$A),SUMIFS('DB Costi-Ore YtD'!$F:$F,'DB Costi-Ore YtD'!$A:$A,J$1,'DB Costi-Ore YtD'!$B:$B,$A121,'DB Costi-Ore YtD'!$E:$E,$C121)-SUM($D121:I121),0)</f>
        <v>0</v>
      </c>
      <c r="K121" s="9">
        <f>IF((K$1*1)&lt;=MAX('DB Costi-Ore YtD'!$A:$A),SUMIFS('DB Costi-Ore YtD'!$F:$F,'DB Costi-Ore YtD'!$A:$A,K$1,'DB Costi-Ore YtD'!$B:$B,$A121,'DB Costi-Ore YtD'!$E:$E,$C121)-SUM($D121:J121),0)</f>
        <v>0</v>
      </c>
      <c r="L121" s="9">
        <f>IF((L$1*1)&lt;=MAX('DB Costi-Ore YtD'!$A:$A),SUMIFS('DB Costi-Ore YtD'!$F:$F,'DB Costi-Ore YtD'!$A:$A,L$1,'DB Costi-Ore YtD'!$B:$B,$A121,'DB Costi-Ore YtD'!$E:$E,$C121)-SUM($D121:K121),0)</f>
        <v>0</v>
      </c>
      <c r="M121" s="9">
        <f>IF((M$1*1)&lt;=MAX('DB Costi-Ore YtD'!$A:$A),SUMIFS('DB Costi-Ore YtD'!$F:$F,'DB Costi-Ore YtD'!$A:$A,M$1,'DB Costi-Ore YtD'!$B:$B,$A121,'DB Costi-Ore YtD'!$E:$E,$C121)-SUM($D121:L121),0)</f>
        <v>0</v>
      </c>
      <c r="N121" s="9">
        <f>IF((N$1*1)&lt;=MAX('DB Costi-Ore YtD'!$A:$A),SUMIFS('DB Costi-Ore YtD'!$F:$F,'DB Costi-Ore YtD'!$A:$A,N$1,'DB Costi-Ore YtD'!$B:$B,$A121,'DB Costi-Ore YtD'!$E:$E,$C121)-SUM($D121:M121),0)</f>
        <v>0</v>
      </c>
      <c r="O121" s="9">
        <f>IF((O$1*1)&lt;=MAX('DB Costi-Ore YtD'!$A:$A),SUMIFS('DB Costi-Ore YtD'!$F:$F,'DB Costi-Ore YtD'!$A:$A,O$1,'DB Costi-Ore YtD'!$B:$B,$A121,'DB Costi-Ore YtD'!$E:$E,$C121)-SUM($D121:N121),0)</f>
        <v>0</v>
      </c>
    </row>
    <row r="122" spans="1:15" x14ac:dyDescent="0.3">
      <c r="A122" s="9" t="s">
        <v>269</v>
      </c>
      <c r="B122" s="9" t="s">
        <v>270</v>
      </c>
      <c r="C122" s="9" t="s">
        <v>2</v>
      </c>
      <c r="D122" s="9">
        <f>IF((D$1*1)&lt;=MAX('DB Costi-Ore YtD'!$A:$A),SUMIFS('DB Costi-Ore YtD'!$F:$F,'DB Costi-Ore YtD'!$A:$A,D$1,'DB Costi-Ore YtD'!$B:$B,$A122,'DB Costi-Ore YtD'!$E:$E,$C122),0)</f>
        <v>144</v>
      </c>
      <c r="E122" s="9">
        <f>IF((E$1*1)&lt;=MAX('DB Costi-Ore YtD'!$A:$A),SUMIFS('DB Costi-Ore YtD'!$F:$F,'DB Costi-Ore YtD'!$A:$A,E$1,'DB Costi-Ore YtD'!$B:$B,$A122,'DB Costi-Ore YtD'!$E:$E,$C122)-SUM($D122:D122),0)</f>
        <v>113</v>
      </c>
      <c r="F122" s="9">
        <f>IF((F$1*1)&lt;=MAX('DB Costi-Ore YtD'!$A:$A),SUMIFS('DB Costi-Ore YtD'!$F:$F,'DB Costi-Ore YtD'!$A:$A,F$1,'DB Costi-Ore YtD'!$B:$B,$A122,'DB Costi-Ore YtD'!$E:$E,$C122)-SUM($D122:E122),0)</f>
        <v>140.75</v>
      </c>
      <c r="G122" s="9">
        <f>IF((G$1*1)&lt;=MAX('DB Costi-Ore YtD'!$A:$A),SUMIFS('DB Costi-Ore YtD'!$F:$F,'DB Costi-Ore YtD'!$A:$A,G$1,'DB Costi-Ore YtD'!$B:$B,$A122,'DB Costi-Ore YtD'!$E:$E,$C122)-SUM($D122:F122),0)</f>
        <v>134.25</v>
      </c>
      <c r="H122" s="9">
        <f>IF((H$1*1)&lt;=MAX('DB Costi-Ore YtD'!$A:$A),SUMIFS('DB Costi-Ore YtD'!$F:$F,'DB Costi-Ore YtD'!$A:$A,H$1,'DB Costi-Ore YtD'!$B:$B,$A122,'DB Costi-Ore YtD'!$E:$E,$C122)-SUM($D122:G122),0)</f>
        <v>117.75</v>
      </c>
      <c r="I122" s="9">
        <f>IF((I$1*1)&lt;=MAX('DB Costi-Ore YtD'!$A:$A),SUMIFS('DB Costi-Ore YtD'!$F:$F,'DB Costi-Ore YtD'!$A:$A,I$1,'DB Costi-Ore YtD'!$B:$B,$A122,'DB Costi-Ore YtD'!$E:$E,$C122)-SUM($D122:H122),0)</f>
        <v>133.75</v>
      </c>
      <c r="J122" s="9">
        <f>IF((J$1*1)&lt;=MAX('DB Costi-Ore YtD'!$A:$A),SUMIFS('DB Costi-Ore YtD'!$F:$F,'DB Costi-Ore YtD'!$A:$A,J$1,'DB Costi-Ore YtD'!$B:$B,$A122,'DB Costi-Ore YtD'!$E:$E,$C122)-SUM($D122:I122),0)</f>
        <v>0</v>
      </c>
      <c r="K122" s="9">
        <f>IF((K$1*1)&lt;=MAX('DB Costi-Ore YtD'!$A:$A),SUMIFS('DB Costi-Ore YtD'!$F:$F,'DB Costi-Ore YtD'!$A:$A,K$1,'DB Costi-Ore YtD'!$B:$B,$A122,'DB Costi-Ore YtD'!$E:$E,$C122)-SUM($D122:J122),0)</f>
        <v>0</v>
      </c>
      <c r="L122" s="9">
        <f>IF((L$1*1)&lt;=MAX('DB Costi-Ore YtD'!$A:$A),SUMIFS('DB Costi-Ore YtD'!$F:$F,'DB Costi-Ore YtD'!$A:$A,L$1,'DB Costi-Ore YtD'!$B:$B,$A122,'DB Costi-Ore YtD'!$E:$E,$C122)-SUM($D122:K122),0)</f>
        <v>0</v>
      </c>
      <c r="M122" s="9">
        <f>IF((M$1*1)&lt;=MAX('DB Costi-Ore YtD'!$A:$A),SUMIFS('DB Costi-Ore YtD'!$F:$F,'DB Costi-Ore YtD'!$A:$A,M$1,'DB Costi-Ore YtD'!$B:$B,$A122,'DB Costi-Ore YtD'!$E:$E,$C122)-SUM($D122:L122),0)</f>
        <v>0</v>
      </c>
      <c r="N122" s="9">
        <f>IF((N$1*1)&lt;=MAX('DB Costi-Ore YtD'!$A:$A),SUMIFS('DB Costi-Ore YtD'!$F:$F,'DB Costi-Ore YtD'!$A:$A,N$1,'DB Costi-Ore YtD'!$B:$B,$A122,'DB Costi-Ore YtD'!$E:$E,$C122)-SUM($D122:M122),0)</f>
        <v>0</v>
      </c>
      <c r="O122" s="9">
        <f>IF((O$1*1)&lt;=MAX('DB Costi-Ore YtD'!$A:$A),SUMIFS('DB Costi-Ore YtD'!$F:$F,'DB Costi-Ore YtD'!$A:$A,O$1,'DB Costi-Ore YtD'!$B:$B,$A122,'DB Costi-Ore YtD'!$E:$E,$C122)-SUM($D122:N122),0)</f>
        <v>0</v>
      </c>
    </row>
    <row r="123" spans="1:15" x14ac:dyDescent="0.3">
      <c r="A123" s="9" t="s">
        <v>271</v>
      </c>
      <c r="B123" s="9" t="s">
        <v>272</v>
      </c>
      <c r="C123" s="9" t="s">
        <v>2</v>
      </c>
      <c r="D123" s="9">
        <f>IF((D$1*1)&lt;=MAX('DB Costi-Ore YtD'!$A:$A),SUMIFS('DB Costi-Ore YtD'!$F:$F,'DB Costi-Ore YtD'!$A:$A,D$1,'DB Costi-Ore YtD'!$B:$B,$A123,'DB Costi-Ore YtD'!$E:$E,$C123),0)</f>
        <v>128.5</v>
      </c>
      <c r="E123" s="9">
        <f>IF((E$1*1)&lt;=MAX('DB Costi-Ore YtD'!$A:$A),SUMIFS('DB Costi-Ore YtD'!$F:$F,'DB Costi-Ore YtD'!$A:$A,E$1,'DB Costi-Ore YtD'!$B:$B,$A123,'DB Costi-Ore YtD'!$E:$E,$C123)-SUM($D123:D123),0)</f>
        <v>131</v>
      </c>
      <c r="F123" s="9">
        <f>IF((F$1*1)&lt;=MAX('DB Costi-Ore YtD'!$A:$A),SUMIFS('DB Costi-Ore YtD'!$F:$F,'DB Costi-Ore YtD'!$A:$A,F$1,'DB Costi-Ore YtD'!$B:$B,$A123,'DB Costi-Ore YtD'!$E:$E,$C123)-SUM($D123:E123),0)</f>
        <v>127.5</v>
      </c>
      <c r="G123" s="9">
        <f>IF((G$1*1)&lt;=MAX('DB Costi-Ore YtD'!$A:$A),SUMIFS('DB Costi-Ore YtD'!$F:$F,'DB Costi-Ore YtD'!$A:$A,G$1,'DB Costi-Ore YtD'!$B:$B,$A123,'DB Costi-Ore YtD'!$E:$E,$C123)-SUM($D123:F123),0)</f>
        <v>105</v>
      </c>
      <c r="H123" s="9">
        <f>IF((H$1*1)&lt;=MAX('DB Costi-Ore YtD'!$A:$A),SUMIFS('DB Costi-Ore YtD'!$F:$F,'DB Costi-Ore YtD'!$A:$A,H$1,'DB Costi-Ore YtD'!$B:$B,$A123,'DB Costi-Ore YtD'!$E:$E,$C123)-SUM($D123:G123),0)</f>
        <v>84</v>
      </c>
      <c r="I123" s="9">
        <f>IF((I$1*1)&lt;=MAX('DB Costi-Ore YtD'!$A:$A),SUMIFS('DB Costi-Ore YtD'!$F:$F,'DB Costi-Ore YtD'!$A:$A,I$1,'DB Costi-Ore YtD'!$B:$B,$A123,'DB Costi-Ore YtD'!$E:$E,$C123)-SUM($D123:H123),0)</f>
        <v>130.5</v>
      </c>
      <c r="J123" s="9">
        <f>IF((J$1*1)&lt;=MAX('DB Costi-Ore YtD'!$A:$A),SUMIFS('DB Costi-Ore YtD'!$F:$F,'DB Costi-Ore YtD'!$A:$A,J$1,'DB Costi-Ore YtD'!$B:$B,$A123,'DB Costi-Ore YtD'!$E:$E,$C123)-SUM($D123:I123),0)</f>
        <v>0</v>
      </c>
      <c r="K123" s="9">
        <f>IF((K$1*1)&lt;=MAX('DB Costi-Ore YtD'!$A:$A),SUMIFS('DB Costi-Ore YtD'!$F:$F,'DB Costi-Ore YtD'!$A:$A,K$1,'DB Costi-Ore YtD'!$B:$B,$A123,'DB Costi-Ore YtD'!$E:$E,$C123)-SUM($D123:J123),0)</f>
        <v>0</v>
      </c>
      <c r="L123" s="9">
        <f>IF((L$1*1)&lt;=MAX('DB Costi-Ore YtD'!$A:$A),SUMIFS('DB Costi-Ore YtD'!$F:$F,'DB Costi-Ore YtD'!$A:$A,L$1,'DB Costi-Ore YtD'!$B:$B,$A123,'DB Costi-Ore YtD'!$E:$E,$C123)-SUM($D123:K123),0)</f>
        <v>0</v>
      </c>
      <c r="M123" s="9">
        <f>IF((M$1*1)&lt;=MAX('DB Costi-Ore YtD'!$A:$A),SUMIFS('DB Costi-Ore YtD'!$F:$F,'DB Costi-Ore YtD'!$A:$A,M$1,'DB Costi-Ore YtD'!$B:$B,$A123,'DB Costi-Ore YtD'!$E:$E,$C123)-SUM($D123:L123),0)</f>
        <v>0</v>
      </c>
      <c r="N123" s="9">
        <f>IF((N$1*1)&lt;=MAX('DB Costi-Ore YtD'!$A:$A),SUMIFS('DB Costi-Ore YtD'!$F:$F,'DB Costi-Ore YtD'!$A:$A,N$1,'DB Costi-Ore YtD'!$B:$B,$A123,'DB Costi-Ore YtD'!$E:$E,$C123)-SUM($D123:M123),0)</f>
        <v>0</v>
      </c>
      <c r="O123" s="9">
        <f>IF((O$1*1)&lt;=MAX('DB Costi-Ore YtD'!$A:$A),SUMIFS('DB Costi-Ore YtD'!$F:$F,'DB Costi-Ore YtD'!$A:$A,O$1,'DB Costi-Ore YtD'!$B:$B,$A123,'DB Costi-Ore YtD'!$E:$E,$C123)-SUM($D123:N123),0)</f>
        <v>0</v>
      </c>
    </row>
    <row r="124" spans="1:15" x14ac:dyDescent="0.3">
      <c r="A124" s="9" t="s">
        <v>273</v>
      </c>
      <c r="B124" s="9" t="s">
        <v>274</v>
      </c>
      <c r="C124" s="9" t="s">
        <v>3</v>
      </c>
      <c r="D124" s="9">
        <f>IF((D$1*1)&lt;=MAX('DB Costi-Ore YtD'!$A:$A),SUMIFS('DB Costi-Ore YtD'!$F:$F,'DB Costi-Ore YtD'!$A:$A,D$1,'DB Costi-Ore YtD'!$B:$B,$A124,'DB Costi-Ore YtD'!$E:$E,$C124),0)</f>
        <v>147.25</v>
      </c>
      <c r="E124" s="9">
        <f>IF((E$1*1)&lt;=MAX('DB Costi-Ore YtD'!$A:$A),SUMIFS('DB Costi-Ore YtD'!$F:$F,'DB Costi-Ore YtD'!$A:$A,E$1,'DB Costi-Ore YtD'!$B:$B,$A124,'DB Costi-Ore YtD'!$E:$E,$C124)-SUM($D124:D124),0)</f>
        <v>83.5</v>
      </c>
      <c r="F124" s="9">
        <f>IF((F$1*1)&lt;=MAX('DB Costi-Ore YtD'!$A:$A),SUMIFS('DB Costi-Ore YtD'!$F:$F,'DB Costi-Ore YtD'!$A:$A,F$1,'DB Costi-Ore YtD'!$B:$B,$A124,'DB Costi-Ore YtD'!$E:$E,$C124)-SUM($D124:E124),0)</f>
        <v>145</v>
      </c>
      <c r="G124" s="9">
        <f>IF((G$1*1)&lt;=MAX('DB Costi-Ore YtD'!$A:$A),SUMIFS('DB Costi-Ore YtD'!$F:$F,'DB Costi-Ore YtD'!$A:$A,G$1,'DB Costi-Ore YtD'!$B:$B,$A124,'DB Costi-Ore YtD'!$E:$E,$C124)-SUM($D124:F124),0)</f>
        <v>96</v>
      </c>
      <c r="H124" s="9">
        <f>IF((H$1*1)&lt;=MAX('DB Costi-Ore YtD'!$A:$A),SUMIFS('DB Costi-Ore YtD'!$F:$F,'DB Costi-Ore YtD'!$A:$A,H$1,'DB Costi-Ore YtD'!$B:$B,$A124,'DB Costi-Ore YtD'!$E:$E,$C124)-SUM($D124:G124),0)</f>
        <v>119.5</v>
      </c>
      <c r="I124" s="9">
        <f>IF((I$1*1)&lt;=MAX('DB Costi-Ore YtD'!$A:$A),SUMIFS('DB Costi-Ore YtD'!$F:$F,'DB Costi-Ore YtD'!$A:$A,I$1,'DB Costi-Ore YtD'!$B:$B,$A124,'DB Costi-Ore YtD'!$E:$E,$C124)-SUM($D124:H124),0)</f>
        <v>127.75</v>
      </c>
      <c r="J124" s="9">
        <f>IF((J$1*1)&lt;=MAX('DB Costi-Ore YtD'!$A:$A),SUMIFS('DB Costi-Ore YtD'!$F:$F,'DB Costi-Ore YtD'!$A:$A,J$1,'DB Costi-Ore YtD'!$B:$B,$A124,'DB Costi-Ore YtD'!$E:$E,$C124)-SUM($D124:I124),0)</f>
        <v>0</v>
      </c>
      <c r="K124" s="9">
        <f>IF((K$1*1)&lt;=MAX('DB Costi-Ore YtD'!$A:$A),SUMIFS('DB Costi-Ore YtD'!$F:$F,'DB Costi-Ore YtD'!$A:$A,K$1,'DB Costi-Ore YtD'!$B:$B,$A124,'DB Costi-Ore YtD'!$E:$E,$C124)-SUM($D124:J124),0)</f>
        <v>0</v>
      </c>
      <c r="L124" s="9">
        <f>IF((L$1*1)&lt;=MAX('DB Costi-Ore YtD'!$A:$A),SUMIFS('DB Costi-Ore YtD'!$F:$F,'DB Costi-Ore YtD'!$A:$A,L$1,'DB Costi-Ore YtD'!$B:$B,$A124,'DB Costi-Ore YtD'!$E:$E,$C124)-SUM($D124:K124),0)</f>
        <v>0</v>
      </c>
      <c r="M124" s="9">
        <f>IF((M$1*1)&lt;=MAX('DB Costi-Ore YtD'!$A:$A),SUMIFS('DB Costi-Ore YtD'!$F:$F,'DB Costi-Ore YtD'!$A:$A,M$1,'DB Costi-Ore YtD'!$B:$B,$A124,'DB Costi-Ore YtD'!$E:$E,$C124)-SUM($D124:L124),0)</f>
        <v>0</v>
      </c>
      <c r="N124" s="9">
        <f>IF((N$1*1)&lt;=MAX('DB Costi-Ore YtD'!$A:$A),SUMIFS('DB Costi-Ore YtD'!$F:$F,'DB Costi-Ore YtD'!$A:$A,N$1,'DB Costi-Ore YtD'!$B:$B,$A124,'DB Costi-Ore YtD'!$E:$E,$C124)-SUM($D124:M124),0)</f>
        <v>0</v>
      </c>
      <c r="O124" s="9">
        <f>IF((O$1*1)&lt;=MAX('DB Costi-Ore YtD'!$A:$A),SUMIFS('DB Costi-Ore YtD'!$F:$F,'DB Costi-Ore YtD'!$A:$A,O$1,'DB Costi-Ore YtD'!$B:$B,$A124,'DB Costi-Ore YtD'!$E:$E,$C124)-SUM($D124:N124),0)</f>
        <v>0</v>
      </c>
    </row>
    <row r="125" spans="1:15" x14ac:dyDescent="0.3">
      <c r="A125" s="9" t="s">
        <v>275</v>
      </c>
      <c r="B125" s="9" t="s">
        <v>276</v>
      </c>
      <c r="C125" s="9" t="s">
        <v>13</v>
      </c>
      <c r="D125" s="9">
        <f>IF((D$1*1)&lt;=MAX('DB Costi-Ore YtD'!$A:$A),SUMIFS('DB Costi-Ore YtD'!$F:$F,'DB Costi-Ore YtD'!$A:$A,D$1,'DB Costi-Ore YtD'!$B:$B,$A125,'DB Costi-Ore YtD'!$E:$E,$C125),0)</f>
        <v>109.5</v>
      </c>
      <c r="E125" s="9">
        <f>IF((E$1*1)&lt;=MAX('DB Costi-Ore YtD'!$A:$A),SUMIFS('DB Costi-Ore YtD'!$F:$F,'DB Costi-Ore YtD'!$A:$A,E$1,'DB Costi-Ore YtD'!$B:$B,$A125,'DB Costi-Ore YtD'!$E:$E,$C125)-SUM($D125:D125),0)</f>
        <v>82</v>
      </c>
      <c r="F125" s="9">
        <f>IF((F$1*1)&lt;=MAX('DB Costi-Ore YtD'!$A:$A),SUMIFS('DB Costi-Ore YtD'!$F:$F,'DB Costi-Ore YtD'!$A:$A,F$1,'DB Costi-Ore YtD'!$B:$B,$A125,'DB Costi-Ore YtD'!$E:$E,$C125)-SUM($D125:E125),0)</f>
        <v>137.5</v>
      </c>
      <c r="G125" s="9">
        <f>IF((G$1*1)&lt;=MAX('DB Costi-Ore YtD'!$A:$A),SUMIFS('DB Costi-Ore YtD'!$F:$F,'DB Costi-Ore YtD'!$A:$A,G$1,'DB Costi-Ore YtD'!$B:$B,$A125,'DB Costi-Ore YtD'!$E:$E,$C125)-SUM($D125:F125),0)</f>
        <v>0</v>
      </c>
      <c r="H125" s="9">
        <f>IF((H$1*1)&lt;=MAX('DB Costi-Ore YtD'!$A:$A),SUMIFS('DB Costi-Ore YtD'!$F:$F,'DB Costi-Ore YtD'!$A:$A,H$1,'DB Costi-Ore YtD'!$B:$B,$A125,'DB Costi-Ore YtD'!$E:$E,$C125)-SUM($D125:G125),0)</f>
        <v>0</v>
      </c>
      <c r="I125" s="9">
        <f>IF((I$1*1)&lt;=MAX('DB Costi-Ore YtD'!$A:$A),SUMIFS('DB Costi-Ore YtD'!$F:$F,'DB Costi-Ore YtD'!$A:$A,I$1,'DB Costi-Ore YtD'!$B:$B,$A125,'DB Costi-Ore YtD'!$E:$E,$C125)-SUM($D125:H125),0)</f>
        <v>0</v>
      </c>
      <c r="J125" s="9">
        <f>IF((J$1*1)&lt;=MAX('DB Costi-Ore YtD'!$A:$A),SUMIFS('DB Costi-Ore YtD'!$F:$F,'DB Costi-Ore YtD'!$A:$A,J$1,'DB Costi-Ore YtD'!$B:$B,$A125,'DB Costi-Ore YtD'!$E:$E,$C125)-SUM($D125:I125),0)</f>
        <v>0</v>
      </c>
      <c r="K125" s="9">
        <f>IF((K$1*1)&lt;=MAX('DB Costi-Ore YtD'!$A:$A),SUMIFS('DB Costi-Ore YtD'!$F:$F,'DB Costi-Ore YtD'!$A:$A,K$1,'DB Costi-Ore YtD'!$B:$B,$A125,'DB Costi-Ore YtD'!$E:$E,$C125)-SUM($D125:J125),0)</f>
        <v>0</v>
      </c>
      <c r="L125" s="9">
        <f>IF((L$1*1)&lt;=MAX('DB Costi-Ore YtD'!$A:$A),SUMIFS('DB Costi-Ore YtD'!$F:$F,'DB Costi-Ore YtD'!$A:$A,L$1,'DB Costi-Ore YtD'!$B:$B,$A125,'DB Costi-Ore YtD'!$E:$E,$C125)-SUM($D125:K125),0)</f>
        <v>0</v>
      </c>
      <c r="M125" s="9">
        <f>IF((M$1*1)&lt;=MAX('DB Costi-Ore YtD'!$A:$A),SUMIFS('DB Costi-Ore YtD'!$F:$F,'DB Costi-Ore YtD'!$A:$A,M$1,'DB Costi-Ore YtD'!$B:$B,$A125,'DB Costi-Ore YtD'!$E:$E,$C125)-SUM($D125:L125),0)</f>
        <v>0</v>
      </c>
      <c r="N125" s="9">
        <f>IF((N$1*1)&lt;=MAX('DB Costi-Ore YtD'!$A:$A),SUMIFS('DB Costi-Ore YtD'!$F:$F,'DB Costi-Ore YtD'!$A:$A,N$1,'DB Costi-Ore YtD'!$B:$B,$A125,'DB Costi-Ore YtD'!$E:$E,$C125)-SUM($D125:M125),0)</f>
        <v>0</v>
      </c>
      <c r="O125" s="9">
        <f>IF((O$1*1)&lt;=MAX('DB Costi-Ore YtD'!$A:$A),SUMIFS('DB Costi-Ore YtD'!$F:$F,'DB Costi-Ore YtD'!$A:$A,O$1,'DB Costi-Ore YtD'!$B:$B,$A125,'DB Costi-Ore YtD'!$E:$E,$C125)-SUM($D125:N125),0)</f>
        <v>0</v>
      </c>
    </row>
    <row r="126" spans="1:15" x14ac:dyDescent="0.3">
      <c r="A126" s="9" t="s">
        <v>277</v>
      </c>
      <c r="B126" s="9" t="s">
        <v>278</v>
      </c>
      <c r="C126" s="9" t="s">
        <v>3</v>
      </c>
      <c r="D126" s="9">
        <f>IF((D$1*1)&lt;=MAX('DB Costi-Ore YtD'!$A:$A),SUMIFS('DB Costi-Ore YtD'!$F:$F,'DB Costi-Ore YtD'!$A:$A,D$1,'DB Costi-Ore YtD'!$B:$B,$A126,'DB Costi-Ore YtD'!$E:$E,$C126),0)</f>
        <v>148.75</v>
      </c>
      <c r="E126" s="9">
        <f>IF((E$1*1)&lt;=MAX('DB Costi-Ore YtD'!$A:$A),SUMIFS('DB Costi-Ore YtD'!$F:$F,'DB Costi-Ore YtD'!$A:$A,E$1,'DB Costi-Ore YtD'!$B:$B,$A126,'DB Costi-Ore YtD'!$E:$E,$C126)-SUM($D126:D126),0)</f>
        <v>142</v>
      </c>
      <c r="F126" s="9">
        <f>IF((F$1*1)&lt;=MAX('DB Costi-Ore YtD'!$A:$A),SUMIFS('DB Costi-Ore YtD'!$F:$F,'DB Costi-Ore YtD'!$A:$A,F$1,'DB Costi-Ore YtD'!$B:$B,$A126,'DB Costi-Ore YtD'!$E:$E,$C126)-SUM($D126:E126),0)</f>
        <v>139.5</v>
      </c>
      <c r="G126" s="9">
        <f>IF((G$1*1)&lt;=MAX('DB Costi-Ore YtD'!$A:$A),SUMIFS('DB Costi-Ore YtD'!$F:$F,'DB Costi-Ore YtD'!$A:$A,G$1,'DB Costi-Ore YtD'!$B:$B,$A126,'DB Costi-Ore YtD'!$E:$E,$C126)-SUM($D126:F126),0)</f>
        <v>137</v>
      </c>
      <c r="H126" s="9">
        <f>IF((H$1*1)&lt;=MAX('DB Costi-Ore YtD'!$A:$A),SUMIFS('DB Costi-Ore YtD'!$F:$F,'DB Costi-Ore YtD'!$A:$A,H$1,'DB Costi-Ore YtD'!$B:$B,$A126,'DB Costi-Ore YtD'!$E:$E,$C126)-SUM($D126:G126),0)</f>
        <v>140.75</v>
      </c>
      <c r="I126" s="9">
        <f>IF((I$1*1)&lt;=MAX('DB Costi-Ore YtD'!$A:$A),SUMIFS('DB Costi-Ore YtD'!$F:$F,'DB Costi-Ore YtD'!$A:$A,I$1,'DB Costi-Ore YtD'!$B:$B,$A126,'DB Costi-Ore YtD'!$E:$E,$C126)-SUM($D126:H126),0)</f>
        <v>124.5</v>
      </c>
      <c r="J126" s="9">
        <f>IF((J$1*1)&lt;=MAX('DB Costi-Ore YtD'!$A:$A),SUMIFS('DB Costi-Ore YtD'!$F:$F,'DB Costi-Ore YtD'!$A:$A,J$1,'DB Costi-Ore YtD'!$B:$B,$A126,'DB Costi-Ore YtD'!$E:$E,$C126)-SUM($D126:I126),0)</f>
        <v>0</v>
      </c>
      <c r="K126" s="9">
        <f>IF((K$1*1)&lt;=MAX('DB Costi-Ore YtD'!$A:$A),SUMIFS('DB Costi-Ore YtD'!$F:$F,'DB Costi-Ore YtD'!$A:$A,K$1,'DB Costi-Ore YtD'!$B:$B,$A126,'DB Costi-Ore YtD'!$E:$E,$C126)-SUM($D126:J126),0)</f>
        <v>0</v>
      </c>
      <c r="L126" s="9">
        <f>IF((L$1*1)&lt;=MAX('DB Costi-Ore YtD'!$A:$A),SUMIFS('DB Costi-Ore YtD'!$F:$F,'DB Costi-Ore YtD'!$A:$A,L$1,'DB Costi-Ore YtD'!$B:$B,$A126,'DB Costi-Ore YtD'!$E:$E,$C126)-SUM($D126:K126),0)</f>
        <v>0</v>
      </c>
      <c r="M126" s="9">
        <f>IF((M$1*1)&lt;=MAX('DB Costi-Ore YtD'!$A:$A),SUMIFS('DB Costi-Ore YtD'!$F:$F,'DB Costi-Ore YtD'!$A:$A,M$1,'DB Costi-Ore YtD'!$B:$B,$A126,'DB Costi-Ore YtD'!$E:$E,$C126)-SUM($D126:L126),0)</f>
        <v>0</v>
      </c>
      <c r="N126" s="9">
        <f>IF((N$1*1)&lt;=MAX('DB Costi-Ore YtD'!$A:$A),SUMIFS('DB Costi-Ore YtD'!$F:$F,'DB Costi-Ore YtD'!$A:$A,N$1,'DB Costi-Ore YtD'!$B:$B,$A126,'DB Costi-Ore YtD'!$E:$E,$C126)-SUM($D126:M126),0)</f>
        <v>0</v>
      </c>
      <c r="O126" s="9">
        <f>IF((O$1*1)&lt;=MAX('DB Costi-Ore YtD'!$A:$A),SUMIFS('DB Costi-Ore YtD'!$F:$F,'DB Costi-Ore YtD'!$A:$A,O$1,'DB Costi-Ore YtD'!$B:$B,$A126,'DB Costi-Ore YtD'!$E:$E,$C126)-SUM($D126:N126),0)</f>
        <v>0</v>
      </c>
    </row>
    <row r="127" spans="1:15" x14ac:dyDescent="0.3">
      <c r="A127" s="9" t="s">
        <v>279</v>
      </c>
      <c r="B127" s="9" t="s">
        <v>280</v>
      </c>
      <c r="C127" s="9" t="s">
        <v>13</v>
      </c>
      <c r="D127" s="9">
        <f>IF((D$1*1)&lt;=MAX('DB Costi-Ore YtD'!$A:$A),SUMIFS('DB Costi-Ore YtD'!$F:$F,'DB Costi-Ore YtD'!$A:$A,D$1,'DB Costi-Ore YtD'!$B:$B,$A127,'DB Costi-Ore YtD'!$E:$E,$C127),0)</f>
        <v>105.75</v>
      </c>
      <c r="E127" s="9">
        <f>IF((E$1*1)&lt;=MAX('DB Costi-Ore YtD'!$A:$A),SUMIFS('DB Costi-Ore YtD'!$F:$F,'DB Costi-Ore YtD'!$A:$A,E$1,'DB Costi-Ore YtD'!$B:$B,$A127,'DB Costi-Ore YtD'!$E:$E,$C127)-SUM($D127:D127),0)</f>
        <v>151.25</v>
      </c>
      <c r="F127" s="9">
        <f>IF((F$1*1)&lt;=MAX('DB Costi-Ore YtD'!$A:$A),SUMIFS('DB Costi-Ore YtD'!$F:$F,'DB Costi-Ore YtD'!$A:$A,F$1,'DB Costi-Ore YtD'!$B:$B,$A127,'DB Costi-Ore YtD'!$E:$E,$C127)-SUM($D127:E127),0)</f>
        <v>159.25</v>
      </c>
      <c r="G127" s="9">
        <f>IF((G$1*1)&lt;=MAX('DB Costi-Ore YtD'!$A:$A),SUMIFS('DB Costi-Ore YtD'!$F:$F,'DB Costi-Ore YtD'!$A:$A,G$1,'DB Costi-Ore YtD'!$B:$B,$A127,'DB Costi-Ore YtD'!$E:$E,$C127)-SUM($D127:F127),0)</f>
        <v>132.25</v>
      </c>
      <c r="H127" s="9">
        <f>IF((H$1*1)&lt;=MAX('DB Costi-Ore YtD'!$A:$A),SUMIFS('DB Costi-Ore YtD'!$F:$F,'DB Costi-Ore YtD'!$A:$A,H$1,'DB Costi-Ore YtD'!$B:$B,$A127,'DB Costi-Ore YtD'!$E:$E,$C127)-SUM($D127:G127),0)</f>
        <v>-548.5</v>
      </c>
      <c r="I127" s="9">
        <f>IF((I$1*1)&lt;=MAX('DB Costi-Ore YtD'!$A:$A),SUMIFS('DB Costi-Ore YtD'!$F:$F,'DB Costi-Ore YtD'!$A:$A,I$1,'DB Costi-Ore YtD'!$B:$B,$A127,'DB Costi-Ore YtD'!$E:$E,$C127)-SUM($D127:H127),0)</f>
        <v>0</v>
      </c>
      <c r="J127" s="9">
        <f>IF((J$1*1)&lt;=MAX('DB Costi-Ore YtD'!$A:$A),SUMIFS('DB Costi-Ore YtD'!$F:$F,'DB Costi-Ore YtD'!$A:$A,J$1,'DB Costi-Ore YtD'!$B:$B,$A127,'DB Costi-Ore YtD'!$E:$E,$C127)-SUM($D127:I127),0)</f>
        <v>0</v>
      </c>
      <c r="K127" s="9">
        <f>IF((K$1*1)&lt;=MAX('DB Costi-Ore YtD'!$A:$A),SUMIFS('DB Costi-Ore YtD'!$F:$F,'DB Costi-Ore YtD'!$A:$A,K$1,'DB Costi-Ore YtD'!$B:$B,$A127,'DB Costi-Ore YtD'!$E:$E,$C127)-SUM($D127:J127),0)</f>
        <v>0</v>
      </c>
      <c r="L127" s="9">
        <f>IF((L$1*1)&lt;=MAX('DB Costi-Ore YtD'!$A:$A),SUMIFS('DB Costi-Ore YtD'!$F:$F,'DB Costi-Ore YtD'!$A:$A,L$1,'DB Costi-Ore YtD'!$B:$B,$A127,'DB Costi-Ore YtD'!$E:$E,$C127)-SUM($D127:K127),0)</f>
        <v>0</v>
      </c>
      <c r="M127" s="9">
        <f>IF((M$1*1)&lt;=MAX('DB Costi-Ore YtD'!$A:$A),SUMIFS('DB Costi-Ore YtD'!$F:$F,'DB Costi-Ore YtD'!$A:$A,M$1,'DB Costi-Ore YtD'!$B:$B,$A127,'DB Costi-Ore YtD'!$E:$E,$C127)-SUM($D127:L127),0)</f>
        <v>0</v>
      </c>
      <c r="N127" s="9">
        <f>IF((N$1*1)&lt;=MAX('DB Costi-Ore YtD'!$A:$A),SUMIFS('DB Costi-Ore YtD'!$F:$F,'DB Costi-Ore YtD'!$A:$A,N$1,'DB Costi-Ore YtD'!$B:$B,$A127,'DB Costi-Ore YtD'!$E:$E,$C127)-SUM($D127:M127),0)</f>
        <v>0</v>
      </c>
      <c r="O127" s="9">
        <f>IF((O$1*1)&lt;=MAX('DB Costi-Ore YtD'!$A:$A),SUMIFS('DB Costi-Ore YtD'!$F:$F,'DB Costi-Ore YtD'!$A:$A,O$1,'DB Costi-Ore YtD'!$B:$B,$A127,'DB Costi-Ore YtD'!$E:$E,$C127)-SUM($D127:N127),0)</f>
        <v>0</v>
      </c>
    </row>
    <row r="128" spans="1:15" x14ac:dyDescent="0.3">
      <c r="A128" s="9" t="s">
        <v>281</v>
      </c>
      <c r="B128" s="9" t="s">
        <v>282</v>
      </c>
      <c r="C128" s="9" t="s">
        <v>7</v>
      </c>
      <c r="D128" s="9">
        <f>IF((D$1*1)&lt;=MAX('DB Costi-Ore YtD'!$A:$A),SUMIFS('DB Costi-Ore YtD'!$F:$F,'DB Costi-Ore YtD'!$A:$A,D$1,'DB Costi-Ore YtD'!$B:$B,$A128,'DB Costi-Ore YtD'!$E:$E,$C128),0)</f>
        <v>126.25</v>
      </c>
      <c r="E128" s="9">
        <f>IF((E$1*1)&lt;=MAX('DB Costi-Ore YtD'!$A:$A),SUMIFS('DB Costi-Ore YtD'!$F:$F,'DB Costi-Ore YtD'!$A:$A,E$1,'DB Costi-Ore YtD'!$B:$B,$A128,'DB Costi-Ore YtD'!$E:$E,$C128)-SUM($D128:D128),0)</f>
        <v>132</v>
      </c>
      <c r="F128" s="9">
        <f>IF((F$1*1)&lt;=MAX('DB Costi-Ore YtD'!$A:$A),SUMIFS('DB Costi-Ore YtD'!$F:$F,'DB Costi-Ore YtD'!$A:$A,F$1,'DB Costi-Ore YtD'!$B:$B,$A128,'DB Costi-Ore YtD'!$E:$E,$C128)-SUM($D128:E128),0)</f>
        <v>149.75</v>
      </c>
      <c r="G128" s="9">
        <f>IF((G$1*1)&lt;=MAX('DB Costi-Ore YtD'!$A:$A),SUMIFS('DB Costi-Ore YtD'!$F:$F,'DB Costi-Ore YtD'!$A:$A,G$1,'DB Costi-Ore YtD'!$B:$B,$A128,'DB Costi-Ore YtD'!$E:$E,$C128)-SUM($D128:F128),0)</f>
        <v>133.5</v>
      </c>
      <c r="H128" s="9">
        <f>IF((H$1*1)&lt;=MAX('DB Costi-Ore YtD'!$A:$A),SUMIFS('DB Costi-Ore YtD'!$F:$F,'DB Costi-Ore YtD'!$A:$A,H$1,'DB Costi-Ore YtD'!$B:$B,$A128,'DB Costi-Ore YtD'!$E:$E,$C128)-SUM($D128:G128),0)</f>
        <v>83</v>
      </c>
      <c r="I128" s="9">
        <f>IF((I$1*1)&lt;=MAX('DB Costi-Ore YtD'!$A:$A),SUMIFS('DB Costi-Ore YtD'!$F:$F,'DB Costi-Ore YtD'!$A:$A,I$1,'DB Costi-Ore YtD'!$B:$B,$A128,'DB Costi-Ore YtD'!$E:$E,$C128)-SUM($D128:H128),0)</f>
        <v>129.5</v>
      </c>
      <c r="J128" s="9">
        <f>IF((J$1*1)&lt;=MAX('DB Costi-Ore YtD'!$A:$A),SUMIFS('DB Costi-Ore YtD'!$F:$F,'DB Costi-Ore YtD'!$A:$A,J$1,'DB Costi-Ore YtD'!$B:$B,$A128,'DB Costi-Ore YtD'!$E:$E,$C128)-SUM($D128:I128),0)</f>
        <v>0</v>
      </c>
      <c r="K128" s="9">
        <f>IF((K$1*1)&lt;=MAX('DB Costi-Ore YtD'!$A:$A),SUMIFS('DB Costi-Ore YtD'!$F:$F,'DB Costi-Ore YtD'!$A:$A,K$1,'DB Costi-Ore YtD'!$B:$B,$A128,'DB Costi-Ore YtD'!$E:$E,$C128)-SUM($D128:J128),0)</f>
        <v>0</v>
      </c>
      <c r="L128" s="9">
        <f>IF((L$1*1)&lt;=MAX('DB Costi-Ore YtD'!$A:$A),SUMIFS('DB Costi-Ore YtD'!$F:$F,'DB Costi-Ore YtD'!$A:$A,L$1,'DB Costi-Ore YtD'!$B:$B,$A128,'DB Costi-Ore YtD'!$E:$E,$C128)-SUM($D128:K128),0)</f>
        <v>0</v>
      </c>
      <c r="M128" s="9">
        <f>IF((M$1*1)&lt;=MAX('DB Costi-Ore YtD'!$A:$A),SUMIFS('DB Costi-Ore YtD'!$F:$F,'DB Costi-Ore YtD'!$A:$A,M$1,'DB Costi-Ore YtD'!$B:$B,$A128,'DB Costi-Ore YtD'!$E:$E,$C128)-SUM($D128:L128),0)</f>
        <v>0</v>
      </c>
      <c r="N128" s="9">
        <f>IF((N$1*1)&lt;=MAX('DB Costi-Ore YtD'!$A:$A),SUMIFS('DB Costi-Ore YtD'!$F:$F,'DB Costi-Ore YtD'!$A:$A,N$1,'DB Costi-Ore YtD'!$B:$B,$A128,'DB Costi-Ore YtD'!$E:$E,$C128)-SUM($D128:M128),0)</f>
        <v>0</v>
      </c>
      <c r="O128" s="9">
        <f>IF((O$1*1)&lt;=MAX('DB Costi-Ore YtD'!$A:$A),SUMIFS('DB Costi-Ore YtD'!$F:$F,'DB Costi-Ore YtD'!$A:$A,O$1,'DB Costi-Ore YtD'!$B:$B,$A128,'DB Costi-Ore YtD'!$E:$E,$C128)-SUM($D128:N128),0)</f>
        <v>0</v>
      </c>
    </row>
    <row r="129" spans="1:15" x14ac:dyDescent="0.3">
      <c r="A129" s="9" t="s">
        <v>283</v>
      </c>
      <c r="B129" s="9" t="s">
        <v>284</v>
      </c>
      <c r="C129" s="9" t="s">
        <v>3</v>
      </c>
      <c r="D129" s="9">
        <f>IF((D$1*1)&lt;=MAX('DB Costi-Ore YtD'!$A:$A),SUMIFS('DB Costi-Ore YtD'!$F:$F,'DB Costi-Ore YtD'!$A:$A,D$1,'DB Costi-Ore YtD'!$B:$B,$A129,'DB Costi-Ore YtD'!$E:$E,$C129),0)</f>
        <v>105</v>
      </c>
      <c r="E129" s="9">
        <f>IF((E$1*1)&lt;=MAX('DB Costi-Ore YtD'!$A:$A),SUMIFS('DB Costi-Ore YtD'!$F:$F,'DB Costi-Ore YtD'!$A:$A,E$1,'DB Costi-Ore YtD'!$B:$B,$A129,'DB Costi-Ore YtD'!$E:$E,$C129)-SUM($D129:D129),0)</f>
        <v>95</v>
      </c>
      <c r="F129" s="9">
        <f>IF((F$1*1)&lt;=MAX('DB Costi-Ore YtD'!$A:$A),SUMIFS('DB Costi-Ore YtD'!$F:$F,'DB Costi-Ore YtD'!$A:$A,F$1,'DB Costi-Ore YtD'!$B:$B,$A129,'DB Costi-Ore YtD'!$E:$E,$C129)-SUM($D129:E129),0)</f>
        <v>106</v>
      </c>
      <c r="G129" s="9">
        <f>IF((G$1*1)&lt;=MAX('DB Costi-Ore YtD'!$A:$A),SUMIFS('DB Costi-Ore YtD'!$F:$F,'DB Costi-Ore YtD'!$A:$A,G$1,'DB Costi-Ore YtD'!$B:$B,$A129,'DB Costi-Ore YtD'!$E:$E,$C129)-SUM($D129:F129),0)</f>
        <v>75</v>
      </c>
      <c r="H129" s="9">
        <f>IF((H$1*1)&lt;=MAX('DB Costi-Ore YtD'!$A:$A),SUMIFS('DB Costi-Ore YtD'!$F:$F,'DB Costi-Ore YtD'!$A:$A,H$1,'DB Costi-Ore YtD'!$B:$B,$A129,'DB Costi-Ore YtD'!$E:$E,$C129)-SUM($D129:G129),0)</f>
        <v>95</v>
      </c>
      <c r="I129" s="9">
        <f>IF((I$1*1)&lt;=MAX('DB Costi-Ore YtD'!$A:$A),SUMIFS('DB Costi-Ore YtD'!$F:$F,'DB Costi-Ore YtD'!$A:$A,I$1,'DB Costi-Ore YtD'!$B:$B,$A129,'DB Costi-Ore YtD'!$E:$E,$C129)-SUM($D129:H129),0)</f>
        <v>60</v>
      </c>
      <c r="J129" s="9">
        <f>IF((J$1*1)&lt;=MAX('DB Costi-Ore YtD'!$A:$A),SUMIFS('DB Costi-Ore YtD'!$F:$F,'DB Costi-Ore YtD'!$A:$A,J$1,'DB Costi-Ore YtD'!$B:$B,$A129,'DB Costi-Ore YtD'!$E:$E,$C129)-SUM($D129:I129),0)</f>
        <v>0</v>
      </c>
      <c r="K129" s="9">
        <f>IF((K$1*1)&lt;=MAX('DB Costi-Ore YtD'!$A:$A),SUMIFS('DB Costi-Ore YtD'!$F:$F,'DB Costi-Ore YtD'!$A:$A,K$1,'DB Costi-Ore YtD'!$B:$B,$A129,'DB Costi-Ore YtD'!$E:$E,$C129)-SUM($D129:J129),0)</f>
        <v>0</v>
      </c>
      <c r="L129" s="9">
        <f>IF((L$1*1)&lt;=MAX('DB Costi-Ore YtD'!$A:$A),SUMIFS('DB Costi-Ore YtD'!$F:$F,'DB Costi-Ore YtD'!$A:$A,L$1,'DB Costi-Ore YtD'!$B:$B,$A129,'DB Costi-Ore YtD'!$E:$E,$C129)-SUM($D129:K129),0)</f>
        <v>0</v>
      </c>
      <c r="M129" s="9">
        <f>IF((M$1*1)&lt;=MAX('DB Costi-Ore YtD'!$A:$A),SUMIFS('DB Costi-Ore YtD'!$F:$F,'DB Costi-Ore YtD'!$A:$A,M$1,'DB Costi-Ore YtD'!$B:$B,$A129,'DB Costi-Ore YtD'!$E:$E,$C129)-SUM($D129:L129),0)</f>
        <v>0</v>
      </c>
      <c r="N129" s="9">
        <f>IF((N$1*1)&lt;=MAX('DB Costi-Ore YtD'!$A:$A),SUMIFS('DB Costi-Ore YtD'!$F:$F,'DB Costi-Ore YtD'!$A:$A,N$1,'DB Costi-Ore YtD'!$B:$B,$A129,'DB Costi-Ore YtD'!$E:$E,$C129)-SUM($D129:M129),0)</f>
        <v>0</v>
      </c>
      <c r="O129" s="9">
        <f>IF((O$1*1)&lt;=MAX('DB Costi-Ore YtD'!$A:$A),SUMIFS('DB Costi-Ore YtD'!$F:$F,'DB Costi-Ore YtD'!$A:$A,O$1,'DB Costi-Ore YtD'!$B:$B,$A129,'DB Costi-Ore YtD'!$E:$E,$C129)-SUM($D129:N129),0)</f>
        <v>0</v>
      </c>
    </row>
    <row r="130" spans="1:15" x14ac:dyDescent="0.3">
      <c r="A130" s="9" t="s">
        <v>285</v>
      </c>
      <c r="B130" s="9" t="s">
        <v>286</v>
      </c>
      <c r="C130" s="9" t="s">
        <v>5</v>
      </c>
      <c r="D130" s="9">
        <f>IF((D$1*1)&lt;=MAX('DB Costi-Ore YtD'!$A:$A),SUMIFS('DB Costi-Ore YtD'!$F:$F,'DB Costi-Ore YtD'!$A:$A,D$1,'DB Costi-Ore YtD'!$B:$B,$A130,'DB Costi-Ore YtD'!$E:$E,$C130),0)</f>
        <v>147</v>
      </c>
      <c r="E130" s="9">
        <f>IF((E$1*1)&lt;=MAX('DB Costi-Ore YtD'!$A:$A),SUMIFS('DB Costi-Ore YtD'!$F:$F,'DB Costi-Ore YtD'!$A:$A,E$1,'DB Costi-Ore YtD'!$B:$B,$A130,'DB Costi-Ore YtD'!$E:$E,$C130)-SUM($D130:D130),0)</f>
        <v>138.25</v>
      </c>
      <c r="F130" s="9">
        <f>IF((F$1*1)&lt;=MAX('DB Costi-Ore YtD'!$A:$A),SUMIFS('DB Costi-Ore YtD'!$F:$F,'DB Costi-Ore YtD'!$A:$A,F$1,'DB Costi-Ore YtD'!$B:$B,$A130,'DB Costi-Ore YtD'!$E:$E,$C130)-SUM($D130:E130),0)</f>
        <v>144</v>
      </c>
      <c r="G130" s="9">
        <f>IF((G$1*1)&lt;=MAX('DB Costi-Ore YtD'!$A:$A),SUMIFS('DB Costi-Ore YtD'!$F:$F,'DB Costi-Ore YtD'!$A:$A,G$1,'DB Costi-Ore YtD'!$B:$B,$A130,'DB Costi-Ore YtD'!$E:$E,$C130)-SUM($D130:F130),0)</f>
        <v>140</v>
      </c>
      <c r="H130" s="9">
        <f>IF((H$1*1)&lt;=MAX('DB Costi-Ore YtD'!$A:$A),SUMIFS('DB Costi-Ore YtD'!$F:$F,'DB Costi-Ore YtD'!$A:$A,H$1,'DB Costi-Ore YtD'!$B:$B,$A130,'DB Costi-Ore YtD'!$E:$E,$C130)-SUM($D130:G130),0)</f>
        <v>115.5</v>
      </c>
      <c r="I130" s="9">
        <f>IF((I$1*1)&lt;=MAX('DB Costi-Ore YtD'!$A:$A),SUMIFS('DB Costi-Ore YtD'!$F:$F,'DB Costi-Ore YtD'!$A:$A,I$1,'DB Costi-Ore YtD'!$B:$B,$A130,'DB Costi-Ore YtD'!$E:$E,$C130)-SUM($D130:H130),0)</f>
        <v>130</v>
      </c>
      <c r="J130" s="9">
        <f>IF((J$1*1)&lt;=MAX('DB Costi-Ore YtD'!$A:$A),SUMIFS('DB Costi-Ore YtD'!$F:$F,'DB Costi-Ore YtD'!$A:$A,J$1,'DB Costi-Ore YtD'!$B:$B,$A130,'DB Costi-Ore YtD'!$E:$E,$C130)-SUM($D130:I130),0)</f>
        <v>0</v>
      </c>
      <c r="K130" s="9">
        <f>IF((K$1*1)&lt;=MAX('DB Costi-Ore YtD'!$A:$A),SUMIFS('DB Costi-Ore YtD'!$F:$F,'DB Costi-Ore YtD'!$A:$A,K$1,'DB Costi-Ore YtD'!$B:$B,$A130,'DB Costi-Ore YtD'!$E:$E,$C130)-SUM($D130:J130),0)</f>
        <v>0</v>
      </c>
      <c r="L130" s="9">
        <f>IF((L$1*1)&lt;=MAX('DB Costi-Ore YtD'!$A:$A),SUMIFS('DB Costi-Ore YtD'!$F:$F,'DB Costi-Ore YtD'!$A:$A,L$1,'DB Costi-Ore YtD'!$B:$B,$A130,'DB Costi-Ore YtD'!$E:$E,$C130)-SUM($D130:K130),0)</f>
        <v>0</v>
      </c>
      <c r="M130" s="9">
        <f>IF((M$1*1)&lt;=MAX('DB Costi-Ore YtD'!$A:$A),SUMIFS('DB Costi-Ore YtD'!$F:$F,'DB Costi-Ore YtD'!$A:$A,M$1,'DB Costi-Ore YtD'!$B:$B,$A130,'DB Costi-Ore YtD'!$E:$E,$C130)-SUM($D130:L130),0)</f>
        <v>0</v>
      </c>
      <c r="N130" s="9">
        <f>IF((N$1*1)&lt;=MAX('DB Costi-Ore YtD'!$A:$A),SUMIFS('DB Costi-Ore YtD'!$F:$F,'DB Costi-Ore YtD'!$A:$A,N$1,'DB Costi-Ore YtD'!$B:$B,$A130,'DB Costi-Ore YtD'!$E:$E,$C130)-SUM($D130:M130),0)</f>
        <v>0</v>
      </c>
      <c r="O130" s="9">
        <f>IF((O$1*1)&lt;=MAX('DB Costi-Ore YtD'!$A:$A),SUMIFS('DB Costi-Ore YtD'!$F:$F,'DB Costi-Ore YtD'!$A:$A,O$1,'DB Costi-Ore YtD'!$B:$B,$A130,'DB Costi-Ore YtD'!$E:$E,$C130)-SUM($D130:N130),0)</f>
        <v>0</v>
      </c>
    </row>
    <row r="131" spans="1:15" x14ac:dyDescent="0.3">
      <c r="A131" s="9" t="s">
        <v>287</v>
      </c>
      <c r="B131" s="9" t="s">
        <v>288</v>
      </c>
      <c r="C131" s="9" t="s">
        <v>5</v>
      </c>
      <c r="D131" s="9">
        <f>IF((D$1*1)&lt;=MAX('DB Costi-Ore YtD'!$A:$A),SUMIFS('DB Costi-Ore YtD'!$F:$F,'DB Costi-Ore YtD'!$A:$A,D$1,'DB Costi-Ore YtD'!$B:$B,$A131,'DB Costi-Ore YtD'!$E:$E,$C131),0)</f>
        <v>147</v>
      </c>
      <c r="E131" s="9">
        <f>IF((E$1*1)&lt;=MAX('DB Costi-Ore YtD'!$A:$A),SUMIFS('DB Costi-Ore YtD'!$F:$F,'DB Costi-Ore YtD'!$A:$A,E$1,'DB Costi-Ore YtD'!$B:$B,$A131,'DB Costi-Ore YtD'!$E:$E,$C131)-SUM($D131:D131),0)</f>
        <v>125.5</v>
      </c>
      <c r="F131" s="9">
        <f>IF((F$1*1)&lt;=MAX('DB Costi-Ore YtD'!$A:$A),SUMIFS('DB Costi-Ore YtD'!$F:$F,'DB Costi-Ore YtD'!$A:$A,F$1,'DB Costi-Ore YtD'!$B:$B,$A131,'DB Costi-Ore YtD'!$E:$E,$C131)-SUM($D131:E131),0)</f>
        <v>131.5</v>
      </c>
      <c r="G131" s="9">
        <f>IF((G$1*1)&lt;=MAX('DB Costi-Ore YtD'!$A:$A),SUMIFS('DB Costi-Ore YtD'!$F:$F,'DB Costi-Ore YtD'!$A:$A,G$1,'DB Costi-Ore YtD'!$B:$B,$A131,'DB Costi-Ore YtD'!$E:$E,$C131)-SUM($D131:F131),0)</f>
        <v>124.75</v>
      </c>
      <c r="H131" s="9">
        <f>IF((H$1*1)&lt;=MAX('DB Costi-Ore YtD'!$A:$A),SUMIFS('DB Costi-Ore YtD'!$F:$F,'DB Costi-Ore YtD'!$A:$A,H$1,'DB Costi-Ore YtD'!$B:$B,$A131,'DB Costi-Ore YtD'!$E:$E,$C131)-SUM($D131:G131),0)</f>
        <v>147</v>
      </c>
      <c r="I131" s="9">
        <f>IF((I$1*1)&lt;=MAX('DB Costi-Ore YtD'!$A:$A),SUMIFS('DB Costi-Ore YtD'!$F:$F,'DB Costi-Ore YtD'!$A:$A,I$1,'DB Costi-Ore YtD'!$B:$B,$A131,'DB Costi-Ore YtD'!$E:$E,$C131)-SUM($D131:H131),0)</f>
        <v>124.75</v>
      </c>
      <c r="J131" s="9">
        <f>IF((J$1*1)&lt;=MAX('DB Costi-Ore YtD'!$A:$A),SUMIFS('DB Costi-Ore YtD'!$F:$F,'DB Costi-Ore YtD'!$A:$A,J$1,'DB Costi-Ore YtD'!$B:$B,$A131,'DB Costi-Ore YtD'!$E:$E,$C131)-SUM($D131:I131),0)</f>
        <v>0</v>
      </c>
      <c r="K131" s="9">
        <f>IF((K$1*1)&lt;=MAX('DB Costi-Ore YtD'!$A:$A),SUMIFS('DB Costi-Ore YtD'!$F:$F,'DB Costi-Ore YtD'!$A:$A,K$1,'DB Costi-Ore YtD'!$B:$B,$A131,'DB Costi-Ore YtD'!$E:$E,$C131)-SUM($D131:J131),0)</f>
        <v>0</v>
      </c>
      <c r="L131" s="9">
        <f>IF((L$1*1)&lt;=MAX('DB Costi-Ore YtD'!$A:$A),SUMIFS('DB Costi-Ore YtD'!$F:$F,'DB Costi-Ore YtD'!$A:$A,L$1,'DB Costi-Ore YtD'!$B:$B,$A131,'DB Costi-Ore YtD'!$E:$E,$C131)-SUM($D131:K131),0)</f>
        <v>0</v>
      </c>
      <c r="M131" s="9">
        <f>IF((M$1*1)&lt;=MAX('DB Costi-Ore YtD'!$A:$A),SUMIFS('DB Costi-Ore YtD'!$F:$F,'DB Costi-Ore YtD'!$A:$A,M$1,'DB Costi-Ore YtD'!$B:$B,$A131,'DB Costi-Ore YtD'!$E:$E,$C131)-SUM($D131:L131),0)</f>
        <v>0</v>
      </c>
      <c r="N131" s="9">
        <f>IF((N$1*1)&lt;=MAX('DB Costi-Ore YtD'!$A:$A),SUMIFS('DB Costi-Ore YtD'!$F:$F,'DB Costi-Ore YtD'!$A:$A,N$1,'DB Costi-Ore YtD'!$B:$B,$A131,'DB Costi-Ore YtD'!$E:$E,$C131)-SUM($D131:M131),0)</f>
        <v>0</v>
      </c>
      <c r="O131" s="9">
        <f>IF((O$1*1)&lt;=MAX('DB Costi-Ore YtD'!$A:$A),SUMIFS('DB Costi-Ore YtD'!$F:$F,'DB Costi-Ore YtD'!$A:$A,O$1,'DB Costi-Ore YtD'!$B:$B,$A131,'DB Costi-Ore YtD'!$E:$E,$C131)-SUM($D131:N131),0)</f>
        <v>0</v>
      </c>
    </row>
    <row r="132" spans="1:15" x14ac:dyDescent="0.3">
      <c r="A132" s="9" t="s">
        <v>289</v>
      </c>
      <c r="B132" s="9" t="s">
        <v>290</v>
      </c>
      <c r="C132" s="9" t="s">
        <v>5</v>
      </c>
      <c r="D132" s="9">
        <f>IF((D$1*1)&lt;=MAX('DB Costi-Ore YtD'!$A:$A),SUMIFS('DB Costi-Ore YtD'!$F:$F,'DB Costi-Ore YtD'!$A:$A,D$1,'DB Costi-Ore YtD'!$B:$B,$A132,'DB Costi-Ore YtD'!$E:$E,$C132),0)</f>
        <v>147</v>
      </c>
      <c r="E132" s="9">
        <f>IF((E$1*1)&lt;=MAX('DB Costi-Ore YtD'!$A:$A),SUMIFS('DB Costi-Ore YtD'!$F:$F,'DB Costi-Ore YtD'!$A:$A,E$1,'DB Costi-Ore YtD'!$B:$B,$A132,'DB Costi-Ore YtD'!$E:$E,$C132)-SUM($D132:D132),0)</f>
        <v>134</v>
      </c>
      <c r="F132" s="9">
        <f>IF((F$1*1)&lt;=MAX('DB Costi-Ore YtD'!$A:$A),SUMIFS('DB Costi-Ore YtD'!$F:$F,'DB Costi-Ore YtD'!$A:$A,F$1,'DB Costi-Ore YtD'!$B:$B,$A132,'DB Costi-Ore YtD'!$E:$E,$C132)-SUM($D132:E132),0)</f>
        <v>136</v>
      </c>
      <c r="G132" s="9">
        <f>IF((G$1*1)&lt;=MAX('DB Costi-Ore YtD'!$A:$A),SUMIFS('DB Costi-Ore YtD'!$F:$F,'DB Costi-Ore YtD'!$A:$A,G$1,'DB Costi-Ore YtD'!$B:$B,$A132,'DB Costi-Ore YtD'!$E:$E,$C132)-SUM($D132:F132),0)</f>
        <v>125.25</v>
      </c>
      <c r="H132" s="9">
        <f>IF((H$1*1)&lt;=MAX('DB Costi-Ore YtD'!$A:$A),SUMIFS('DB Costi-Ore YtD'!$F:$F,'DB Costi-Ore YtD'!$A:$A,H$1,'DB Costi-Ore YtD'!$B:$B,$A132,'DB Costi-Ore YtD'!$E:$E,$C132)-SUM($D132:G132),0)</f>
        <v>133.5</v>
      </c>
      <c r="I132" s="9">
        <f>IF((I$1*1)&lt;=MAX('DB Costi-Ore YtD'!$A:$A),SUMIFS('DB Costi-Ore YtD'!$F:$F,'DB Costi-Ore YtD'!$A:$A,I$1,'DB Costi-Ore YtD'!$B:$B,$A132,'DB Costi-Ore YtD'!$E:$E,$C132)-SUM($D132:H132),0)</f>
        <v>129.5</v>
      </c>
      <c r="J132" s="9">
        <f>IF((J$1*1)&lt;=MAX('DB Costi-Ore YtD'!$A:$A),SUMIFS('DB Costi-Ore YtD'!$F:$F,'DB Costi-Ore YtD'!$A:$A,J$1,'DB Costi-Ore YtD'!$B:$B,$A132,'DB Costi-Ore YtD'!$E:$E,$C132)-SUM($D132:I132),0)</f>
        <v>0</v>
      </c>
      <c r="K132" s="9">
        <f>IF((K$1*1)&lt;=MAX('DB Costi-Ore YtD'!$A:$A),SUMIFS('DB Costi-Ore YtD'!$F:$F,'DB Costi-Ore YtD'!$A:$A,K$1,'DB Costi-Ore YtD'!$B:$B,$A132,'DB Costi-Ore YtD'!$E:$E,$C132)-SUM($D132:J132),0)</f>
        <v>0</v>
      </c>
      <c r="L132" s="9">
        <f>IF((L$1*1)&lt;=MAX('DB Costi-Ore YtD'!$A:$A),SUMIFS('DB Costi-Ore YtD'!$F:$F,'DB Costi-Ore YtD'!$A:$A,L$1,'DB Costi-Ore YtD'!$B:$B,$A132,'DB Costi-Ore YtD'!$E:$E,$C132)-SUM($D132:K132),0)</f>
        <v>0</v>
      </c>
      <c r="M132" s="9">
        <f>IF((M$1*1)&lt;=MAX('DB Costi-Ore YtD'!$A:$A),SUMIFS('DB Costi-Ore YtD'!$F:$F,'DB Costi-Ore YtD'!$A:$A,M$1,'DB Costi-Ore YtD'!$B:$B,$A132,'DB Costi-Ore YtD'!$E:$E,$C132)-SUM($D132:L132),0)</f>
        <v>0</v>
      </c>
      <c r="N132" s="9">
        <f>IF((N$1*1)&lt;=MAX('DB Costi-Ore YtD'!$A:$A),SUMIFS('DB Costi-Ore YtD'!$F:$F,'DB Costi-Ore YtD'!$A:$A,N$1,'DB Costi-Ore YtD'!$B:$B,$A132,'DB Costi-Ore YtD'!$E:$E,$C132)-SUM($D132:M132),0)</f>
        <v>0</v>
      </c>
      <c r="O132" s="9">
        <f>IF((O$1*1)&lt;=MAX('DB Costi-Ore YtD'!$A:$A),SUMIFS('DB Costi-Ore YtD'!$F:$F,'DB Costi-Ore YtD'!$A:$A,O$1,'DB Costi-Ore YtD'!$B:$B,$A132,'DB Costi-Ore YtD'!$E:$E,$C132)-SUM($D132:N132),0)</f>
        <v>0</v>
      </c>
    </row>
    <row r="133" spans="1:15" x14ac:dyDescent="0.3">
      <c r="A133" s="9" t="s">
        <v>291</v>
      </c>
      <c r="B133" s="9" t="s">
        <v>292</v>
      </c>
      <c r="C133" s="9" t="s">
        <v>14</v>
      </c>
      <c r="D133" s="9">
        <f>IF((D$1*1)&lt;=MAX('DB Costi-Ore YtD'!$A:$A),SUMIFS('DB Costi-Ore YtD'!$F:$F,'DB Costi-Ore YtD'!$A:$A,D$1,'DB Costi-Ore YtD'!$B:$B,$A133,'DB Costi-Ore YtD'!$E:$E,$C133),0)</f>
        <v>144</v>
      </c>
      <c r="E133" s="9">
        <f>IF((E$1*1)&lt;=MAX('DB Costi-Ore YtD'!$A:$A),SUMIFS('DB Costi-Ore YtD'!$F:$F,'DB Costi-Ore YtD'!$A:$A,E$1,'DB Costi-Ore YtD'!$B:$B,$A133,'DB Costi-Ore YtD'!$E:$E,$C133)-SUM($D133:D133),0)</f>
        <v>152</v>
      </c>
      <c r="F133" s="9">
        <f>IF((F$1*1)&lt;=MAX('DB Costi-Ore YtD'!$A:$A),SUMIFS('DB Costi-Ore YtD'!$F:$F,'DB Costi-Ore YtD'!$A:$A,F$1,'DB Costi-Ore YtD'!$B:$B,$A133,'DB Costi-Ore YtD'!$E:$E,$C133)-SUM($D133:E133),0)</f>
        <v>160</v>
      </c>
      <c r="G133" s="9">
        <f>IF((G$1*1)&lt;=MAX('DB Costi-Ore YtD'!$A:$A),SUMIFS('DB Costi-Ore YtD'!$F:$F,'DB Costi-Ore YtD'!$A:$A,G$1,'DB Costi-Ore YtD'!$B:$B,$A133,'DB Costi-Ore YtD'!$E:$E,$C133)-SUM($D133:F133),0)</f>
        <v>151.5</v>
      </c>
      <c r="H133" s="9">
        <f>IF((H$1*1)&lt;=MAX('DB Costi-Ore YtD'!$A:$A),SUMIFS('DB Costi-Ore YtD'!$F:$F,'DB Costi-Ore YtD'!$A:$A,H$1,'DB Costi-Ore YtD'!$B:$B,$A133,'DB Costi-Ore YtD'!$E:$E,$C133)-SUM($D133:G133),0)</f>
        <v>159.5</v>
      </c>
      <c r="I133" s="9">
        <f>IF((I$1*1)&lt;=MAX('DB Costi-Ore YtD'!$A:$A),SUMIFS('DB Costi-Ore YtD'!$F:$F,'DB Costi-Ore YtD'!$A:$A,I$1,'DB Costi-Ore YtD'!$B:$B,$A133,'DB Costi-Ore YtD'!$E:$E,$C133)-SUM($D133:H133),0)</f>
        <v>122</v>
      </c>
      <c r="J133" s="9">
        <f>IF((J$1*1)&lt;=MAX('DB Costi-Ore YtD'!$A:$A),SUMIFS('DB Costi-Ore YtD'!$F:$F,'DB Costi-Ore YtD'!$A:$A,J$1,'DB Costi-Ore YtD'!$B:$B,$A133,'DB Costi-Ore YtD'!$E:$E,$C133)-SUM($D133:I133),0)</f>
        <v>0</v>
      </c>
      <c r="K133" s="9">
        <f>IF((K$1*1)&lt;=MAX('DB Costi-Ore YtD'!$A:$A),SUMIFS('DB Costi-Ore YtD'!$F:$F,'DB Costi-Ore YtD'!$A:$A,K$1,'DB Costi-Ore YtD'!$B:$B,$A133,'DB Costi-Ore YtD'!$E:$E,$C133)-SUM($D133:J133),0)</f>
        <v>0</v>
      </c>
      <c r="L133" s="9">
        <f>IF((L$1*1)&lt;=MAX('DB Costi-Ore YtD'!$A:$A),SUMIFS('DB Costi-Ore YtD'!$F:$F,'DB Costi-Ore YtD'!$A:$A,L$1,'DB Costi-Ore YtD'!$B:$B,$A133,'DB Costi-Ore YtD'!$E:$E,$C133)-SUM($D133:K133),0)</f>
        <v>0</v>
      </c>
      <c r="M133" s="9">
        <f>IF((M$1*1)&lt;=MAX('DB Costi-Ore YtD'!$A:$A),SUMIFS('DB Costi-Ore YtD'!$F:$F,'DB Costi-Ore YtD'!$A:$A,M$1,'DB Costi-Ore YtD'!$B:$B,$A133,'DB Costi-Ore YtD'!$E:$E,$C133)-SUM($D133:L133),0)</f>
        <v>0</v>
      </c>
      <c r="N133" s="9">
        <f>IF((N$1*1)&lt;=MAX('DB Costi-Ore YtD'!$A:$A),SUMIFS('DB Costi-Ore YtD'!$F:$F,'DB Costi-Ore YtD'!$A:$A,N$1,'DB Costi-Ore YtD'!$B:$B,$A133,'DB Costi-Ore YtD'!$E:$E,$C133)-SUM($D133:M133),0)</f>
        <v>0</v>
      </c>
      <c r="O133" s="9">
        <f>IF((O$1*1)&lt;=MAX('DB Costi-Ore YtD'!$A:$A),SUMIFS('DB Costi-Ore YtD'!$F:$F,'DB Costi-Ore YtD'!$A:$A,O$1,'DB Costi-Ore YtD'!$B:$B,$A133,'DB Costi-Ore YtD'!$E:$E,$C133)-SUM($D133:N133),0)</f>
        <v>0</v>
      </c>
    </row>
    <row r="134" spans="1:15" x14ac:dyDescent="0.3">
      <c r="A134" s="9" t="s">
        <v>293</v>
      </c>
      <c r="B134" s="9" t="s">
        <v>294</v>
      </c>
      <c r="C134" s="9" t="s">
        <v>2</v>
      </c>
      <c r="D134" s="9">
        <f>IF((D$1*1)&lt;=MAX('DB Costi-Ore YtD'!$A:$A),SUMIFS('DB Costi-Ore YtD'!$F:$F,'DB Costi-Ore YtD'!$A:$A,D$1,'DB Costi-Ore YtD'!$B:$B,$A134,'DB Costi-Ore YtD'!$E:$E,$C134),0)</f>
        <v>156.5</v>
      </c>
      <c r="E134" s="9">
        <f>IF((E$1*1)&lt;=MAX('DB Costi-Ore YtD'!$A:$A),SUMIFS('DB Costi-Ore YtD'!$F:$F,'DB Costi-Ore YtD'!$A:$A,E$1,'DB Costi-Ore YtD'!$B:$B,$A134,'DB Costi-Ore YtD'!$E:$E,$C134)-SUM($D134:D134),0)</f>
        <v>151</v>
      </c>
      <c r="F134" s="9">
        <f>IF((F$1*1)&lt;=MAX('DB Costi-Ore YtD'!$A:$A),SUMIFS('DB Costi-Ore YtD'!$F:$F,'DB Costi-Ore YtD'!$A:$A,F$1,'DB Costi-Ore YtD'!$B:$B,$A134,'DB Costi-Ore YtD'!$E:$E,$C134)-SUM($D134:E134),0)</f>
        <v>137</v>
      </c>
      <c r="G134" s="9">
        <f>IF((G$1*1)&lt;=MAX('DB Costi-Ore YtD'!$A:$A),SUMIFS('DB Costi-Ore YtD'!$F:$F,'DB Costi-Ore YtD'!$A:$A,G$1,'DB Costi-Ore YtD'!$B:$B,$A134,'DB Costi-Ore YtD'!$E:$E,$C134)-SUM($D134:F134),0)</f>
        <v>121.25</v>
      </c>
      <c r="H134" s="9">
        <f>IF((H$1*1)&lt;=MAX('DB Costi-Ore YtD'!$A:$A),SUMIFS('DB Costi-Ore YtD'!$F:$F,'DB Costi-Ore YtD'!$A:$A,H$1,'DB Costi-Ore YtD'!$B:$B,$A134,'DB Costi-Ore YtD'!$E:$E,$C134)-SUM($D134:G134),0)</f>
        <v>130.5</v>
      </c>
      <c r="I134" s="9">
        <f>IF((I$1*1)&lt;=MAX('DB Costi-Ore YtD'!$A:$A),SUMIFS('DB Costi-Ore YtD'!$F:$F,'DB Costi-Ore YtD'!$A:$A,I$1,'DB Costi-Ore YtD'!$B:$B,$A134,'DB Costi-Ore YtD'!$E:$E,$C134)-SUM($D134:H134),0)</f>
        <v>122</v>
      </c>
      <c r="J134" s="9">
        <f>IF((J$1*1)&lt;=MAX('DB Costi-Ore YtD'!$A:$A),SUMIFS('DB Costi-Ore YtD'!$F:$F,'DB Costi-Ore YtD'!$A:$A,J$1,'DB Costi-Ore YtD'!$B:$B,$A134,'DB Costi-Ore YtD'!$E:$E,$C134)-SUM($D134:I134),0)</f>
        <v>0</v>
      </c>
      <c r="K134" s="9">
        <f>IF((K$1*1)&lt;=MAX('DB Costi-Ore YtD'!$A:$A),SUMIFS('DB Costi-Ore YtD'!$F:$F,'DB Costi-Ore YtD'!$A:$A,K$1,'DB Costi-Ore YtD'!$B:$B,$A134,'DB Costi-Ore YtD'!$E:$E,$C134)-SUM($D134:J134),0)</f>
        <v>0</v>
      </c>
      <c r="L134" s="9">
        <f>IF((L$1*1)&lt;=MAX('DB Costi-Ore YtD'!$A:$A),SUMIFS('DB Costi-Ore YtD'!$F:$F,'DB Costi-Ore YtD'!$A:$A,L$1,'DB Costi-Ore YtD'!$B:$B,$A134,'DB Costi-Ore YtD'!$E:$E,$C134)-SUM($D134:K134),0)</f>
        <v>0</v>
      </c>
      <c r="M134" s="9">
        <f>IF((M$1*1)&lt;=MAX('DB Costi-Ore YtD'!$A:$A),SUMIFS('DB Costi-Ore YtD'!$F:$F,'DB Costi-Ore YtD'!$A:$A,M$1,'DB Costi-Ore YtD'!$B:$B,$A134,'DB Costi-Ore YtD'!$E:$E,$C134)-SUM($D134:L134),0)</f>
        <v>0</v>
      </c>
      <c r="N134" s="9">
        <f>IF((N$1*1)&lt;=MAX('DB Costi-Ore YtD'!$A:$A),SUMIFS('DB Costi-Ore YtD'!$F:$F,'DB Costi-Ore YtD'!$A:$A,N$1,'DB Costi-Ore YtD'!$B:$B,$A134,'DB Costi-Ore YtD'!$E:$E,$C134)-SUM($D134:M134),0)</f>
        <v>0</v>
      </c>
      <c r="O134" s="9">
        <f>IF((O$1*1)&lt;=MAX('DB Costi-Ore YtD'!$A:$A),SUMIFS('DB Costi-Ore YtD'!$F:$F,'DB Costi-Ore YtD'!$A:$A,O$1,'DB Costi-Ore YtD'!$B:$B,$A134,'DB Costi-Ore YtD'!$E:$E,$C134)-SUM($D134:N134),0)</f>
        <v>0</v>
      </c>
    </row>
    <row r="135" spans="1:15" x14ac:dyDescent="0.3">
      <c r="A135" s="9" t="s">
        <v>295</v>
      </c>
      <c r="B135" s="9" t="s">
        <v>296</v>
      </c>
      <c r="C135" s="9" t="s">
        <v>5</v>
      </c>
      <c r="D135" s="9">
        <f>IF((D$1*1)&lt;=MAX('DB Costi-Ore YtD'!$A:$A),SUMIFS('DB Costi-Ore YtD'!$F:$F,'DB Costi-Ore YtD'!$A:$A,D$1,'DB Costi-Ore YtD'!$B:$B,$A135,'DB Costi-Ore YtD'!$E:$E,$C135),0)</f>
        <v>127</v>
      </c>
      <c r="E135" s="9">
        <f>IF((E$1*1)&lt;=MAX('DB Costi-Ore YtD'!$A:$A),SUMIFS('DB Costi-Ore YtD'!$F:$F,'DB Costi-Ore YtD'!$A:$A,E$1,'DB Costi-Ore YtD'!$B:$B,$A135,'DB Costi-Ore YtD'!$E:$E,$C135)-SUM($D135:D135),0)</f>
        <v>98.75</v>
      </c>
      <c r="F135" s="9">
        <f>IF((F$1*1)&lt;=MAX('DB Costi-Ore YtD'!$A:$A),SUMIFS('DB Costi-Ore YtD'!$F:$F,'DB Costi-Ore YtD'!$A:$A,F$1,'DB Costi-Ore YtD'!$B:$B,$A135,'DB Costi-Ore YtD'!$E:$E,$C135)-SUM($D135:E135),0)</f>
        <v>86.5</v>
      </c>
      <c r="G135" s="9">
        <f>IF((G$1*1)&lt;=MAX('DB Costi-Ore YtD'!$A:$A),SUMIFS('DB Costi-Ore YtD'!$F:$F,'DB Costi-Ore YtD'!$A:$A,G$1,'DB Costi-Ore YtD'!$B:$B,$A135,'DB Costi-Ore YtD'!$E:$E,$C135)-SUM($D135:F135),0)</f>
        <v>105.25</v>
      </c>
      <c r="H135" s="9">
        <f>IF((H$1*1)&lt;=MAX('DB Costi-Ore YtD'!$A:$A),SUMIFS('DB Costi-Ore YtD'!$F:$F,'DB Costi-Ore YtD'!$A:$A,H$1,'DB Costi-Ore YtD'!$B:$B,$A135,'DB Costi-Ore YtD'!$E:$E,$C135)-SUM($D135:G135),0)</f>
        <v>101.75</v>
      </c>
      <c r="I135" s="9">
        <f>IF((I$1*1)&lt;=MAX('DB Costi-Ore YtD'!$A:$A),SUMIFS('DB Costi-Ore YtD'!$F:$F,'DB Costi-Ore YtD'!$A:$A,I$1,'DB Costi-Ore YtD'!$B:$B,$A135,'DB Costi-Ore YtD'!$E:$E,$C135)-SUM($D135:H135),0)</f>
        <v>102.5</v>
      </c>
      <c r="J135" s="9">
        <f>IF((J$1*1)&lt;=MAX('DB Costi-Ore YtD'!$A:$A),SUMIFS('DB Costi-Ore YtD'!$F:$F,'DB Costi-Ore YtD'!$A:$A,J$1,'DB Costi-Ore YtD'!$B:$B,$A135,'DB Costi-Ore YtD'!$E:$E,$C135)-SUM($D135:I135),0)</f>
        <v>0</v>
      </c>
      <c r="K135" s="9">
        <f>IF((K$1*1)&lt;=MAX('DB Costi-Ore YtD'!$A:$A),SUMIFS('DB Costi-Ore YtD'!$F:$F,'DB Costi-Ore YtD'!$A:$A,K$1,'DB Costi-Ore YtD'!$B:$B,$A135,'DB Costi-Ore YtD'!$E:$E,$C135)-SUM($D135:J135),0)</f>
        <v>0</v>
      </c>
      <c r="L135" s="9">
        <f>IF((L$1*1)&lt;=MAX('DB Costi-Ore YtD'!$A:$A),SUMIFS('DB Costi-Ore YtD'!$F:$F,'DB Costi-Ore YtD'!$A:$A,L$1,'DB Costi-Ore YtD'!$B:$B,$A135,'DB Costi-Ore YtD'!$E:$E,$C135)-SUM($D135:K135),0)</f>
        <v>0</v>
      </c>
      <c r="M135" s="9">
        <f>IF((M$1*1)&lt;=MAX('DB Costi-Ore YtD'!$A:$A),SUMIFS('DB Costi-Ore YtD'!$F:$F,'DB Costi-Ore YtD'!$A:$A,M$1,'DB Costi-Ore YtD'!$B:$B,$A135,'DB Costi-Ore YtD'!$E:$E,$C135)-SUM($D135:L135),0)</f>
        <v>0</v>
      </c>
      <c r="N135" s="9">
        <f>IF((N$1*1)&lt;=MAX('DB Costi-Ore YtD'!$A:$A),SUMIFS('DB Costi-Ore YtD'!$F:$F,'DB Costi-Ore YtD'!$A:$A,N$1,'DB Costi-Ore YtD'!$B:$B,$A135,'DB Costi-Ore YtD'!$E:$E,$C135)-SUM($D135:M135),0)</f>
        <v>0</v>
      </c>
      <c r="O135" s="9">
        <f>IF((O$1*1)&lt;=MAX('DB Costi-Ore YtD'!$A:$A),SUMIFS('DB Costi-Ore YtD'!$F:$F,'DB Costi-Ore YtD'!$A:$A,O$1,'DB Costi-Ore YtD'!$B:$B,$A135,'DB Costi-Ore YtD'!$E:$E,$C135)-SUM($D135:N135),0)</f>
        <v>0</v>
      </c>
    </row>
    <row r="136" spans="1:15" x14ac:dyDescent="0.3">
      <c r="A136" s="9" t="s">
        <v>297</v>
      </c>
      <c r="B136" s="9" t="s">
        <v>298</v>
      </c>
      <c r="C136" s="9" t="s">
        <v>2</v>
      </c>
      <c r="D136" s="9">
        <f>IF((D$1*1)&lt;=MAX('DB Costi-Ore YtD'!$A:$A),SUMIFS('DB Costi-Ore YtD'!$F:$F,'DB Costi-Ore YtD'!$A:$A,D$1,'DB Costi-Ore YtD'!$B:$B,$A136,'DB Costi-Ore YtD'!$E:$E,$C136),0)</f>
        <v>127</v>
      </c>
      <c r="E136" s="9">
        <f>IF((E$1*1)&lt;=MAX('DB Costi-Ore YtD'!$A:$A),SUMIFS('DB Costi-Ore YtD'!$F:$F,'DB Costi-Ore YtD'!$A:$A,E$1,'DB Costi-Ore YtD'!$B:$B,$A136,'DB Costi-Ore YtD'!$E:$E,$C136)-SUM($D136:D136),0)</f>
        <v>124.5</v>
      </c>
      <c r="F136" s="9">
        <f>IF((F$1*1)&lt;=MAX('DB Costi-Ore YtD'!$A:$A),SUMIFS('DB Costi-Ore YtD'!$F:$F,'DB Costi-Ore YtD'!$A:$A,F$1,'DB Costi-Ore YtD'!$B:$B,$A136,'DB Costi-Ore YtD'!$E:$E,$C136)-SUM($D136:E136),0)</f>
        <v>148.25</v>
      </c>
      <c r="G136" s="9">
        <f>IF((G$1*1)&lt;=MAX('DB Costi-Ore YtD'!$A:$A),SUMIFS('DB Costi-Ore YtD'!$F:$F,'DB Costi-Ore YtD'!$A:$A,G$1,'DB Costi-Ore YtD'!$B:$B,$A136,'DB Costi-Ore YtD'!$E:$E,$C136)-SUM($D136:F136),0)</f>
        <v>125.75</v>
      </c>
      <c r="H136" s="9">
        <f>IF((H$1*1)&lt;=MAX('DB Costi-Ore YtD'!$A:$A),SUMIFS('DB Costi-Ore YtD'!$F:$F,'DB Costi-Ore YtD'!$A:$A,H$1,'DB Costi-Ore YtD'!$B:$B,$A136,'DB Costi-Ore YtD'!$E:$E,$C136)-SUM($D136:G136),0)</f>
        <v>134.5</v>
      </c>
      <c r="I136" s="9">
        <f>IF((I$1*1)&lt;=MAX('DB Costi-Ore YtD'!$A:$A),SUMIFS('DB Costi-Ore YtD'!$F:$F,'DB Costi-Ore YtD'!$A:$A,I$1,'DB Costi-Ore YtD'!$B:$B,$A136,'DB Costi-Ore YtD'!$E:$E,$C136)-SUM($D136:H136),0)</f>
        <v>146.75</v>
      </c>
      <c r="J136" s="9">
        <f>IF((J$1*1)&lt;=MAX('DB Costi-Ore YtD'!$A:$A),SUMIFS('DB Costi-Ore YtD'!$F:$F,'DB Costi-Ore YtD'!$A:$A,J$1,'DB Costi-Ore YtD'!$B:$B,$A136,'DB Costi-Ore YtD'!$E:$E,$C136)-SUM($D136:I136),0)</f>
        <v>0</v>
      </c>
      <c r="K136" s="9">
        <f>IF((K$1*1)&lt;=MAX('DB Costi-Ore YtD'!$A:$A),SUMIFS('DB Costi-Ore YtD'!$F:$F,'DB Costi-Ore YtD'!$A:$A,K$1,'DB Costi-Ore YtD'!$B:$B,$A136,'DB Costi-Ore YtD'!$E:$E,$C136)-SUM($D136:J136),0)</f>
        <v>0</v>
      </c>
      <c r="L136" s="9">
        <f>IF((L$1*1)&lt;=MAX('DB Costi-Ore YtD'!$A:$A),SUMIFS('DB Costi-Ore YtD'!$F:$F,'DB Costi-Ore YtD'!$A:$A,L$1,'DB Costi-Ore YtD'!$B:$B,$A136,'DB Costi-Ore YtD'!$E:$E,$C136)-SUM($D136:K136),0)</f>
        <v>0</v>
      </c>
      <c r="M136" s="9">
        <f>IF((M$1*1)&lt;=MAX('DB Costi-Ore YtD'!$A:$A),SUMIFS('DB Costi-Ore YtD'!$F:$F,'DB Costi-Ore YtD'!$A:$A,M$1,'DB Costi-Ore YtD'!$B:$B,$A136,'DB Costi-Ore YtD'!$E:$E,$C136)-SUM($D136:L136),0)</f>
        <v>0</v>
      </c>
      <c r="N136" s="9">
        <f>IF((N$1*1)&lt;=MAX('DB Costi-Ore YtD'!$A:$A),SUMIFS('DB Costi-Ore YtD'!$F:$F,'DB Costi-Ore YtD'!$A:$A,N$1,'DB Costi-Ore YtD'!$B:$B,$A136,'DB Costi-Ore YtD'!$E:$E,$C136)-SUM($D136:M136),0)</f>
        <v>0</v>
      </c>
      <c r="O136" s="9">
        <f>IF((O$1*1)&lt;=MAX('DB Costi-Ore YtD'!$A:$A),SUMIFS('DB Costi-Ore YtD'!$F:$F,'DB Costi-Ore YtD'!$A:$A,O$1,'DB Costi-Ore YtD'!$B:$B,$A136,'DB Costi-Ore YtD'!$E:$E,$C136)-SUM($D136:N136),0)</f>
        <v>0</v>
      </c>
    </row>
    <row r="137" spans="1:15" x14ac:dyDescent="0.3">
      <c r="A137" s="9" t="s">
        <v>299</v>
      </c>
      <c r="B137" s="9" t="s">
        <v>300</v>
      </c>
      <c r="C137" s="9" t="s">
        <v>10</v>
      </c>
      <c r="D137" s="9">
        <f>IF((D$1*1)&lt;=MAX('DB Costi-Ore YtD'!$A:$A),SUMIFS('DB Costi-Ore YtD'!$F:$F,'DB Costi-Ore YtD'!$A:$A,D$1,'DB Costi-Ore YtD'!$B:$B,$A137,'DB Costi-Ore YtD'!$E:$E,$C137),0)</f>
        <v>113.5</v>
      </c>
      <c r="E137" s="9">
        <f>IF((E$1*1)&lt;=MAX('DB Costi-Ore YtD'!$A:$A),SUMIFS('DB Costi-Ore YtD'!$F:$F,'DB Costi-Ore YtD'!$A:$A,E$1,'DB Costi-Ore YtD'!$B:$B,$A137,'DB Costi-Ore YtD'!$E:$E,$C137)-SUM($D137:D137),0)</f>
        <v>103.5</v>
      </c>
      <c r="F137" s="9">
        <f>IF((F$1*1)&lt;=MAX('DB Costi-Ore YtD'!$A:$A),SUMIFS('DB Costi-Ore YtD'!$F:$F,'DB Costi-Ore YtD'!$A:$A,F$1,'DB Costi-Ore YtD'!$B:$B,$A137,'DB Costi-Ore YtD'!$E:$E,$C137)-SUM($D137:E137),0)</f>
        <v>112.5</v>
      </c>
      <c r="G137" s="9">
        <f>IF((G$1*1)&lt;=MAX('DB Costi-Ore YtD'!$A:$A),SUMIFS('DB Costi-Ore YtD'!$F:$F,'DB Costi-Ore YtD'!$A:$A,G$1,'DB Costi-Ore YtD'!$B:$B,$A137,'DB Costi-Ore YtD'!$E:$E,$C137)-SUM($D137:F137),0)</f>
        <v>127.5</v>
      </c>
      <c r="H137" s="9">
        <f>IF((H$1*1)&lt;=MAX('DB Costi-Ore YtD'!$A:$A),SUMIFS('DB Costi-Ore YtD'!$F:$F,'DB Costi-Ore YtD'!$A:$A,H$1,'DB Costi-Ore YtD'!$B:$B,$A137,'DB Costi-Ore YtD'!$E:$E,$C137)-SUM($D137:G137),0)</f>
        <v>75</v>
      </c>
      <c r="I137" s="9">
        <f>IF((I$1*1)&lt;=MAX('DB Costi-Ore YtD'!$A:$A),SUMIFS('DB Costi-Ore YtD'!$F:$F,'DB Costi-Ore YtD'!$A:$A,I$1,'DB Costi-Ore YtD'!$B:$B,$A137,'DB Costi-Ore YtD'!$E:$E,$C137)-SUM($D137:H137),0)</f>
        <v>144.5</v>
      </c>
      <c r="J137" s="9">
        <f>IF((J$1*1)&lt;=MAX('DB Costi-Ore YtD'!$A:$A),SUMIFS('DB Costi-Ore YtD'!$F:$F,'DB Costi-Ore YtD'!$A:$A,J$1,'DB Costi-Ore YtD'!$B:$B,$A137,'DB Costi-Ore YtD'!$E:$E,$C137)-SUM($D137:I137),0)</f>
        <v>0</v>
      </c>
      <c r="K137" s="9">
        <f>IF((K$1*1)&lt;=MAX('DB Costi-Ore YtD'!$A:$A),SUMIFS('DB Costi-Ore YtD'!$F:$F,'DB Costi-Ore YtD'!$A:$A,K$1,'DB Costi-Ore YtD'!$B:$B,$A137,'DB Costi-Ore YtD'!$E:$E,$C137)-SUM($D137:J137),0)</f>
        <v>0</v>
      </c>
      <c r="L137" s="9">
        <f>IF((L$1*1)&lt;=MAX('DB Costi-Ore YtD'!$A:$A),SUMIFS('DB Costi-Ore YtD'!$F:$F,'DB Costi-Ore YtD'!$A:$A,L$1,'DB Costi-Ore YtD'!$B:$B,$A137,'DB Costi-Ore YtD'!$E:$E,$C137)-SUM($D137:K137),0)</f>
        <v>0</v>
      </c>
      <c r="M137" s="9">
        <f>IF((M$1*1)&lt;=MAX('DB Costi-Ore YtD'!$A:$A),SUMIFS('DB Costi-Ore YtD'!$F:$F,'DB Costi-Ore YtD'!$A:$A,M$1,'DB Costi-Ore YtD'!$B:$B,$A137,'DB Costi-Ore YtD'!$E:$E,$C137)-SUM($D137:L137),0)</f>
        <v>0</v>
      </c>
      <c r="N137" s="9">
        <f>IF((N$1*1)&lt;=MAX('DB Costi-Ore YtD'!$A:$A),SUMIFS('DB Costi-Ore YtD'!$F:$F,'DB Costi-Ore YtD'!$A:$A,N$1,'DB Costi-Ore YtD'!$B:$B,$A137,'DB Costi-Ore YtD'!$E:$E,$C137)-SUM($D137:M137),0)</f>
        <v>0</v>
      </c>
      <c r="O137" s="9">
        <f>IF((O$1*1)&lt;=MAX('DB Costi-Ore YtD'!$A:$A),SUMIFS('DB Costi-Ore YtD'!$F:$F,'DB Costi-Ore YtD'!$A:$A,O$1,'DB Costi-Ore YtD'!$B:$B,$A137,'DB Costi-Ore YtD'!$E:$E,$C137)-SUM($D137:N137),0)</f>
        <v>0</v>
      </c>
    </row>
    <row r="138" spans="1:15" x14ac:dyDescent="0.3">
      <c r="A138" s="9" t="s">
        <v>301</v>
      </c>
      <c r="B138" s="9" t="s">
        <v>302</v>
      </c>
      <c r="C138" s="9" t="s">
        <v>5</v>
      </c>
      <c r="D138" s="9">
        <f>IF((D$1*1)&lt;=MAX('DB Costi-Ore YtD'!$A:$A),SUMIFS('DB Costi-Ore YtD'!$F:$F,'DB Costi-Ore YtD'!$A:$A,D$1,'DB Costi-Ore YtD'!$B:$B,$A138,'DB Costi-Ore YtD'!$E:$E,$C138),0)</f>
        <v>56</v>
      </c>
      <c r="E138" s="9">
        <f>IF((E$1*1)&lt;=MAX('DB Costi-Ore YtD'!$A:$A),SUMIFS('DB Costi-Ore YtD'!$F:$F,'DB Costi-Ore YtD'!$A:$A,E$1,'DB Costi-Ore YtD'!$B:$B,$A138,'DB Costi-Ore YtD'!$E:$E,$C138)-SUM($D138:D138),0)</f>
        <v>111</v>
      </c>
      <c r="F138" s="9">
        <f>IF((F$1*1)&lt;=MAX('DB Costi-Ore YtD'!$A:$A),SUMIFS('DB Costi-Ore YtD'!$F:$F,'DB Costi-Ore YtD'!$A:$A,F$1,'DB Costi-Ore YtD'!$B:$B,$A138,'DB Costi-Ore YtD'!$E:$E,$C138)-SUM($D138:E138),0)</f>
        <v>123</v>
      </c>
      <c r="G138" s="9">
        <f>IF((G$1*1)&lt;=MAX('DB Costi-Ore YtD'!$A:$A),SUMIFS('DB Costi-Ore YtD'!$F:$F,'DB Costi-Ore YtD'!$A:$A,G$1,'DB Costi-Ore YtD'!$B:$B,$A138,'DB Costi-Ore YtD'!$E:$E,$C138)-SUM($D138:F138),0)</f>
        <v>115.25</v>
      </c>
      <c r="H138" s="9">
        <f>IF((H$1*1)&lt;=MAX('DB Costi-Ore YtD'!$A:$A),SUMIFS('DB Costi-Ore YtD'!$F:$F,'DB Costi-Ore YtD'!$A:$A,H$1,'DB Costi-Ore YtD'!$B:$B,$A138,'DB Costi-Ore YtD'!$E:$E,$C138)-SUM($D138:G138),0)</f>
        <v>135.25</v>
      </c>
      <c r="I138" s="9">
        <f>IF((I$1*1)&lt;=MAX('DB Costi-Ore YtD'!$A:$A),SUMIFS('DB Costi-Ore YtD'!$F:$F,'DB Costi-Ore YtD'!$A:$A,I$1,'DB Costi-Ore YtD'!$B:$B,$A138,'DB Costi-Ore YtD'!$E:$E,$C138)-SUM($D138:H138),0)</f>
        <v>14</v>
      </c>
      <c r="J138" s="9">
        <f>IF((J$1*1)&lt;=MAX('DB Costi-Ore YtD'!$A:$A),SUMIFS('DB Costi-Ore YtD'!$F:$F,'DB Costi-Ore YtD'!$A:$A,J$1,'DB Costi-Ore YtD'!$B:$B,$A138,'DB Costi-Ore YtD'!$E:$E,$C138)-SUM($D138:I138),0)</f>
        <v>0</v>
      </c>
      <c r="K138" s="9">
        <f>IF((K$1*1)&lt;=MAX('DB Costi-Ore YtD'!$A:$A),SUMIFS('DB Costi-Ore YtD'!$F:$F,'DB Costi-Ore YtD'!$A:$A,K$1,'DB Costi-Ore YtD'!$B:$B,$A138,'DB Costi-Ore YtD'!$E:$E,$C138)-SUM($D138:J138),0)</f>
        <v>0</v>
      </c>
      <c r="L138" s="9">
        <f>IF((L$1*1)&lt;=MAX('DB Costi-Ore YtD'!$A:$A),SUMIFS('DB Costi-Ore YtD'!$F:$F,'DB Costi-Ore YtD'!$A:$A,L$1,'DB Costi-Ore YtD'!$B:$B,$A138,'DB Costi-Ore YtD'!$E:$E,$C138)-SUM($D138:K138),0)</f>
        <v>0</v>
      </c>
      <c r="M138" s="9">
        <f>IF((M$1*1)&lt;=MAX('DB Costi-Ore YtD'!$A:$A),SUMIFS('DB Costi-Ore YtD'!$F:$F,'DB Costi-Ore YtD'!$A:$A,M$1,'DB Costi-Ore YtD'!$B:$B,$A138,'DB Costi-Ore YtD'!$E:$E,$C138)-SUM($D138:L138),0)</f>
        <v>0</v>
      </c>
      <c r="N138" s="9">
        <f>IF((N$1*1)&lt;=MAX('DB Costi-Ore YtD'!$A:$A),SUMIFS('DB Costi-Ore YtD'!$F:$F,'DB Costi-Ore YtD'!$A:$A,N$1,'DB Costi-Ore YtD'!$B:$B,$A138,'DB Costi-Ore YtD'!$E:$E,$C138)-SUM($D138:M138),0)</f>
        <v>0</v>
      </c>
      <c r="O138" s="9">
        <f>IF((O$1*1)&lt;=MAX('DB Costi-Ore YtD'!$A:$A),SUMIFS('DB Costi-Ore YtD'!$F:$F,'DB Costi-Ore YtD'!$A:$A,O$1,'DB Costi-Ore YtD'!$B:$B,$A138,'DB Costi-Ore YtD'!$E:$E,$C138)-SUM($D138:N138),0)</f>
        <v>0</v>
      </c>
    </row>
    <row r="139" spans="1:15" x14ac:dyDescent="0.3">
      <c r="A139" s="9" t="s">
        <v>303</v>
      </c>
      <c r="B139" s="9" t="s">
        <v>304</v>
      </c>
      <c r="C139" s="9" t="s">
        <v>13</v>
      </c>
      <c r="D139" s="9">
        <f>IF((D$1*1)&lt;=MAX('DB Costi-Ore YtD'!$A:$A),SUMIFS('DB Costi-Ore YtD'!$F:$F,'DB Costi-Ore YtD'!$A:$A,D$1,'DB Costi-Ore YtD'!$B:$B,$A139,'DB Costi-Ore YtD'!$E:$E,$C139),0)</f>
        <v>100.5</v>
      </c>
      <c r="E139" s="9">
        <f>IF((E$1*1)&lt;=MAX('DB Costi-Ore YtD'!$A:$A),SUMIFS('DB Costi-Ore YtD'!$F:$F,'DB Costi-Ore YtD'!$A:$A,E$1,'DB Costi-Ore YtD'!$B:$B,$A139,'DB Costi-Ore YtD'!$E:$E,$C139)-SUM($D139:D139),0)</f>
        <v>116.5</v>
      </c>
      <c r="F139" s="9">
        <f>IF((F$1*1)&lt;=MAX('DB Costi-Ore YtD'!$A:$A),SUMIFS('DB Costi-Ore YtD'!$F:$F,'DB Costi-Ore YtD'!$A:$A,F$1,'DB Costi-Ore YtD'!$B:$B,$A139,'DB Costi-Ore YtD'!$E:$E,$C139)-SUM($D139:E139),0)</f>
        <v>108.44999999999999</v>
      </c>
      <c r="G139" s="9">
        <f>IF((G$1*1)&lt;=MAX('DB Costi-Ore YtD'!$A:$A),SUMIFS('DB Costi-Ore YtD'!$F:$F,'DB Costi-Ore YtD'!$A:$A,G$1,'DB Costi-Ore YtD'!$B:$B,$A139,'DB Costi-Ore YtD'!$E:$E,$C139)-SUM($D139:F139),0)</f>
        <v>10</v>
      </c>
      <c r="H139" s="9">
        <f>IF((H$1*1)&lt;=MAX('DB Costi-Ore YtD'!$A:$A),SUMIFS('DB Costi-Ore YtD'!$F:$F,'DB Costi-Ore YtD'!$A:$A,H$1,'DB Costi-Ore YtD'!$B:$B,$A139,'DB Costi-Ore YtD'!$E:$E,$C139)-SUM($D139:G139),0)</f>
        <v>0</v>
      </c>
      <c r="I139" s="9">
        <f>IF((I$1*1)&lt;=MAX('DB Costi-Ore YtD'!$A:$A),SUMIFS('DB Costi-Ore YtD'!$F:$F,'DB Costi-Ore YtD'!$A:$A,I$1,'DB Costi-Ore YtD'!$B:$B,$A139,'DB Costi-Ore YtD'!$E:$E,$C139)-SUM($D139:H139),0)</f>
        <v>0</v>
      </c>
      <c r="J139" s="9">
        <f>IF((J$1*1)&lt;=MAX('DB Costi-Ore YtD'!$A:$A),SUMIFS('DB Costi-Ore YtD'!$F:$F,'DB Costi-Ore YtD'!$A:$A,J$1,'DB Costi-Ore YtD'!$B:$B,$A139,'DB Costi-Ore YtD'!$E:$E,$C139)-SUM($D139:I139),0)</f>
        <v>0</v>
      </c>
      <c r="K139" s="9">
        <f>IF((K$1*1)&lt;=MAX('DB Costi-Ore YtD'!$A:$A),SUMIFS('DB Costi-Ore YtD'!$F:$F,'DB Costi-Ore YtD'!$A:$A,K$1,'DB Costi-Ore YtD'!$B:$B,$A139,'DB Costi-Ore YtD'!$E:$E,$C139)-SUM($D139:J139),0)</f>
        <v>0</v>
      </c>
      <c r="L139" s="9">
        <f>IF((L$1*1)&lt;=MAX('DB Costi-Ore YtD'!$A:$A),SUMIFS('DB Costi-Ore YtD'!$F:$F,'DB Costi-Ore YtD'!$A:$A,L$1,'DB Costi-Ore YtD'!$B:$B,$A139,'DB Costi-Ore YtD'!$E:$E,$C139)-SUM($D139:K139),0)</f>
        <v>0</v>
      </c>
      <c r="M139" s="9">
        <f>IF((M$1*1)&lt;=MAX('DB Costi-Ore YtD'!$A:$A),SUMIFS('DB Costi-Ore YtD'!$F:$F,'DB Costi-Ore YtD'!$A:$A,M$1,'DB Costi-Ore YtD'!$B:$B,$A139,'DB Costi-Ore YtD'!$E:$E,$C139)-SUM($D139:L139),0)</f>
        <v>0</v>
      </c>
      <c r="N139" s="9">
        <f>IF((N$1*1)&lt;=MAX('DB Costi-Ore YtD'!$A:$A),SUMIFS('DB Costi-Ore YtD'!$F:$F,'DB Costi-Ore YtD'!$A:$A,N$1,'DB Costi-Ore YtD'!$B:$B,$A139,'DB Costi-Ore YtD'!$E:$E,$C139)-SUM($D139:M139),0)</f>
        <v>0</v>
      </c>
      <c r="O139" s="9">
        <f>IF((O$1*1)&lt;=MAX('DB Costi-Ore YtD'!$A:$A),SUMIFS('DB Costi-Ore YtD'!$F:$F,'DB Costi-Ore YtD'!$A:$A,O$1,'DB Costi-Ore YtD'!$B:$B,$A139,'DB Costi-Ore YtD'!$E:$E,$C139)-SUM($D139:N139),0)</f>
        <v>0</v>
      </c>
    </row>
    <row r="140" spans="1:15" x14ac:dyDescent="0.3">
      <c r="A140" s="9" t="s">
        <v>305</v>
      </c>
      <c r="B140" s="9" t="s">
        <v>306</v>
      </c>
      <c r="C140" s="9" t="s">
        <v>5</v>
      </c>
      <c r="D140" s="9">
        <f>IF((D$1*1)&lt;=MAX('DB Costi-Ore YtD'!$A:$A),SUMIFS('DB Costi-Ore YtD'!$F:$F,'DB Costi-Ore YtD'!$A:$A,D$1,'DB Costi-Ore YtD'!$B:$B,$A140,'DB Costi-Ore YtD'!$E:$E,$C140),0)</f>
        <v>145.5</v>
      </c>
      <c r="E140" s="9">
        <f>IF((E$1*1)&lt;=MAX('DB Costi-Ore YtD'!$A:$A),SUMIFS('DB Costi-Ore YtD'!$F:$F,'DB Costi-Ore YtD'!$A:$A,E$1,'DB Costi-Ore YtD'!$B:$B,$A140,'DB Costi-Ore YtD'!$E:$E,$C140)-SUM($D140:D140),0)</f>
        <v>139.5</v>
      </c>
      <c r="F140" s="9">
        <f>IF((F$1*1)&lt;=MAX('DB Costi-Ore YtD'!$A:$A),SUMIFS('DB Costi-Ore YtD'!$F:$F,'DB Costi-Ore YtD'!$A:$A,F$1,'DB Costi-Ore YtD'!$B:$B,$A140,'DB Costi-Ore YtD'!$E:$E,$C140)-SUM($D140:E140),0)</f>
        <v>145</v>
      </c>
      <c r="G140" s="9">
        <f>IF((G$1*1)&lt;=MAX('DB Costi-Ore YtD'!$A:$A),SUMIFS('DB Costi-Ore YtD'!$F:$F,'DB Costi-Ore YtD'!$A:$A,G$1,'DB Costi-Ore YtD'!$B:$B,$A140,'DB Costi-Ore YtD'!$E:$E,$C140)-SUM($D140:F140),0)</f>
        <v>137.75</v>
      </c>
      <c r="H140" s="9">
        <f>IF((H$1*1)&lt;=MAX('DB Costi-Ore YtD'!$A:$A),SUMIFS('DB Costi-Ore YtD'!$F:$F,'DB Costi-Ore YtD'!$A:$A,H$1,'DB Costi-Ore YtD'!$B:$B,$A140,'DB Costi-Ore YtD'!$E:$E,$C140)-SUM($D140:G140),0)</f>
        <v>147</v>
      </c>
      <c r="I140" s="9">
        <f>IF((I$1*1)&lt;=MAX('DB Costi-Ore YtD'!$A:$A),SUMIFS('DB Costi-Ore YtD'!$F:$F,'DB Costi-Ore YtD'!$A:$A,I$1,'DB Costi-Ore YtD'!$B:$B,$A140,'DB Costi-Ore YtD'!$E:$E,$C140)-SUM($D140:H140),0)</f>
        <v>140</v>
      </c>
      <c r="J140" s="9">
        <f>IF((J$1*1)&lt;=MAX('DB Costi-Ore YtD'!$A:$A),SUMIFS('DB Costi-Ore YtD'!$F:$F,'DB Costi-Ore YtD'!$A:$A,J$1,'DB Costi-Ore YtD'!$B:$B,$A140,'DB Costi-Ore YtD'!$E:$E,$C140)-SUM($D140:I140),0)</f>
        <v>0</v>
      </c>
      <c r="K140" s="9">
        <f>IF((K$1*1)&lt;=MAX('DB Costi-Ore YtD'!$A:$A),SUMIFS('DB Costi-Ore YtD'!$F:$F,'DB Costi-Ore YtD'!$A:$A,K$1,'DB Costi-Ore YtD'!$B:$B,$A140,'DB Costi-Ore YtD'!$E:$E,$C140)-SUM($D140:J140),0)</f>
        <v>0</v>
      </c>
      <c r="L140" s="9">
        <f>IF((L$1*1)&lt;=MAX('DB Costi-Ore YtD'!$A:$A),SUMIFS('DB Costi-Ore YtD'!$F:$F,'DB Costi-Ore YtD'!$A:$A,L$1,'DB Costi-Ore YtD'!$B:$B,$A140,'DB Costi-Ore YtD'!$E:$E,$C140)-SUM($D140:K140),0)</f>
        <v>0</v>
      </c>
      <c r="M140" s="9">
        <f>IF((M$1*1)&lt;=MAX('DB Costi-Ore YtD'!$A:$A),SUMIFS('DB Costi-Ore YtD'!$F:$F,'DB Costi-Ore YtD'!$A:$A,M$1,'DB Costi-Ore YtD'!$B:$B,$A140,'DB Costi-Ore YtD'!$E:$E,$C140)-SUM($D140:L140),0)</f>
        <v>0</v>
      </c>
      <c r="N140" s="9">
        <f>IF((N$1*1)&lt;=MAX('DB Costi-Ore YtD'!$A:$A),SUMIFS('DB Costi-Ore YtD'!$F:$F,'DB Costi-Ore YtD'!$A:$A,N$1,'DB Costi-Ore YtD'!$B:$B,$A140,'DB Costi-Ore YtD'!$E:$E,$C140)-SUM($D140:M140),0)</f>
        <v>0</v>
      </c>
      <c r="O140" s="9">
        <f>IF((O$1*1)&lt;=MAX('DB Costi-Ore YtD'!$A:$A),SUMIFS('DB Costi-Ore YtD'!$F:$F,'DB Costi-Ore YtD'!$A:$A,O$1,'DB Costi-Ore YtD'!$B:$B,$A140,'DB Costi-Ore YtD'!$E:$E,$C140)-SUM($D140:N140),0)</f>
        <v>0</v>
      </c>
    </row>
    <row r="141" spans="1:15" x14ac:dyDescent="0.3">
      <c r="A141" s="9" t="s">
        <v>307</v>
      </c>
      <c r="B141" s="9" t="s">
        <v>308</v>
      </c>
      <c r="C141" s="9" t="s">
        <v>13</v>
      </c>
      <c r="D141" s="9">
        <f>IF((D$1*1)&lt;=MAX('DB Costi-Ore YtD'!$A:$A),SUMIFS('DB Costi-Ore YtD'!$F:$F,'DB Costi-Ore YtD'!$A:$A,D$1,'DB Costi-Ore YtD'!$B:$B,$A141,'DB Costi-Ore YtD'!$E:$E,$C141),0)</f>
        <v>75.75</v>
      </c>
      <c r="E141" s="9">
        <f>IF((E$1*1)&lt;=MAX('DB Costi-Ore YtD'!$A:$A),SUMIFS('DB Costi-Ore YtD'!$F:$F,'DB Costi-Ore YtD'!$A:$A,E$1,'DB Costi-Ore YtD'!$B:$B,$A141,'DB Costi-Ore YtD'!$E:$E,$C141)-SUM($D141:D141),0)</f>
        <v>80</v>
      </c>
      <c r="F141" s="9">
        <f>IF((F$1*1)&lt;=MAX('DB Costi-Ore YtD'!$A:$A),SUMIFS('DB Costi-Ore YtD'!$F:$F,'DB Costi-Ore YtD'!$A:$A,F$1,'DB Costi-Ore YtD'!$B:$B,$A141,'DB Costi-Ore YtD'!$E:$E,$C141)-SUM($D141:E141),0)</f>
        <v>111.25</v>
      </c>
      <c r="G141" s="9">
        <f>IF((G$1*1)&lt;=MAX('DB Costi-Ore YtD'!$A:$A),SUMIFS('DB Costi-Ore YtD'!$F:$F,'DB Costi-Ore YtD'!$A:$A,G$1,'DB Costi-Ore YtD'!$B:$B,$A141,'DB Costi-Ore YtD'!$E:$E,$C141)-SUM($D141:F141),0)</f>
        <v>120</v>
      </c>
      <c r="H141" s="9">
        <f>IF((H$1*1)&lt;=MAX('DB Costi-Ore YtD'!$A:$A),SUMIFS('DB Costi-Ore YtD'!$F:$F,'DB Costi-Ore YtD'!$A:$A,H$1,'DB Costi-Ore YtD'!$B:$B,$A141,'DB Costi-Ore YtD'!$E:$E,$C141)-SUM($D141:G141),0)</f>
        <v>117.75</v>
      </c>
      <c r="I141" s="9">
        <f>IF((I$1*1)&lt;=MAX('DB Costi-Ore YtD'!$A:$A),SUMIFS('DB Costi-Ore YtD'!$F:$F,'DB Costi-Ore YtD'!$A:$A,I$1,'DB Costi-Ore YtD'!$B:$B,$A141,'DB Costi-Ore YtD'!$E:$E,$C141)-SUM($D141:H141),0)</f>
        <v>118</v>
      </c>
      <c r="J141" s="9">
        <f>IF((J$1*1)&lt;=MAX('DB Costi-Ore YtD'!$A:$A),SUMIFS('DB Costi-Ore YtD'!$F:$F,'DB Costi-Ore YtD'!$A:$A,J$1,'DB Costi-Ore YtD'!$B:$B,$A141,'DB Costi-Ore YtD'!$E:$E,$C141)-SUM($D141:I141),0)</f>
        <v>0</v>
      </c>
      <c r="K141" s="9">
        <f>IF((K$1*1)&lt;=MAX('DB Costi-Ore YtD'!$A:$A),SUMIFS('DB Costi-Ore YtD'!$F:$F,'DB Costi-Ore YtD'!$A:$A,K$1,'DB Costi-Ore YtD'!$B:$B,$A141,'DB Costi-Ore YtD'!$E:$E,$C141)-SUM($D141:J141),0)</f>
        <v>0</v>
      </c>
      <c r="L141" s="9">
        <f>IF((L$1*1)&lt;=MAX('DB Costi-Ore YtD'!$A:$A),SUMIFS('DB Costi-Ore YtD'!$F:$F,'DB Costi-Ore YtD'!$A:$A,L$1,'DB Costi-Ore YtD'!$B:$B,$A141,'DB Costi-Ore YtD'!$E:$E,$C141)-SUM($D141:K141),0)</f>
        <v>0</v>
      </c>
      <c r="M141" s="9">
        <f>IF((M$1*1)&lt;=MAX('DB Costi-Ore YtD'!$A:$A),SUMIFS('DB Costi-Ore YtD'!$F:$F,'DB Costi-Ore YtD'!$A:$A,M$1,'DB Costi-Ore YtD'!$B:$B,$A141,'DB Costi-Ore YtD'!$E:$E,$C141)-SUM($D141:L141),0)</f>
        <v>0</v>
      </c>
      <c r="N141" s="9">
        <f>IF((N$1*1)&lt;=MAX('DB Costi-Ore YtD'!$A:$A),SUMIFS('DB Costi-Ore YtD'!$F:$F,'DB Costi-Ore YtD'!$A:$A,N$1,'DB Costi-Ore YtD'!$B:$B,$A141,'DB Costi-Ore YtD'!$E:$E,$C141)-SUM($D141:M141),0)</f>
        <v>0</v>
      </c>
      <c r="O141" s="9">
        <f>IF((O$1*1)&lt;=MAX('DB Costi-Ore YtD'!$A:$A),SUMIFS('DB Costi-Ore YtD'!$F:$F,'DB Costi-Ore YtD'!$A:$A,O$1,'DB Costi-Ore YtD'!$B:$B,$A141,'DB Costi-Ore YtD'!$E:$E,$C141)-SUM($D141:N141),0)</f>
        <v>0</v>
      </c>
    </row>
    <row r="142" spans="1:15" x14ac:dyDescent="0.3">
      <c r="A142" s="9" t="s">
        <v>309</v>
      </c>
      <c r="B142" s="9" t="s">
        <v>310</v>
      </c>
      <c r="C142" s="9" t="s">
        <v>10</v>
      </c>
      <c r="D142" s="9">
        <f>IF((D$1*1)&lt;=MAX('DB Costi-Ore YtD'!$A:$A),SUMIFS('DB Costi-Ore YtD'!$F:$F,'DB Costi-Ore YtD'!$A:$A,D$1,'DB Costi-Ore YtD'!$B:$B,$A142,'DB Costi-Ore YtD'!$E:$E,$C142),0)</f>
        <v>157</v>
      </c>
      <c r="E142" s="9">
        <f>IF((E$1*1)&lt;=MAX('DB Costi-Ore YtD'!$A:$A),SUMIFS('DB Costi-Ore YtD'!$F:$F,'DB Costi-Ore YtD'!$A:$A,E$1,'DB Costi-Ore YtD'!$B:$B,$A142,'DB Costi-Ore YtD'!$E:$E,$C142)-SUM($D142:D142),0)</f>
        <v>151.5</v>
      </c>
      <c r="F142" s="9">
        <f>IF((F$1*1)&lt;=MAX('DB Costi-Ore YtD'!$A:$A),SUMIFS('DB Costi-Ore YtD'!$F:$F,'DB Costi-Ore YtD'!$A:$A,F$1,'DB Costi-Ore YtD'!$B:$B,$A142,'DB Costi-Ore YtD'!$E:$E,$C142)-SUM($D142:E142),0)</f>
        <v>159</v>
      </c>
      <c r="G142" s="9">
        <f>IF((G$1*1)&lt;=MAX('DB Costi-Ore YtD'!$A:$A),SUMIFS('DB Costi-Ore YtD'!$F:$F,'DB Costi-Ore YtD'!$A:$A,G$1,'DB Costi-Ore YtD'!$B:$B,$A142,'DB Costi-Ore YtD'!$E:$E,$C142)-SUM($D142:F142),0)</f>
        <v>151.5</v>
      </c>
      <c r="H142" s="9">
        <f>IF((H$1*1)&lt;=MAX('DB Costi-Ore YtD'!$A:$A),SUMIFS('DB Costi-Ore YtD'!$F:$F,'DB Costi-Ore YtD'!$A:$A,H$1,'DB Costi-Ore YtD'!$B:$B,$A142,'DB Costi-Ore YtD'!$E:$E,$C142)-SUM($D142:G142),0)</f>
        <v>157.5</v>
      </c>
      <c r="I142" s="9">
        <f>IF((I$1*1)&lt;=MAX('DB Costi-Ore YtD'!$A:$A),SUMIFS('DB Costi-Ore YtD'!$F:$F,'DB Costi-Ore YtD'!$A:$A,I$1,'DB Costi-Ore YtD'!$B:$B,$A142,'DB Costi-Ore YtD'!$E:$E,$C142)-SUM($D142:H142),0)</f>
        <v>151.5</v>
      </c>
      <c r="J142" s="9">
        <f>IF((J$1*1)&lt;=MAX('DB Costi-Ore YtD'!$A:$A),SUMIFS('DB Costi-Ore YtD'!$F:$F,'DB Costi-Ore YtD'!$A:$A,J$1,'DB Costi-Ore YtD'!$B:$B,$A142,'DB Costi-Ore YtD'!$E:$E,$C142)-SUM($D142:I142),0)</f>
        <v>0</v>
      </c>
      <c r="K142" s="9">
        <f>IF((K$1*1)&lt;=MAX('DB Costi-Ore YtD'!$A:$A),SUMIFS('DB Costi-Ore YtD'!$F:$F,'DB Costi-Ore YtD'!$A:$A,K$1,'DB Costi-Ore YtD'!$B:$B,$A142,'DB Costi-Ore YtD'!$E:$E,$C142)-SUM($D142:J142),0)</f>
        <v>0</v>
      </c>
      <c r="L142" s="9">
        <f>IF((L$1*1)&lt;=MAX('DB Costi-Ore YtD'!$A:$A),SUMIFS('DB Costi-Ore YtD'!$F:$F,'DB Costi-Ore YtD'!$A:$A,L$1,'DB Costi-Ore YtD'!$B:$B,$A142,'DB Costi-Ore YtD'!$E:$E,$C142)-SUM($D142:K142),0)</f>
        <v>0</v>
      </c>
      <c r="M142" s="9">
        <f>IF((M$1*1)&lt;=MAX('DB Costi-Ore YtD'!$A:$A),SUMIFS('DB Costi-Ore YtD'!$F:$F,'DB Costi-Ore YtD'!$A:$A,M$1,'DB Costi-Ore YtD'!$B:$B,$A142,'DB Costi-Ore YtD'!$E:$E,$C142)-SUM($D142:L142),0)</f>
        <v>0</v>
      </c>
      <c r="N142" s="9">
        <f>IF((N$1*1)&lt;=MAX('DB Costi-Ore YtD'!$A:$A),SUMIFS('DB Costi-Ore YtD'!$F:$F,'DB Costi-Ore YtD'!$A:$A,N$1,'DB Costi-Ore YtD'!$B:$B,$A142,'DB Costi-Ore YtD'!$E:$E,$C142)-SUM($D142:M142),0)</f>
        <v>0</v>
      </c>
      <c r="O142" s="9">
        <f>IF((O$1*1)&lt;=MAX('DB Costi-Ore YtD'!$A:$A),SUMIFS('DB Costi-Ore YtD'!$F:$F,'DB Costi-Ore YtD'!$A:$A,O$1,'DB Costi-Ore YtD'!$B:$B,$A142,'DB Costi-Ore YtD'!$E:$E,$C142)-SUM($D142:N142),0)</f>
        <v>0</v>
      </c>
    </row>
    <row r="143" spans="1:15" x14ac:dyDescent="0.3">
      <c r="A143" s="9" t="s">
        <v>311</v>
      </c>
      <c r="B143" s="9" t="s">
        <v>312</v>
      </c>
      <c r="C143" s="9" t="s">
        <v>5</v>
      </c>
      <c r="D143" s="9">
        <f>IF((D$1*1)&lt;=MAX('DB Costi-Ore YtD'!$A:$A),SUMIFS('DB Costi-Ore YtD'!$F:$F,'DB Costi-Ore YtD'!$A:$A,D$1,'DB Costi-Ore YtD'!$B:$B,$A143,'DB Costi-Ore YtD'!$E:$E,$C143),0)</f>
        <v>117</v>
      </c>
      <c r="E143" s="9">
        <f>IF((E$1*1)&lt;=MAX('DB Costi-Ore YtD'!$A:$A),SUMIFS('DB Costi-Ore YtD'!$F:$F,'DB Costi-Ore YtD'!$A:$A,E$1,'DB Costi-Ore YtD'!$B:$B,$A143,'DB Costi-Ore YtD'!$E:$E,$C143)-SUM($D143:D143),0)</f>
        <v>125.25</v>
      </c>
      <c r="F143" s="9">
        <f>IF((F$1*1)&lt;=MAX('DB Costi-Ore YtD'!$A:$A),SUMIFS('DB Costi-Ore YtD'!$F:$F,'DB Costi-Ore YtD'!$A:$A,F$1,'DB Costi-Ore YtD'!$B:$B,$A143,'DB Costi-Ore YtD'!$E:$E,$C143)-SUM($D143:E143),0)</f>
        <v>133</v>
      </c>
      <c r="G143" s="9">
        <f>IF((G$1*1)&lt;=MAX('DB Costi-Ore YtD'!$A:$A),SUMIFS('DB Costi-Ore YtD'!$F:$F,'DB Costi-Ore YtD'!$A:$A,G$1,'DB Costi-Ore YtD'!$B:$B,$A143,'DB Costi-Ore YtD'!$E:$E,$C143)-SUM($D143:F143),0)</f>
        <v>126.75</v>
      </c>
      <c r="H143" s="9">
        <f>IF((H$1*1)&lt;=MAX('DB Costi-Ore YtD'!$A:$A),SUMIFS('DB Costi-Ore YtD'!$F:$F,'DB Costi-Ore YtD'!$A:$A,H$1,'DB Costi-Ore YtD'!$B:$B,$A143,'DB Costi-Ore YtD'!$E:$E,$C143)-SUM($D143:G143),0)</f>
        <v>136.25</v>
      </c>
      <c r="I143" s="9">
        <f>IF((I$1*1)&lt;=MAX('DB Costi-Ore YtD'!$A:$A),SUMIFS('DB Costi-Ore YtD'!$F:$F,'DB Costi-Ore YtD'!$A:$A,I$1,'DB Costi-Ore YtD'!$B:$B,$A143,'DB Costi-Ore YtD'!$E:$E,$C143)-SUM($D143:H143),0)</f>
        <v>123.75</v>
      </c>
      <c r="J143" s="9">
        <f>IF((J$1*1)&lt;=MAX('DB Costi-Ore YtD'!$A:$A),SUMIFS('DB Costi-Ore YtD'!$F:$F,'DB Costi-Ore YtD'!$A:$A,J$1,'DB Costi-Ore YtD'!$B:$B,$A143,'DB Costi-Ore YtD'!$E:$E,$C143)-SUM($D143:I143),0)</f>
        <v>0</v>
      </c>
      <c r="K143" s="9">
        <f>IF((K$1*1)&lt;=MAX('DB Costi-Ore YtD'!$A:$A),SUMIFS('DB Costi-Ore YtD'!$F:$F,'DB Costi-Ore YtD'!$A:$A,K$1,'DB Costi-Ore YtD'!$B:$B,$A143,'DB Costi-Ore YtD'!$E:$E,$C143)-SUM($D143:J143),0)</f>
        <v>0</v>
      </c>
      <c r="L143" s="9">
        <f>IF((L$1*1)&lt;=MAX('DB Costi-Ore YtD'!$A:$A),SUMIFS('DB Costi-Ore YtD'!$F:$F,'DB Costi-Ore YtD'!$A:$A,L$1,'DB Costi-Ore YtD'!$B:$B,$A143,'DB Costi-Ore YtD'!$E:$E,$C143)-SUM($D143:K143),0)</f>
        <v>0</v>
      </c>
      <c r="M143" s="9">
        <f>IF((M$1*1)&lt;=MAX('DB Costi-Ore YtD'!$A:$A),SUMIFS('DB Costi-Ore YtD'!$F:$F,'DB Costi-Ore YtD'!$A:$A,M$1,'DB Costi-Ore YtD'!$B:$B,$A143,'DB Costi-Ore YtD'!$E:$E,$C143)-SUM($D143:L143),0)</f>
        <v>0</v>
      </c>
      <c r="N143" s="9">
        <f>IF((N$1*1)&lt;=MAX('DB Costi-Ore YtD'!$A:$A),SUMIFS('DB Costi-Ore YtD'!$F:$F,'DB Costi-Ore YtD'!$A:$A,N$1,'DB Costi-Ore YtD'!$B:$B,$A143,'DB Costi-Ore YtD'!$E:$E,$C143)-SUM($D143:M143),0)</f>
        <v>0</v>
      </c>
      <c r="O143" s="9">
        <f>IF((O$1*1)&lt;=MAX('DB Costi-Ore YtD'!$A:$A),SUMIFS('DB Costi-Ore YtD'!$F:$F,'DB Costi-Ore YtD'!$A:$A,O$1,'DB Costi-Ore YtD'!$B:$B,$A143,'DB Costi-Ore YtD'!$E:$E,$C143)-SUM($D143:N143),0)</f>
        <v>0</v>
      </c>
    </row>
    <row r="144" spans="1:15" x14ac:dyDescent="0.3">
      <c r="A144" s="9" t="s">
        <v>313</v>
      </c>
      <c r="B144" s="9" t="s">
        <v>314</v>
      </c>
      <c r="C144" s="9" t="s">
        <v>13</v>
      </c>
      <c r="D144" s="9">
        <f>IF((D$1*1)&lt;=MAX('DB Costi-Ore YtD'!$A:$A),SUMIFS('DB Costi-Ore YtD'!$F:$F,'DB Costi-Ore YtD'!$A:$A,D$1,'DB Costi-Ore YtD'!$B:$B,$A144,'DB Costi-Ore YtD'!$E:$E,$C144),0)</f>
        <v>103.5</v>
      </c>
      <c r="E144" s="9">
        <f>IF((E$1*1)&lt;=MAX('DB Costi-Ore YtD'!$A:$A),SUMIFS('DB Costi-Ore YtD'!$F:$F,'DB Costi-Ore YtD'!$A:$A,E$1,'DB Costi-Ore YtD'!$B:$B,$A144,'DB Costi-Ore YtD'!$E:$E,$C144)-SUM($D144:D144),0)</f>
        <v>100</v>
      </c>
      <c r="F144" s="9">
        <f>IF((F$1*1)&lt;=MAX('DB Costi-Ore YtD'!$A:$A),SUMIFS('DB Costi-Ore YtD'!$F:$F,'DB Costi-Ore YtD'!$A:$A,F$1,'DB Costi-Ore YtD'!$B:$B,$A144,'DB Costi-Ore YtD'!$E:$E,$C144)-SUM($D144:E144),0)</f>
        <v>121.5</v>
      </c>
      <c r="G144" s="9">
        <f>IF((G$1*1)&lt;=MAX('DB Costi-Ore YtD'!$A:$A),SUMIFS('DB Costi-Ore YtD'!$F:$F,'DB Costi-Ore YtD'!$A:$A,G$1,'DB Costi-Ore YtD'!$B:$B,$A144,'DB Costi-Ore YtD'!$E:$E,$C144)-SUM($D144:F144),0)</f>
        <v>144</v>
      </c>
      <c r="H144" s="9">
        <f>IF((H$1*1)&lt;=MAX('DB Costi-Ore YtD'!$A:$A),SUMIFS('DB Costi-Ore YtD'!$F:$F,'DB Costi-Ore YtD'!$A:$A,H$1,'DB Costi-Ore YtD'!$B:$B,$A144,'DB Costi-Ore YtD'!$E:$E,$C144)-SUM($D144:G144),0)</f>
        <v>149</v>
      </c>
      <c r="I144" s="9">
        <f>IF((I$1*1)&lt;=MAX('DB Costi-Ore YtD'!$A:$A),SUMIFS('DB Costi-Ore YtD'!$F:$F,'DB Costi-Ore YtD'!$A:$A,I$1,'DB Costi-Ore YtD'!$B:$B,$A144,'DB Costi-Ore YtD'!$E:$E,$C144)-SUM($D144:H144),0)</f>
        <v>120</v>
      </c>
      <c r="J144" s="9">
        <f>IF((J$1*1)&lt;=MAX('DB Costi-Ore YtD'!$A:$A),SUMIFS('DB Costi-Ore YtD'!$F:$F,'DB Costi-Ore YtD'!$A:$A,J$1,'DB Costi-Ore YtD'!$B:$B,$A144,'DB Costi-Ore YtD'!$E:$E,$C144)-SUM($D144:I144),0)</f>
        <v>0</v>
      </c>
      <c r="K144" s="9">
        <f>IF((K$1*1)&lt;=MAX('DB Costi-Ore YtD'!$A:$A),SUMIFS('DB Costi-Ore YtD'!$F:$F,'DB Costi-Ore YtD'!$A:$A,K$1,'DB Costi-Ore YtD'!$B:$B,$A144,'DB Costi-Ore YtD'!$E:$E,$C144)-SUM($D144:J144),0)</f>
        <v>0</v>
      </c>
      <c r="L144" s="9">
        <f>IF((L$1*1)&lt;=MAX('DB Costi-Ore YtD'!$A:$A),SUMIFS('DB Costi-Ore YtD'!$F:$F,'DB Costi-Ore YtD'!$A:$A,L$1,'DB Costi-Ore YtD'!$B:$B,$A144,'DB Costi-Ore YtD'!$E:$E,$C144)-SUM($D144:K144),0)</f>
        <v>0</v>
      </c>
      <c r="M144" s="9">
        <f>IF((M$1*1)&lt;=MAX('DB Costi-Ore YtD'!$A:$A),SUMIFS('DB Costi-Ore YtD'!$F:$F,'DB Costi-Ore YtD'!$A:$A,M$1,'DB Costi-Ore YtD'!$B:$B,$A144,'DB Costi-Ore YtD'!$E:$E,$C144)-SUM($D144:L144),0)</f>
        <v>0</v>
      </c>
      <c r="N144" s="9">
        <f>IF((N$1*1)&lt;=MAX('DB Costi-Ore YtD'!$A:$A),SUMIFS('DB Costi-Ore YtD'!$F:$F,'DB Costi-Ore YtD'!$A:$A,N$1,'DB Costi-Ore YtD'!$B:$B,$A144,'DB Costi-Ore YtD'!$E:$E,$C144)-SUM($D144:M144),0)</f>
        <v>0</v>
      </c>
      <c r="O144" s="9">
        <f>IF((O$1*1)&lt;=MAX('DB Costi-Ore YtD'!$A:$A),SUMIFS('DB Costi-Ore YtD'!$F:$F,'DB Costi-Ore YtD'!$A:$A,O$1,'DB Costi-Ore YtD'!$B:$B,$A144,'DB Costi-Ore YtD'!$E:$E,$C144)-SUM($D144:N144),0)</f>
        <v>0</v>
      </c>
    </row>
    <row r="145" spans="1:15" x14ac:dyDescent="0.3">
      <c r="A145" s="9" t="s">
        <v>315</v>
      </c>
      <c r="B145" s="9" t="s">
        <v>316</v>
      </c>
      <c r="C145" s="9" t="s">
        <v>6</v>
      </c>
      <c r="D145" s="9">
        <f>IF((D$1*1)&lt;=MAX('DB Costi-Ore YtD'!$A:$A),SUMIFS('DB Costi-Ore YtD'!$F:$F,'DB Costi-Ore YtD'!$A:$A,D$1,'DB Costi-Ore YtD'!$B:$B,$A145,'DB Costi-Ore YtD'!$E:$E,$C145),0)</f>
        <v>158.75</v>
      </c>
      <c r="E145" s="9">
        <f>IF((E$1*1)&lt;=MAX('DB Costi-Ore YtD'!$A:$A),SUMIFS('DB Costi-Ore YtD'!$F:$F,'DB Costi-Ore YtD'!$A:$A,E$1,'DB Costi-Ore YtD'!$B:$B,$A145,'DB Costi-Ore YtD'!$E:$E,$C145)-SUM($D145:D145),0)</f>
        <v>151</v>
      </c>
      <c r="F145" s="9">
        <f>IF((F$1*1)&lt;=MAX('DB Costi-Ore YtD'!$A:$A),SUMIFS('DB Costi-Ore YtD'!$F:$F,'DB Costi-Ore YtD'!$A:$A,F$1,'DB Costi-Ore YtD'!$B:$B,$A145,'DB Costi-Ore YtD'!$E:$E,$C145)-SUM($D145:E145),0)</f>
        <v>157.25</v>
      </c>
      <c r="G145" s="9">
        <f>IF((G$1*1)&lt;=MAX('DB Costi-Ore YtD'!$A:$A),SUMIFS('DB Costi-Ore YtD'!$F:$F,'DB Costi-Ore YtD'!$A:$A,G$1,'DB Costi-Ore YtD'!$B:$B,$A145,'DB Costi-Ore YtD'!$E:$E,$C145)-SUM($D145:F145),0)</f>
        <v>146.5</v>
      </c>
      <c r="H145" s="9">
        <f>IF((H$1*1)&lt;=MAX('DB Costi-Ore YtD'!$A:$A),SUMIFS('DB Costi-Ore YtD'!$F:$F,'DB Costi-Ore YtD'!$A:$A,H$1,'DB Costi-Ore YtD'!$B:$B,$A145,'DB Costi-Ore YtD'!$E:$E,$C145)-SUM($D145:G145),0)</f>
        <v>155.5</v>
      </c>
      <c r="I145" s="9">
        <f>IF((I$1*1)&lt;=MAX('DB Costi-Ore YtD'!$A:$A),SUMIFS('DB Costi-Ore YtD'!$F:$F,'DB Costi-Ore YtD'!$A:$A,I$1,'DB Costi-Ore YtD'!$B:$B,$A145,'DB Costi-Ore YtD'!$E:$E,$C145)-SUM($D145:H145),0)</f>
        <v>106.5</v>
      </c>
      <c r="J145" s="9">
        <f>IF((J$1*1)&lt;=MAX('DB Costi-Ore YtD'!$A:$A),SUMIFS('DB Costi-Ore YtD'!$F:$F,'DB Costi-Ore YtD'!$A:$A,J$1,'DB Costi-Ore YtD'!$B:$B,$A145,'DB Costi-Ore YtD'!$E:$E,$C145)-SUM($D145:I145),0)</f>
        <v>0</v>
      </c>
      <c r="K145" s="9">
        <f>IF((K$1*1)&lt;=MAX('DB Costi-Ore YtD'!$A:$A),SUMIFS('DB Costi-Ore YtD'!$F:$F,'DB Costi-Ore YtD'!$A:$A,K$1,'DB Costi-Ore YtD'!$B:$B,$A145,'DB Costi-Ore YtD'!$E:$E,$C145)-SUM($D145:J145),0)</f>
        <v>0</v>
      </c>
      <c r="L145" s="9">
        <f>IF((L$1*1)&lt;=MAX('DB Costi-Ore YtD'!$A:$A),SUMIFS('DB Costi-Ore YtD'!$F:$F,'DB Costi-Ore YtD'!$A:$A,L$1,'DB Costi-Ore YtD'!$B:$B,$A145,'DB Costi-Ore YtD'!$E:$E,$C145)-SUM($D145:K145),0)</f>
        <v>0</v>
      </c>
      <c r="M145" s="9">
        <f>IF((M$1*1)&lt;=MAX('DB Costi-Ore YtD'!$A:$A),SUMIFS('DB Costi-Ore YtD'!$F:$F,'DB Costi-Ore YtD'!$A:$A,M$1,'DB Costi-Ore YtD'!$B:$B,$A145,'DB Costi-Ore YtD'!$E:$E,$C145)-SUM($D145:L145),0)</f>
        <v>0</v>
      </c>
      <c r="N145" s="9">
        <f>IF((N$1*1)&lt;=MAX('DB Costi-Ore YtD'!$A:$A),SUMIFS('DB Costi-Ore YtD'!$F:$F,'DB Costi-Ore YtD'!$A:$A,N$1,'DB Costi-Ore YtD'!$B:$B,$A145,'DB Costi-Ore YtD'!$E:$E,$C145)-SUM($D145:M145),0)</f>
        <v>0</v>
      </c>
      <c r="O145" s="9">
        <f>IF((O$1*1)&lt;=MAX('DB Costi-Ore YtD'!$A:$A),SUMIFS('DB Costi-Ore YtD'!$F:$F,'DB Costi-Ore YtD'!$A:$A,O$1,'DB Costi-Ore YtD'!$B:$B,$A145,'DB Costi-Ore YtD'!$E:$E,$C145)-SUM($D145:N145),0)</f>
        <v>0</v>
      </c>
    </row>
    <row r="146" spans="1:15" x14ac:dyDescent="0.3">
      <c r="A146" s="9" t="s">
        <v>317</v>
      </c>
      <c r="B146" s="9" t="s">
        <v>318</v>
      </c>
      <c r="C146" s="9" t="s">
        <v>3</v>
      </c>
      <c r="D146" s="9">
        <f>IF((D$1*1)&lt;=MAX('DB Costi-Ore YtD'!$A:$A),SUMIFS('DB Costi-Ore YtD'!$F:$F,'DB Costi-Ore YtD'!$A:$A,D$1,'DB Costi-Ore YtD'!$B:$B,$A146,'DB Costi-Ore YtD'!$E:$E,$C146),0)</f>
        <v>45</v>
      </c>
      <c r="E146" s="9">
        <f>IF((E$1*1)&lt;=MAX('DB Costi-Ore YtD'!$A:$A),SUMIFS('DB Costi-Ore YtD'!$F:$F,'DB Costi-Ore YtD'!$A:$A,E$1,'DB Costi-Ore YtD'!$B:$B,$A146,'DB Costi-Ore YtD'!$E:$E,$C146)-SUM($D146:D146),0)</f>
        <v>0</v>
      </c>
      <c r="F146" s="9">
        <f>IF((F$1*1)&lt;=MAX('DB Costi-Ore YtD'!$A:$A),SUMIFS('DB Costi-Ore YtD'!$F:$F,'DB Costi-Ore YtD'!$A:$A,F$1,'DB Costi-Ore YtD'!$B:$B,$A146,'DB Costi-Ore YtD'!$E:$E,$C146)-SUM($D146:E146),0)</f>
        <v>0</v>
      </c>
      <c r="G146" s="9">
        <f>IF((G$1*1)&lt;=MAX('DB Costi-Ore YtD'!$A:$A),SUMIFS('DB Costi-Ore YtD'!$F:$F,'DB Costi-Ore YtD'!$A:$A,G$1,'DB Costi-Ore YtD'!$B:$B,$A146,'DB Costi-Ore YtD'!$E:$E,$C146)-SUM($D146:F146),0)</f>
        <v>0</v>
      </c>
      <c r="H146" s="9">
        <f>IF((H$1*1)&lt;=MAX('DB Costi-Ore YtD'!$A:$A),SUMIFS('DB Costi-Ore YtD'!$F:$F,'DB Costi-Ore YtD'!$A:$A,H$1,'DB Costi-Ore YtD'!$B:$B,$A146,'DB Costi-Ore YtD'!$E:$E,$C146)-SUM($D146:G146),0)</f>
        <v>0</v>
      </c>
      <c r="I146" s="9">
        <f>IF((I$1*1)&lt;=MAX('DB Costi-Ore YtD'!$A:$A),SUMIFS('DB Costi-Ore YtD'!$F:$F,'DB Costi-Ore YtD'!$A:$A,I$1,'DB Costi-Ore YtD'!$B:$B,$A146,'DB Costi-Ore YtD'!$E:$E,$C146)-SUM($D146:H146),0)</f>
        <v>0</v>
      </c>
      <c r="J146" s="9">
        <f>IF((J$1*1)&lt;=MAX('DB Costi-Ore YtD'!$A:$A),SUMIFS('DB Costi-Ore YtD'!$F:$F,'DB Costi-Ore YtD'!$A:$A,J$1,'DB Costi-Ore YtD'!$B:$B,$A146,'DB Costi-Ore YtD'!$E:$E,$C146)-SUM($D146:I146),0)</f>
        <v>0</v>
      </c>
      <c r="K146" s="9">
        <f>IF((K$1*1)&lt;=MAX('DB Costi-Ore YtD'!$A:$A),SUMIFS('DB Costi-Ore YtD'!$F:$F,'DB Costi-Ore YtD'!$A:$A,K$1,'DB Costi-Ore YtD'!$B:$B,$A146,'DB Costi-Ore YtD'!$E:$E,$C146)-SUM($D146:J146),0)</f>
        <v>0</v>
      </c>
      <c r="L146" s="9">
        <f>IF((L$1*1)&lt;=MAX('DB Costi-Ore YtD'!$A:$A),SUMIFS('DB Costi-Ore YtD'!$F:$F,'DB Costi-Ore YtD'!$A:$A,L$1,'DB Costi-Ore YtD'!$B:$B,$A146,'DB Costi-Ore YtD'!$E:$E,$C146)-SUM($D146:K146),0)</f>
        <v>0</v>
      </c>
      <c r="M146" s="9">
        <f>IF((M$1*1)&lt;=MAX('DB Costi-Ore YtD'!$A:$A),SUMIFS('DB Costi-Ore YtD'!$F:$F,'DB Costi-Ore YtD'!$A:$A,M$1,'DB Costi-Ore YtD'!$B:$B,$A146,'DB Costi-Ore YtD'!$E:$E,$C146)-SUM($D146:L146),0)</f>
        <v>0</v>
      </c>
      <c r="N146" s="9">
        <f>IF((N$1*1)&lt;=MAX('DB Costi-Ore YtD'!$A:$A),SUMIFS('DB Costi-Ore YtD'!$F:$F,'DB Costi-Ore YtD'!$A:$A,N$1,'DB Costi-Ore YtD'!$B:$B,$A146,'DB Costi-Ore YtD'!$E:$E,$C146)-SUM($D146:M146),0)</f>
        <v>0</v>
      </c>
      <c r="O146" s="9">
        <f>IF((O$1*1)&lt;=MAX('DB Costi-Ore YtD'!$A:$A),SUMIFS('DB Costi-Ore YtD'!$F:$F,'DB Costi-Ore YtD'!$A:$A,O$1,'DB Costi-Ore YtD'!$B:$B,$A146,'DB Costi-Ore YtD'!$E:$E,$C146)-SUM($D146:N146),0)</f>
        <v>0</v>
      </c>
    </row>
    <row r="147" spans="1:15" x14ac:dyDescent="0.3">
      <c r="A147" s="9" t="s">
        <v>319</v>
      </c>
      <c r="B147" s="9" t="s">
        <v>320</v>
      </c>
      <c r="C147" s="9" t="s">
        <v>2</v>
      </c>
      <c r="D147" s="9">
        <f>IF((D$1*1)&lt;=MAX('DB Costi-Ore YtD'!$A:$A),SUMIFS('DB Costi-Ore YtD'!$F:$F,'DB Costi-Ore YtD'!$A:$A,D$1,'DB Costi-Ore YtD'!$B:$B,$A147,'DB Costi-Ore YtD'!$E:$E,$C147),0)</f>
        <v>161</v>
      </c>
      <c r="E147" s="9">
        <f>IF((E$1*1)&lt;=MAX('DB Costi-Ore YtD'!$A:$A),SUMIFS('DB Costi-Ore YtD'!$F:$F,'DB Costi-Ore YtD'!$A:$A,E$1,'DB Costi-Ore YtD'!$B:$B,$A147,'DB Costi-Ore YtD'!$E:$E,$C147)-SUM($D147:D147),0)</f>
        <v>128</v>
      </c>
      <c r="F147" s="9">
        <f>IF((F$1*1)&lt;=MAX('DB Costi-Ore YtD'!$A:$A),SUMIFS('DB Costi-Ore YtD'!$F:$F,'DB Costi-Ore YtD'!$A:$A,F$1,'DB Costi-Ore YtD'!$B:$B,$A147,'DB Costi-Ore YtD'!$E:$E,$C147)-SUM($D147:E147),0)</f>
        <v>142</v>
      </c>
      <c r="G147" s="9">
        <f>IF((G$1*1)&lt;=MAX('DB Costi-Ore YtD'!$A:$A),SUMIFS('DB Costi-Ore YtD'!$F:$F,'DB Costi-Ore YtD'!$A:$A,G$1,'DB Costi-Ore YtD'!$B:$B,$A147,'DB Costi-Ore YtD'!$E:$E,$C147)-SUM($D147:F147),0)</f>
        <v>149.5</v>
      </c>
      <c r="H147" s="9">
        <f>IF((H$1*1)&lt;=MAX('DB Costi-Ore YtD'!$A:$A),SUMIFS('DB Costi-Ore YtD'!$F:$F,'DB Costi-Ore YtD'!$A:$A,H$1,'DB Costi-Ore YtD'!$B:$B,$A147,'DB Costi-Ore YtD'!$E:$E,$C147)-SUM($D147:G147),0)</f>
        <v>143.5</v>
      </c>
      <c r="I147" s="9">
        <f>IF((I$1*1)&lt;=MAX('DB Costi-Ore YtD'!$A:$A),SUMIFS('DB Costi-Ore YtD'!$F:$F,'DB Costi-Ore YtD'!$A:$A,I$1,'DB Costi-Ore YtD'!$B:$B,$A147,'DB Costi-Ore YtD'!$E:$E,$C147)-SUM($D147:H147),0)</f>
        <v>83</v>
      </c>
      <c r="J147" s="9">
        <f>IF((J$1*1)&lt;=MAX('DB Costi-Ore YtD'!$A:$A),SUMIFS('DB Costi-Ore YtD'!$F:$F,'DB Costi-Ore YtD'!$A:$A,J$1,'DB Costi-Ore YtD'!$B:$B,$A147,'DB Costi-Ore YtD'!$E:$E,$C147)-SUM($D147:I147),0)</f>
        <v>0</v>
      </c>
      <c r="K147" s="9">
        <f>IF((K$1*1)&lt;=MAX('DB Costi-Ore YtD'!$A:$A),SUMIFS('DB Costi-Ore YtD'!$F:$F,'DB Costi-Ore YtD'!$A:$A,K$1,'DB Costi-Ore YtD'!$B:$B,$A147,'DB Costi-Ore YtD'!$E:$E,$C147)-SUM($D147:J147),0)</f>
        <v>0</v>
      </c>
      <c r="L147" s="9">
        <f>IF((L$1*1)&lt;=MAX('DB Costi-Ore YtD'!$A:$A),SUMIFS('DB Costi-Ore YtD'!$F:$F,'DB Costi-Ore YtD'!$A:$A,L$1,'DB Costi-Ore YtD'!$B:$B,$A147,'DB Costi-Ore YtD'!$E:$E,$C147)-SUM($D147:K147),0)</f>
        <v>0</v>
      </c>
      <c r="M147" s="9">
        <f>IF((M$1*1)&lt;=MAX('DB Costi-Ore YtD'!$A:$A),SUMIFS('DB Costi-Ore YtD'!$F:$F,'DB Costi-Ore YtD'!$A:$A,M$1,'DB Costi-Ore YtD'!$B:$B,$A147,'DB Costi-Ore YtD'!$E:$E,$C147)-SUM($D147:L147),0)</f>
        <v>0</v>
      </c>
      <c r="N147" s="9">
        <f>IF((N$1*1)&lt;=MAX('DB Costi-Ore YtD'!$A:$A),SUMIFS('DB Costi-Ore YtD'!$F:$F,'DB Costi-Ore YtD'!$A:$A,N$1,'DB Costi-Ore YtD'!$B:$B,$A147,'DB Costi-Ore YtD'!$E:$E,$C147)-SUM($D147:M147),0)</f>
        <v>0</v>
      </c>
      <c r="O147" s="9">
        <f>IF((O$1*1)&lt;=MAX('DB Costi-Ore YtD'!$A:$A),SUMIFS('DB Costi-Ore YtD'!$F:$F,'DB Costi-Ore YtD'!$A:$A,O$1,'DB Costi-Ore YtD'!$B:$B,$A147,'DB Costi-Ore YtD'!$E:$E,$C147)-SUM($D147:N147),0)</f>
        <v>0</v>
      </c>
    </row>
    <row r="148" spans="1:15" x14ac:dyDescent="0.3">
      <c r="A148" s="9" t="s">
        <v>321</v>
      </c>
      <c r="B148" s="9" t="s">
        <v>322</v>
      </c>
      <c r="C148" s="9" t="s">
        <v>2</v>
      </c>
      <c r="D148" s="9">
        <f>IF((D$1*1)&lt;=MAX('DB Costi-Ore YtD'!$A:$A),SUMIFS('DB Costi-Ore YtD'!$F:$F,'DB Costi-Ore YtD'!$A:$A,D$1,'DB Costi-Ore YtD'!$B:$B,$A148,'DB Costi-Ore YtD'!$E:$E,$C148),0)</f>
        <v>159</v>
      </c>
      <c r="E148" s="9">
        <f>IF((E$1*1)&lt;=MAX('DB Costi-Ore YtD'!$A:$A),SUMIFS('DB Costi-Ore YtD'!$F:$F,'DB Costi-Ore YtD'!$A:$A,E$1,'DB Costi-Ore YtD'!$B:$B,$A148,'DB Costi-Ore YtD'!$E:$E,$C148)-SUM($D148:D148),0)</f>
        <v>137</v>
      </c>
      <c r="F148" s="9">
        <f>IF((F$1*1)&lt;=MAX('DB Costi-Ore YtD'!$A:$A),SUMIFS('DB Costi-Ore YtD'!$F:$F,'DB Costi-Ore YtD'!$A:$A,F$1,'DB Costi-Ore YtD'!$B:$B,$A148,'DB Costi-Ore YtD'!$E:$E,$C148)-SUM($D148:E148),0)</f>
        <v>110</v>
      </c>
      <c r="G148" s="9">
        <f>IF((G$1*1)&lt;=MAX('DB Costi-Ore YtD'!$A:$A),SUMIFS('DB Costi-Ore YtD'!$F:$F,'DB Costi-Ore YtD'!$A:$A,G$1,'DB Costi-Ore YtD'!$B:$B,$A148,'DB Costi-Ore YtD'!$E:$E,$C148)-SUM($D148:F148),0)</f>
        <v>147.5</v>
      </c>
      <c r="H148" s="9">
        <f>IF((H$1*1)&lt;=MAX('DB Costi-Ore YtD'!$A:$A),SUMIFS('DB Costi-Ore YtD'!$F:$F,'DB Costi-Ore YtD'!$A:$A,H$1,'DB Costi-Ore YtD'!$B:$B,$A148,'DB Costi-Ore YtD'!$E:$E,$C148)-SUM($D148:G148),0)</f>
        <v>127.5</v>
      </c>
      <c r="I148" s="9">
        <f>IF((I$1*1)&lt;=MAX('DB Costi-Ore YtD'!$A:$A),SUMIFS('DB Costi-Ore YtD'!$F:$F,'DB Costi-Ore YtD'!$A:$A,I$1,'DB Costi-Ore YtD'!$B:$B,$A148,'DB Costi-Ore YtD'!$E:$E,$C148)-SUM($D148:H148),0)</f>
        <v>134.5</v>
      </c>
      <c r="J148" s="9">
        <f>IF((J$1*1)&lt;=MAX('DB Costi-Ore YtD'!$A:$A),SUMIFS('DB Costi-Ore YtD'!$F:$F,'DB Costi-Ore YtD'!$A:$A,J$1,'DB Costi-Ore YtD'!$B:$B,$A148,'DB Costi-Ore YtD'!$E:$E,$C148)-SUM($D148:I148),0)</f>
        <v>0</v>
      </c>
      <c r="K148" s="9">
        <f>IF((K$1*1)&lt;=MAX('DB Costi-Ore YtD'!$A:$A),SUMIFS('DB Costi-Ore YtD'!$F:$F,'DB Costi-Ore YtD'!$A:$A,K$1,'DB Costi-Ore YtD'!$B:$B,$A148,'DB Costi-Ore YtD'!$E:$E,$C148)-SUM($D148:J148),0)</f>
        <v>0</v>
      </c>
      <c r="L148" s="9">
        <f>IF((L$1*1)&lt;=MAX('DB Costi-Ore YtD'!$A:$A),SUMIFS('DB Costi-Ore YtD'!$F:$F,'DB Costi-Ore YtD'!$A:$A,L$1,'DB Costi-Ore YtD'!$B:$B,$A148,'DB Costi-Ore YtD'!$E:$E,$C148)-SUM($D148:K148),0)</f>
        <v>0</v>
      </c>
      <c r="M148" s="9">
        <f>IF((M$1*1)&lt;=MAX('DB Costi-Ore YtD'!$A:$A),SUMIFS('DB Costi-Ore YtD'!$F:$F,'DB Costi-Ore YtD'!$A:$A,M$1,'DB Costi-Ore YtD'!$B:$B,$A148,'DB Costi-Ore YtD'!$E:$E,$C148)-SUM($D148:L148),0)</f>
        <v>0</v>
      </c>
      <c r="N148" s="9">
        <f>IF((N$1*1)&lt;=MAX('DB Costi-Ore YtD'!$A:$A),SUMIFS('DB Costi-Ore YtD'!$F:$F,'DB Costi-Ore YtD'!$A:$A,N$1,'DB Costi-Ore YtD'!$B:$B,$A148,'DB Costi-Ore YtD'!$E:$E,$C148)-SUM($D148:M148),0)</f>
        <v>0</v>
      </c>
      <c r="O148" s="9">
        <f>IF((O$1*1)&lt;=MAX('DB Costi-Ore YtD'!$A:$A),SUMIFS('DB Costi-Ore YtD'!$F:$F,'DB Costi-Ore YtD'!$A:$A,O$1,'DB Costi-Ore YtD'!$B:$B,$A148,'DB Costi-Ore YtD'!$E:$E,$C148)-SUM($D148:N148),0)</f>
        <v>0</v>
      </c>
    </row>
    <row r="149" spans="1:15" x14ac:dyDescent="0.3">
      <c r="A149" s="9" t="s">
        <v>323</v>
      </c>
      <c r="B149" s="9" t="s">
        <v>324</v>
      </c>
      <c r="C149" s="9" t="s">
        <v>13</v>
      </c>
      <c r="D149" s="9">
        <f>IF((D$1*1)&lt;=MAX('DB Costi-Ore YtD'!$A:$A),SUMIFS('DB Costi-Ore YtD'!$F:$F,'DB Costi-Ore YtD'!$A:$A,D$1,'DB Costi-Ore YtD'!$B:$B,$A149,'DB Costi-Ore YtD'!$E:$E,$C149),0)</f>
        <v>106</v>
      </c>
      <c r="E149" s="9">
        <f>IF((E$1*1)&lt;=MAX('DB Costi-Ore YtD'!$A:$A),SUMIFS('DB Costi-Ore YtD'!$F:$F,'DB Costi-Ore YtD'!$A:$A,E$1,'DB Costi-Ore YtD'!$B:$B,$A149,'DB Costi-Ore YtD'!$E:$E,$C149)-SUM($D149:D149),0)</f>
        <v>104</v>
      </c>
      <c r="F149" s="9">
        <f>IF((F$1*1)&lt;=MAX('DB Costi-Ore YtD'!$A:$A),SUMIFS('DB Costi-Ore YtD'!$F:$F,'DB Costi-Ore YtD'!$A:$A,F$1,'DB Costi-Ore YtD'!$B:$B,$A149,'DB Costi-Ore YtD'!$E:$E,$C149)-SUM($D149:E149),0)</f>
        <v>77.5</v>
      </c>
      <c r="G149" s="9">
        <f>IF((G$1*1)&lt;=MAX('DB Costi-Ore YtD'!$A:$A),SUMIFS('DB Costi-Ore YtD'!$F:$F,'DB Costi-Ore YtD'!$A:$A,G$1,'DB Costi-Ore YtD'!$B:$B,$A149,'DB Costi-Ore YtD'!$E:$E,$C149)-SUM($D149:F149),0)</f>
        <v>0</v>
      </c>
      <c r="H149" s="9">
        <f>IF((H$1*1)&lt;=MAX('DB Costi-Ore YtD'!$A:$A),SUMIFS('DB Costi-Ore YtD'!$F:$F,'DB Costi-Ore YtD'!$A:$A,H$1,'DB Costi-Ore YtD'!$B:$B,$A149,'DB Costi-Ore YtD'!$E:$E,$C149)-SUM($D149:G149),0)</f>
        <v>0</v>
      </c>
      <c r="I149" s="9">
        <f>IF((I$1*1)&lt;=MAX('DB Costi-Ore YtD'!$A:$A),SUMIFS('DB Costi-Ore YtD'!$F:$F,'DB Costi-Ore YtD'!$A:$A,I$1,'DB Costi-Ore YtD'!$B:$B,$A149,'DB Costi-Ore YtD'!$E:$E,$C149)-SUM($D149:H149),0)</f>
        <v>0</v>
      </c>
      <c r="J149" s="9">
        <f>IF((J$1*1)&lt;=MAX('DB Costi-Ore YtD'!$A:$A),SUMIFS('DB Costi-Ore YtD'!$F:$F,'DB Costi-Ore YtD'!$A:$A,J$1,'DB Costi-Ore YtD'!$B:$B,$A149,'DB Costi-Ore YtD'!$E:$E,$C149)-SUM($D149:I149),0)</f>
        <v>0</v>
      </c>
      <c r="K149" s="9">
        <f>IF((K$1*1)&lt;=MAX('DB Costi-Ore YtD'!$A:$A),SUMIFS('DB Costi-Ore YtD'!$F:$F,'DB Costi-Ore YtD'!$A:$A,K$1,'DB Costi-Ore YtD'!$B:$B,$A149,'DB Costi-Ore YtD'!$E:$E,$C149)-SUM($D149:J149),0)</f>
        <v>0</v>
      </c>
      <c r="L149" s="9">
        <f>IF((L$1*1)&lt;=MAX('DB Costi-Ore YtD'!$A:$A),SUMIFS('DB Costi-Ore YtD'!$F:$F,'DB Costi-Ore YtD'!$A:$A,L$1,'DB Costi-Ore YtD'!$B:$B,$A149,'DB Costi-Ore YtD'!$E:$E,$C149)-SUM($D149:K149),0)</f>
        <v>0</v>
      </c>
      <c r="M149" s="9">
        <f>IF((M$1*1)&lt;=MAX('DB Costi-Ore YtD'!$A:$A),SUMIFS('DB Costi-Ore YtD'!$F:$F,'DB Costi-Ore YtD'!$A:$A,M$1,'DB Costi-Ore YtD'!$B:$B,$A149,'DB Costi-Ore YtD'!$E:$E,$C149)-SUM($D149:L149),0)</f>
        <v>0</v>
      </c>
      <c r="N149" s="9">
        <f>IF((N$1*1)&lt;=MAX('DB Costi-Ore YtD'!$A:$A),SUMIFS('DB Costi-Ore YtD'!$F:$F,'DB Costi-Ore YtD'!$A:$A,N$1,'DB Costi-Ore YtD'!$B:$B,$A149,'DB Costi-Ore YtD'!$E:$E,$C149)-SUM($D149:M149),0)</f>
        <v>0</v>
      </c>
      <c r="O149" s="9">
        <f>IF((O$1*1)&lt;=MAX('DB Costi-Ore YtD'!$A:$A),SUMIFS('DB Costi-Ore YtD'!$F:$F,'DB Costi-Ore YtD'!$A:$A,O$1,'DB Costi-Ore YtD'!$B:$B,$A149,'DB Costi-Ore YtD'!$E:$E,$C149)-SUM($D149:N149),0)</f>
        <v>0</v>
      </c>
    </row>
    <row r="150" spans="1:15" x14ac:dyDescent="0.3">
      <c r="A150" s="9" t="s">
        <v>325</v>
      </c>
      <c r="B150" s="9" t="s">
        <v>326</v>
      </c>
      <c r="C150" s="9" t="s">
        <v>13</v>
      </c>
      <c r="D150" s="9">
        <f>IF((D$1*1)&lt;=MAX('DB Costi-Ore YtD'!$A:$A),SUMIFS('DB Costi-Ore YtD'!$F:$F,'DB Costi-Ore YtD'!$A:$A,D$1,'DB Costi-Ore YtD'!$B:$B,$A150,'DB Costi-Ore YtD'!$E:$E,$C150),0)</f>
        <v>84</v>
      </c>
      <c r="E150" s="9">
        <f>IF((E$1*1)&lt;=MAX('DB Costi-Ore YtD'!$A:$A),SUMIFS('DB Costi-Ore YtD'!$F:$F,'DB Costi-Ore YtD'!$A:$A,E$1,'DB Costi-Ore YtD'!$B:$B,$A150,'DB Costi-Ore YtD'!$E:$E,$C150)-SUM($D150:D150),0)</f>
        <v>84</v>
      </c>
      <c r="F150" s="9">
        <f>IF((F$1*1)&lt;=MAX('DB Costi-Ore YtD'!$A:$A),SUMIFS('DB Costi-Ore YtD'!$F:$F,'DB Costi-Ore YtD'!$A:$A,F$1,'DB Costi-Ore YtD'!$B:$B,$A150,'DB Costi-Ore YtD'!$E:$E,$C150)-SUM($D150:E150),0)</f>
        <v>86.75</v>
      </c>
      <c r="G150" s="9">
        <f>IF((G$1*1)&lt;=MAX('DB Costi-Ore YtD'!$A:$A),SUMIFS('DB Costi-Ore YtD'!$F:$F,'DB Costi-Ore YtD'!$A:$A,G$1,'DB Costi-Ore YtD'!$B:$B,$A150,'DB Costi-Ore YtD'!$E:$E,$C150)-SUM($D150:F150),0)</f>
        <v>79.25</v>
      </c>
      <c r="H150" s="9">
        <f>IF((H$1*1)&lt;=MAX('DB Costi-Ore YtD'!$A:$A),SUMIFS('DB Costi-Ore YtD'!$F:$F,'DB Costi-Ore YtD'!$A:$A,H$1,'DB Costi-Ore YtD'!$B:$B,$A150,'DB Costi-Ore YtD'!$E:$E,$C150)-SUM($D150:G150),0)</f>
        <v>82</v>
      </c>
      <c r="I150" s="9">
        <f>IF((I$1*1)&lt;=MAX('DB Costi-Ore YtD'!$A:$A),SUMIFS('DB Costi-Ore YtD'!$F:$F,'DB Costi-Ore YtD'!$A:$A,I$1,'DB Costi-Ore YtD'!$B:$B,$A150,'DB Costi-Ore YtD'!$E:$E,$C150)-SUM($D150:H150),0)</f>
        <v>83.25</v>
      </c>
      <c r="J150" s="9">
        <f>IF((J$1*1)&lt;=MAX('DB Costi-Ore YtD'!$A:$A),SUMIFS('DB Costi-Ore YtD'!$F:$F,'DB Costi-Ore YtD'!$A:$A,J$1,'DB Costi-Ore YtD'!$B:$B,$A150,'DB Costi-Ore YtD'!$E:$E,$C150)-SUM($D150:I150),0)</f>
        <v>0</v>
      </c>
      <c r="K150" s="9">
        <f>IF((K$1*1)&lt;=MAX('DB Costi-Ore YtD'!$A:$A),SUMIFS('DB Costi-Ore YtD'!$F:$F,'DB Costi-Ore YtD'!$A:$A,K$1,'DB Costi-Ore YtD'!$B:$B,$A150,'DB Costi-Ore YtD'!$E:$E,$C150)-SUM($D150:J150),0)</f>
        <v>0</v>
      </c>
      <c r="L150" s="9">
        <f>IF((L$1*1)&lt;=MAX('DB Costi-Ore YtD'!$A:$A),SUMIFS('DB Costi-Ore YtD'!$F:$F,'DB Costi-Ore YtD'!$A:$A,L$1,'DB Costi-Ore YtD'!$B:$B,$A150,'DB Costi-Ore YtD'!$E:$E,$C150)-SUM($D150:K150),0)</f>
        <v>0</v>
      </c>
      <c r="M150" s="9">
        <f>IF((M$1*1)&lt;=MAX('DB Costi-Ore YtD'!$A:$A),SUMIFS('DB Costi-Ore YtD'!$F:$F,'DB Costi-Ore YtD'!$A:$A,M$1,'DB Costi-Ore YtD'!$B:$B,$A150,'DB Costi-Ore YtD'!$E:$E,$C150)-SUM($D150:L150),0)</f>
        <v>0</v>
      </c>
      <c r="N150" s="9">
        <f>IF((N$1*1)&lt;=MAX('DB Costi-Ore YtD'!$A:$A),SUMIFS('DB Costi-Ore YtD'!$F:$F,'DB Costi-Ore YtD'!$A:$A,N$1,'DB Costi-Ore YtD'!$B:$B,$A150,'DB Costi-Ore YtD'!$E:$E,$C150)-SUM($D150:M150),0)</f>
        <v>0</v>
      </c>
      <c r="O150" s="9">
        <f>IF((O$1*1)&lt;=MAX('DB Costi-Ore YtD'!$A:$A),SUMIFS('DB Costi-Ore YtD'!$F:$F,'DB Costi-Ore YtD'!$A:$A,O$1,'DB Costi-Ore YtD'!$B:$B,$A150,'DB Costi-Ore YtD'!$E:$E,$C150)-SUM($D150:N150),0)</f>
        <v>0</v>
      </c>
    </row>
    <row r="151" spans="1:15" x14ac:dyDescent="0.3">
      <c r="A151" s="9" t="s">
        <v>327</v>
      </c>
      <c r="B151" s="9" t="s">
        <v>328</v>
      </c>
      <c r="C151" s="9" t="s">
        <v>5</v>
      </c>
      <c r="D151" s="9">
        <f>IF((D$1*1)&lt;=MAX('DB Costi-Ore YtD'!$A:$A),SUMIFS('DB Costi-Ore YtD'!$F:$F,'DB Costi-Ore YtD'!$A:$A,D$1,'DB Costi-Ore YtD'!$B:$B,$A151,'DB Costi-Ore YtD'!$E:$E,$C151),0)</f>
        <v>109</v>
      </c>
      <c r="E151" s="9">
        <f>IF((E$1*1)&lt;=MAX('DB Costi-Ore YtD'!$A:$A),SUMIFS('DB Costi-Ore YtD'!$F:$F,'DB Costi-Ore YtD'!$A:$A,E$1,'DB Costi-Ore YtD'!$B:$B,$A151,'DB Costi-Ore YtD'!$E:$E,$C151)-SUM($D151:D151),0)</f>
        <v>111</v>
      </c>
      <c r="F151" s="9">
        <f>IF((F$1*1)&lt;=MAX('DB Costi-Ore YtD'!$A:$A),SUMIFS('DB Costi-Ore YtD'!$F:$F,'DB Costi-Ore YtD'!$A:$A,F$1,'DB Costi-Ore YtD'!$B:$B,$A151,'DB Costi-Ore YtD'!$E:$E,$C151)-SUM($D151:E151),0)</f>
        <v>112.25</v>
      </c>
      <c r="G151" s="9">
        <f>IF((G$1*1)&lt;=MAX('DB Costi-Ore YtD'!$A:$A),SUMIFS('DB Costi-Ore YtD'!$F:$F,'DB Costi-Ore YtD'!$A:$A,G$1,'DB Costi-Ore YtD'!$B:$B,$A151,'DB Costi-Ore YtD'!$E:$E,$C151)-SUM($D151:F151),0)</f>
        <v>0</v>
      </c>
      <c r="H151" s="9">
        <f>IF((H$1*1)&lt;=MAX('DB Costi-Ore YtD'!$A:$A),SUMIFS('DB Costi-Ore YtD'!$F:$F,'DB Costi-Ore YtD'!$A:$A,H$1,'DB Costi-Ore YtD'!$B:$B,$A151,'DB Costi-Ore YtD'!$E:$E,$C151)-SUM($D151:G151),0)</f>
        <v>7</v>
      </c>
      <c r="I151" s="9">
        <f>IF((I$1*1)&lt;=MAX('DB Costi-Ore YtD'!$A:$A),SUMIFS('DB Costi-Ore YtD'!$F:$F,'DB Costi-Ore YtD'!$A:$A,I$1,'DB Costi-Ore YtD'!$B:$B,$A151,'DB Costi-Ore YtD'!$E:$E,$C151)-SUM($D151:H151),0)</f>
        <v>0</v>
      </c>
      <c r="J151" s="9">
        <f>IF((J$1*1)&lt;=MAX('DB Costi-Ore YtD'!$A:$A),SUMIFS('DB Costi-Ore YtD'!$F:$F,'DB Costi-Ore YtD'!$A:$A,J$1,'DB Costi-Ore YtD'!$B:$B,$A151,'DB Costi-Ore YtD'!$E:$E,$C151)-SUM($D151:I151),0)</f>
        <v>0</v>
      </c>
      <c r="K151" s="9">
        <f>IF((K$1*1)&lt;=MAX('DB Costi-Ore YtD'!$A:$A),SUMIFS('DB Costi-Ore YtD'!$F:$F,'DB Costi-Ore YtD'!$A:$A,K$1,'DB Costi-Ore YtD'!$B:$B,$A151,'DB Costi-Ore YtD'!$E:$E,$C151)-SUM($D151:J151),0)</f>
        <v>0</v>
      </c>
      <c r="L151" s="9">
        <f>IF((L$1*1)&lt;=MAX('DB Costi-Ore YtD'!$A:$A),SUMIFS('DB Costi-Ore YtD'!$F:$F,'DB Costi-Ore YtD'!$A:$A,L$1,'DB Costi-Ore YtD'!$B:$B,$A151,'DB Costi-Ore YtD'!$E:$E,$C151)-SUM($D151:K151),0)</f>
        <v>0</v>
      </c>
      <c r="M151" s="9">
        <f>IF((M$1*1)&lt;=MAX('DB Costi-Ore YtD'!$A:$A),SUMIFS('DB Costi-Ore YtD'!$F:$F,'DB Costi-Ore YtD'!$A:$A,M$1,'DB Costi-Ore YtD'!$B:$B,$A151,'DB Costi-Ore YtD'!$E:$E,$C151)-SUM($D151:L151),0)</f>
        <v>0</v>
      </c>
      <c r="N151" s="9">
        <f>IF((N$1*1)&lt;=MAX('DB Costi-Ore YtD'!$A:$A),SUMIFS('DB Costi-Ore YtD'!$F:$F,'DB Costi-Ore YtD'!$A:$A,N$1,'DB Costi-Ore YtD'!$B:$B,$A151,'DB Costi-Ore YtD'!$E:$E,$C151)-SUM($D151:M151),0)</f>
        <v>0</v>
      </c>
      <c r="O151" s="9">
        <f>IF((O$1*1)&lt;=MAX('DB Costi-Ore YtD'!$A:$A),SUMIFS('DB Costi-Ore YtD'!$F:$F,'DB Costi-Ore YtD'!$A:$A,O$1,'DB Costi-Ore YtD'!$B:$B,$A151,'DB Costi-Ore YtD'!$E:$E,$C151)-SUM($D151:N151),0)</f>
        <v>0</v>
      </c>
    </row>
    <row r="152" spans="1:15" x14ac:dyDescent="0.3">
      <c r="A152" s="9" t="s">
        <v>329</v>
      </c>
      <c r="B152" s="9" t="s">
        <v>330</v>
      </c>
      <c r="C152" s="9" t="s">
        <v>6</v>
      </c>
      <c r="D152" s="9">
        <f>IF((D$1*1)&lt;=MAX('DB Costi-Ore YtD'!$A:$A),SUMIFS('DB Costi-Ore YtD'!$F:$F,'DB Costi-Ore YtD'!$A:$A,D$1,'DB Costi-Ore YtD'!$B:$B,$A152,'DB Costi-Ore YtD'!$E:$E,$C152),0)</f>
        <v>97.5</v>
      </c>
      <c r="E152" s="9">
        <f>IF((E$1*1)&lt;=MAX('DB Costi-Ore YtD'!$A:$A),SUMIFS('DB Costi-Ore YtD'!$F:$F,'DB Costi-Ore YtD'!$A:$A,E$1,'DB Costi-Ore YtD'!$B:$B,$A152,'DB Costi-Ore YtD'!$E:$E,$C152)-SUM($D152:D152),0)</f>
        <v>130.5</v>
      </c>
      <c r="F152" s="9">
        <f>IF((F$1*1)&lt;=MAX('DB Costi-Ore YtD'!$A:$A),SUMIFS('DB Costi-Ore YtD'!$F:$F,'DB Costi-Ore YtD'!$A:$A,F$1,'DB Costi-Ore YtD'!$B:$B,$A152,'DB Costi-Ore YtD'!$E:$E,$C152)-SUM($D152:E152),0)</f>
        <v>127</v>
      </c>
      <c r="G152" s="9">
        <f>IF((G$1*1)&lt;=MAX('DB Costi-Ore YtD'!$A:$A),SUMIFS('DB Costi-Ore YtD'!$F:$F,'DB Costi-Ore YtD'!$A:$A,G$1,'DB Costi-Ore YtD'!$B:$B,$A152,'DB Costi-Ore YtD'!$E:$E,$C152)-SUM($D152:F152),0)</f>
        <v>136.5</v>
      </c>
      <c r="H152" s="9">
        <f>IF((H$1*1)&lt;=MAX('DB Costi-Ore YtD'!$A:$A),SUMIFS('DB Costi-Ore YtD'!$F:$F,'DB Costi-Ore YtD'!$A:$A,H$1,'DB Costi-Ore YtD'!$B:$B,$A152,'DB Costi-Ore YtD'!$E:$E,$C152)-SUM($D152:G152),0)</f>
        <v>104</v>
      </c>
      <c r="I152" s="9">
        <f>IF((I$1*1)&lt;=MAX('DB Costi-Ore YtD'!$A:$A),SUMIFS('DB Costi-Ore YtD'!$F:$F,'DB Costi-Ore YtD'!$A:$A,I$1,'DB Costi-Ore YtD'!$B:$B,$A152,'DB Costi-Ore YtD'!$E:$E,$C152)-SUM($D152:H152),0)</f>
        <v>126</v>
      </c>
      <c r="J152" s="9">
        <f>IF((J$1*1)&lt;=MAX('DB Costi-Ore YtD'!$A:$A),SUMIFS('DB Costi-Ore YtD'!$F:$F,'DB Costi-Ore YtD'!$A:$A,J$1,'DB Costi-Ore YtD'!$B:$B,$A152,'DB Costi-Ore YtD'!$E:$E,$C152)-SUM($D152:I152),0)</f>
        <v>0</v>
      </c>
      <c r="K152" s="9">
        <f>IF((K$1*1)&lt;=MAX('DB Costi-Ore YtD'!$A:$A),SUMIFS('DB Costi-Ore YtD'!$F:$F,'DB Costi-Ore YtD'!$A:$A,K$1,'DB Costi-Ore YtD'!$B:$B,$A152,'DB Costi-Ore YtD'!$E:$E,$C152)-SUM($D152:J152),0)</f>
        <v>0</v>
      </c>
      <c r="L152" s="9">
        <f>IF((L$1*1)&lt;=MAX('DB Costi-Ore YtD'!$A:$A),SUMIFS('DB Costi-Ore YtD'!$F:$F,'DB Costi-Ore YtD'!$A:$A,L$1,'DB Costi-Ore YtD'!$B:$B,$A152,'DB Costi-Ore YtD'!$E:$E,$C152)-SUM($D152:K152),0)</f>
        <v>0</v>
      </c>
      <c r="M152" s="9">
        <f>IF((M$1*1)&lt;=MAX('DB Costi-Ore YtD'!$A:$A),SUMIFS('DB Costi-Ore YtD'!$F:$F,'DB Costi-Ore YtD'!$A:$A,M$1,'DB Costi-Ore YtD'!$B:$B,$A152,'DB Costi-Ore YtD'!$E:$E,$C152)-SUM($D152:L152),0)</f>
        <v>0</v>
      </c>
      <c r="N152" s="9">
        <f>IF((N$1*1)&lt;=MAX('DB Costi-Ore YtD'!$A:$A),SUMIFS('DB Costi-Ore YtD'!$F:$F,'DB Costi-Ore YtD'!$A:$A,N$1,'DB Costi-Ore YtD'!$B:$B,$A152,'DB Costi-Ore YtD'!$E:$E,$C152)-SUM($D152:M152),0)</f>
        <v>0</v>
      </c>
      <c r="O152" s="9">
        <f>IF((O$1*1)&lt;=MAX('DB Costi-Ore YtD'!$A:$A),SUMIFS('DB Costi-Ore YtD'!$F:$F,'DB Costi-Ore YtD'!$A:$A,O$1,'DB Costi-Ore YtD'!$B:$B,$A152,'DB Costi-Ore YtD'!$E:$E,$C152)-SUM($D152:N152),0)</f>
        <v>0</v>
      </c>
    </row>
    <row r="153" spans="1:15" x14ac:dyDescent="0.3">
      <c r="A153" s="9" t="s">
        <v>331</v>
      </c>
      <c r="B153" s="9" t="s">
        <v>332</v>
      </c>
      <c r="C153" s="9" t="s">
        <v>3</v>
      </c>
      <c r="D153" s="9">
        <f>IF((D$1*1)&lt;=MAX('DB Costi-Ore YtD'!$A:$A),SUMIFS('DB Costi-Ore YtD'!$F:$F,'DB Costi-Ore YtD'!$A:$A,D$1,'DB Costi-Ore YtD'!$B:$B,$A153,'DB Costi-Ore YtD'!$E:$E,$C153),0)</f>
        <v>32</v>
      </c>
      <c r="E153" s="9">
        <f>IF((E$1*1)&lt;=MAX('DB Costi-Ore YtD'!$A:$A),SUMIFS('DB Costi-Ore YtD'!$F:$F,'DB Costi-Ore YtD'!$A:$A,E$1,'DB Costi-Ore YtD'!$B:$B,$A153,'DB Costi-Ore YtD'!$E:$E,$C153)-SUM($D153:D153),0)</f>
        <v>72</v>
      </c>
      <c r="F153" s="9">
        <f>IF((F$1*1)&lt;=MAX('DB Costi-Ore YtD'!$A:$A),SUMIFS('DB Costi-Ore YtD'!$F:$F,'DB Costi-Ore YtD'!$A:$A,F$1,'DB Costi-Ore YtD'!$B:$B,$A153,'DB Costi-Ore YtD'!$E:$E,$C153)-SUM($D153:E153),0)</f>
        <v>76</v>
      </c>
      <c r="G153" s="9">
        <f>IF((G$1*1)&lt;=MAX('DB Costi-Ore YtD'!$A:$A),SUMIFS('DB Costi-Ore YtD'!$F:$F,'DB Costi-Ore YtD'!$A:$A,G$1,'DB Costi-Ore YtD'!$B:$B,$A153,'DB Costi-Ore YtD'!$E:$E,$C153)-SUM($D153:F153),0)</f>
        <v>48</v>
      </c>
      <c r="H153" s="9">
        <f>IF((H$1*1)&lt;=MAX('DB Costi-Ore YtD'!$A:$A),SUMIFS('DB Costi-Ore YtD'!$F:$F,'DB Costi-Ore YtD'!$A:$A,H$1,'DB Costi-Ore YtD'!$B:$B,$A153,'DB Costi-Ore YtD'!$E:$E,$C153)-SUM($D153:G153),0)</f>
        <v>68</v>
      </c>
      <c r="I153" s="9">
        <f>IF((I$1*1)&lt;=MAX('DB Costi-Ore YtD'!$A:$A),SUMIFS('DB Costi-Ore YtD'!$F:$F,'DB Costi-Ore YtD'!$A:$A,I$1,'DB Costi-Ore YtD'!$B:$B,$A153,'DB Costi-Ore YtD'!$E:$E,$C153)-SUM($D153:H153),0)</f>
        <v>80</v>
      </c>
      <c r="J153" s="9">
        <f>IF((J$1*1)&lt;=MAX('DB Costi-Ore YtD'!$A:$A),SUMIFS('DB Costi-Ore YtD'!$F:$F,'DB Costi-Ore YtD'!$A:$A,J$1,'DB Costi-Ore YtD'!$B:$B,$A153,'DB Costi-Ore YtD'!$E:$E,$C153)-SUM($D153:I153),0)</f>
        <v>0</v>
      </c>
      <c r="K153" s="9">
        <f>IF((K$1*1)&lt;=MAX('DB Costi-Ore YtD'!$A:$A),SUMIFS('DB Costi-Ore YtD'!$F:$F,'DB Costi-Ore YtD'!$A:$A,K$1,'DB Costi-Ore YtD'!$B:$B,$A153,'DB Costi-Ore YtD'!$E:$E,$C153)-SUM($D153:J153),0)</f>
        <v>0</v>
      </c>
      <c r="L153" s="9">
        <f>IF((L$1*1)&lt;=MAX('DB Costi-Ore YtD'!$A:$A),SUMIFS('DB Costi-Ore YtD'!$F:$F,'DB Costi-Ore YtD'!$A:$A,L$1,'DB Costi-Ore YtD'!$B:$B,$A153,'DB Costi-Ore YtD'!$E:$E,$C153)-SUM($D153:K153),0)</f>
        <v>0</v>
      </c>
      <c r="M153" s="9">
        <f>IF((M$1*1)&lt;=MAX('DB Costi-Ore YtD'!$A:$A),SUMIFS('DB Costi-Ore YtD'!$F:$F,'DB Costi-Ore YtD'!$A:$A,M$1,'DB Costi-Ore YtD'!$B:$B,$A153,'DB Costi-Ore YtD'!$E:$E,$C153)-SUM($D153:L153),0)</f>
        <v>0</v>
      </c>
      <c r="N153" s="9">
        <f>IF((N$1*1)&lt;=MAX('DB Costi-Ore YtD'!$A:$A),SUMIFS('DB Costi-Ore YtD'!$F:$F,'DB Costi-Ore YtD'!$A:$A,N$1,'DB Costi-Ore YtD'!$B:$B,$A153,'DB Costi-Ore YtD'!$E:$E,$C153)-SUM($D153:M153),0)</f>
        <v>0</v>
      </c>
      <c r="O153" s="9">
        <f>IF((O$1*1)&lt;=MAX('DB Costi-Ore YtD'!$A:$A),SUMIFS('DB Costi-Ore YtD'!$F:$F,'DB Costi-Ore YtD'!$A:$A,O$1,'DB Costi-Ore YtD'!$B:$B,$A153,'DB Costi-Ore YtD'!$E:$E,$C153)-SUM($D153:N153),0)</f>
        <v>0</v>
      </c>
    </row>
    <row r="154" spans="1:15" x14ac:dyDescent="0.3">
      <c r="A154" s="9" t="s">
        <v>333</v>
      </c>
      <c r="B154" s="9" t="s">
        <v>334</v>
      </c>
      <c r="C154" s="9" t="s">
        <v>14</v>
      </c>
      <c r="D154" s="9">
        <f>IF((D$1*1)&lt;=MAX('DB Costi-Ore YtD'!$A:$A),SUMIFS('DB Costi-Ore YtD'!$F:$F,'DB Costi-Ore YtD'!$A:$A,D$1,'DB Costi-Ore YtD'!$B:$B,$A154,'DB Costi-Ore YtD'!$E:$E,$C154),0)</f>
        <v>20</v>
      </c>
      <c r="E154" s="9">
        <f>IF((E$1*1)&lt;=MAX('DB Costi-Ore YtD'!$A:$A),SUMIFS('DB Costi-Ore YtD'!$F:$F,'DB Costi-Ore YtD'!$A:$A,E$1,'DB Costi-Ore YtD'!$B:$B,$A154,'DB Costi-Ore YtD'!$E:$E,$C154)-SUM($D154:D154),0)</f>
        <v>80</v>
      </c>
      <c r="F154" s="9">
        <f>IF((F$1*1)&lt;=MAX('DB Costi-Ore YtD'!$A:$A),SUMIFS('DB Costi-Ore YtD'!$F:$F,'DB Costi-Ore YtD'!$A:$A,F$1,'DB Costi-Ore YtD'!$B:$B,$A154,'DB Costi-Ore YtD'!$E:$E,$C154)-SUM($D154:E154),0)</f>
        <v>84</v>
      </c>
      <c r="G154" s="9">
        <f>IF((G$1*1)&lt;=MAX('DB Costi-Ore YtD'!$A:$A),SUMIFS('DB Costi-Ore YtD'!$F:$F,'DB Costi-Ore YtD'!$A:$A,G$1,'DB Costi-Ore YtD'!$B:$B,$A154,'DB Costi-Ore YtD'!$E:$E,$C154)-SUM($D154:F154),0)</f>
        <v>80</v>
      </c>
      <c r="H154" s="9">
        <f>IF((H$1*1)&lt;=MAX('DB Costi-Ore YtD'!$A:$A),SUMIFS('DB Costi-Ore YtD'!$F:$F,'DB Costi-Ore YtD'!$A:$A,H$1,'DB Costi-Ore YtD'!$B:$B,$A154,'DB Costi-Ore YtD'!$E:$E,$C154)-SUM($D154:G154),0)</f>
        <v>84</v>
      </c>
      <c r="I154" s="9">
        <f>IF((I$1*1)&lt;=MAX('DB Costi-Ore YtD'!$A:$A),SUMIFS('DB Costi-Ore YtD'!$F:$F,'DB Costi-Ore YtD'!$A:$A,I$1,'DB Costi-Ore YtD'!$B:$B,$A154,'DB Costi-Ore YtD'!$E:$E,$C154)-SUM($D154:H154),0)</f>
        <v>220.75</v>
      </c>
      <c r="J154" s="9">
        <f>IF((J$1*1)&lt;=MAX('DB Costi-Ore YtD'!$A:$A),SUMIFS('DB Costi-Ore YtD'!$F:$F,'DB Costi-Ore YtD'!$A:$A,J$1,'DB Costi-Ore YtD'!$B:$B,$A154,'DB Costi-Ore YtD'!$E:$E,$C154)-SUM($D154:I154),0)</f>
        <v>0</v>
      </c>
      <c r="K154" s="9">
        <f>IF((K$1*1)&lt;=MAX('DB Costi-Ore YtD'!$A:$A),SUMIFS('DB Costi-Ore YtD'!$F:$F,'DB Costi-Ore YtD'!$A:$A,K$1,'DB Costi-Ore YtD'!$B:$B,$A154,'DB Costi-Ore YtD'!$E:$E,$C154)-SUM($D154:J154),0)</f>
        <v>0</v>
      </c>
      <c r="L154" s="9">
        <f>IF((L$1*1)&lt;=MAX('DB Costi-Ore YtD'!$A:$A),SUMIFS('DB Costi-Ore YtD'!$F:$F,'DB Costi-Ore YtD'!$A:$A,L$1,'DB Costi-Ore YtD'!$B:$B,$A154,'DB Costi-Ore YtD'!$E:$E,$C154)-SUM($D154:K154),0)</f>
        <v>0</v>
      </c>
      <c r="M154" s="9">
        <f>IF((M$1*1)&lt;=MAX('DB Costi-Ore YtD'!$A:$A),SUMIFS('DB Costi-Ore YtD'!$F:$F,'DB Costi-Ore YtD'!$A:$A,M$1,'DB Costi-Ore YtD'!$B:$B,$A154,'DB Costi-Ore YtD'!$E:$E,$C154)-SUM($D154:L154),0)</f>
        <v>0</v>
      </c>
      <c r="N154" s="9">
        <f>IF((N$1*1)&lt;=MAX('DB Costi-Ore YtD'!$A:$A),SUMIFS('DB Costi-Ore YtD'!$F:$F,'DB Costi-Ore YtD'!$A:$A,N$1,'DB Costi-Ore YtD'!$B:$B,$A154,'DB Costi-Ore YtD'!$E:$E,$C154)-SUM($D154:M154),0)</f>
        <v>0</v>
      </c>
      <c r="O154" s="9">
        <f>IF((O$1*1)&lt;=MAX('DB Costi-Ore YtD'!$A:$A),SUMIFS('DB Costi-Ore YtD'!$F:$F,'DB Costi-Ore YtD'!$A:$A,O$1,'DB Costi-Ore YtD'!$B:$B,$A154,'DB Costi-Ore YtD'!$E:$E,$C154)-SUM($D154:N154),0)</f>
        <v>0</v>
      </c>
    </row>
    <row r="155" spans="1:15" x14ac:dyDescent="0.3">
      <c r="A155" s="9" t="s">
        <v>335</v>
      </c>
      <c r="B155" s="9" t="s">
        <v>336</v>
      </c>
      <c r="C155" s="9" t="s">
        <v>2</v>
      </c>
      <c r="D155" s="9">
        <f>IF((D$1*1)&lt;=MAX('DB Costi-Ore YtD'!$A:$A),SUMIFS('DB Costi-Ore YtD'!$F:$F,'DB Costi-Ore YtD'!$A:$A,D$1,'DB Costi-Ore YtD'!$B:$B,$A155,'DB Costi-Ore YtD'!$E:$E,$C155),0)</f>
        <v>22.5</v>
      </c>
      <c r="E155" s="9">
        <f>IF((E$1*1)&lt;=MAX('DB Costi-Ore YtD'!$A:$A),SUMIFS('DB Costi-Ore YtD'!$F:$F,'DB Costi-Ore YtD'!$A:$A,E$1,'DB Costi-Ore YtD'!$B:$B,$A155,'DB Costi-Ore YtD'!$E:$E,$C155)-SUM($D155:D155),0)</f>
        <v>98.25</v>
      </c>
      <c r="F155" s="9">
        <f>IF((F$1*1)&lt;=MAX('DB Costi-Ore YtD'!$A:$A),SUMIFS('DB Costi-Ore YtD'!$F:$F,'DB Costi-Ore YtD'!$A:$A,F$1,'DB Costi-Ore YtD'!$B:$B,$A155,'DB Costi-Ore YtD'!$E:$E,$C155)-SUM($D155:E155),0)</f>
        <v>95.75</v>
      </c>
      <c r="G155" s="9">
        <f>IF((G$1*1)&lt;=MAX('DB Costi-Ore YtD'!$A:$A),SUMIFS('DB Costi-Ore YtD'!$F:$F,'DB Costi-Ore YtD'!$A:$A,G$1,'DB Costi-Ore YtD'!$B:$B,$A155,'DB Costi-Ore YtD'!$E:$E,$C155)-SUM($D155:F155),0)</f>
        <v>105</v>
      </c>
      <c r="H155" s="9">
        <f>IF((H$1*1)&lt;=MAX('DB Costi-Ore YtD'!$A:$A),SUMIFS('DB Costi-Ore YtD'!$F:$F,'DB Costi-Ore YtD'!$A:$A,H$1,'DB Costi-Ore YtD'!$B:$B,$A155,'DB Costi-Ore YtD'!$E:$E,$C155)-SUM($D155:G155),0)</f>
        <v>112</v>
      </c>
      <c r="I155" s="9">
        <f>IF((I$1*1)&lt;=MAX('DB Costi-Ore YtD'!$A:$A),SUMIFS('DB Costi-Ore YtD'!$F:$F,'DB Costi-Ore YtD'!$A:$A,I$1,'DB Costi-Ore YtD'!$B:$B,$A155,'DB Costi-Ore YtD'!$E:$E,$C155)-SUM($D155:H155),0)</f>
        <v>85.5</v>
      </c>
      <c r="J155" s="9">
        <f>IF((J$1*1)&lt;=MAX('DB Costi-Ore YtD'!$A:$A),SUMIFS('DB Costi-Ore YtD'!$F:$F,'DB Costi-Ore YtD'!$A:$A,J$1,'DB Costi-Ore YtD'!$B:$B,$A155,'DB Costi-Ore YtD'!$E:$E,$C155)-SUM($D155:I155),0)</f>
        <v>0</v>
      </c>
      <c r="K155" s="9">
        <f>IF((K$1*1)&lt;=MAX('DB Costi-Ore YtD'!$A:$A),SUMIFS('DB Costi-Ore YtD'!$F:$F,'DB Costi-Ore YtD'!$A:$A,K$1,'DB Costi-Ore YtD'!$B:$B,$A155,'DB Costi-Ore YtD'!$E:$E,$C155)-SUM($D155:J155),0)</f>
        <v>0</v>
      </c>
      <c r="L155" s="9">
        <f>IF((L$1*1)&lt;=MAX('DB Costi-Ore YtD'!$A:$A),SUMIFS('DB Costi-Ore YtD'!$F:$F,'DB Costi-Ore YtD'!$A:$A,L$1,'DB Costi-Ore YtD'!$B:$B,$A155,'DB Costi-Ore YtD'!$E:$E,$C155)-SUM($D155:K155),0)</f>
        <v>0</v>
      </c>
      <c r="M155" s="9">
        <f>IF((M$1*1)&lt;=MAX('DB Costi-Ore YtD'!$A:$A),SUMIFS('DB Costi-Ore YtD'!$F:$F,'DB Costi-Ore YtD'!$A:$A,M$1,'DB Costi-Ore YtD'!$B:$B,$A155,'DB Costi-Ore YtD'!$E:$E,$C155)-SUM($D155:L155),0)</f>
        <v>0</v>
      </c>
      <c r="N155" s="9">
        <f>IF((N$1*1)&lt;=MAX('DB Costi-Ore YtD'!$A:$A),SUMIFS('DB Costi-Ore YtD'!$F:$F,'DB Costi-Ore YtD'!$A:$A,N$1,'DB Costi-Ore YtD'!$B:$B,$A155,'DB Costi-Ore YtD'!$E:$E,$C155)-SUM($D155:M155),0)</f>
        <v>0</v>
      </c>
      <c r="O155" s="9">
        <f>IF((O$1*1)&lt;=MAX('DB Costi-Ore YtD'!$A:$A),SUMIFS('DB Costi-Ore YtD'!$F:$F,'DB Costi-Ore YtD'!$A:$A,O$1,'DB Costi-Ore YtD'!$B:$B,$A155,'DB Costi-Ore YtD'!$E:$E,$C155)-SUM($D155:N155),0)</f>
        <v>0</v>
      </c>
    </row>
    <row r="156" spans="1:15" x14ac:dyDescent="0.3">
      <c r="A156" s="9" t="s">
        <v>337</v>
      </c>
      <c r="B156" s="9" t="s">
        <v>338</v>
      </c>
      <c r="C156" s="9" t="s">
        <v>5</v>
      </c>
      <c r="D156" s="9">
        <f>IF((D$1*1)&lt;=MAX('DB Costi-Ore YtD'!$A:$A),SUMIFS('DB Costi-Ore YtD'!$F:$F,'DB Costi-Ore YtD'!$A:$A,D$1,'DB Costi-Ore YtD'!$B:$B,$A156,'DB Costi-Ore YtD'!$E:$E,$C156),0)</f>
        <v>0</v>
      </c>
      <c r="E156" s="9">
        <f>IF((E$1*1)&lt;=MAX('DB Costi-Ore YtD'!$A:$A),SUMIFS('DB Costi-Ore YtD'!$F:$F,'DB Costi-Ore YtD'!$A:$A,E$1,'DB Costi-Ore YtD'!$B:$B,$A156,'DB Costi-Ore YtD'!$E:$E,$C156)-SUM($D156:D156),0)</f>
        <v>0</v>
      </c>
      <c r="F156" s="9">
        <f>IF((F$1*1)&lt;=MAX('DB Costi-Ore YtD'!$A:$A),SUMIFS('DB Costi-Ore YtD'!$F:$F,'DB Costi-Ore YtD'!$A:$A,F$1,'DB Costi-Ore YtD'!$B:$B,$A156,'DB Costi-Ore YtD'!$E:$E,$C156)-SUM($D156:E156),0)</f>
        <v>0</v>
      </c>
      <c r="G156" s="9">
        <f>IF((G$1*1)&lt;=MAX('DB Costi-Ore YtD'!$A:$A),SUMIFS('DB Costi-Ore YtD'!$F:$F,'DB Costi-Ore YtD'!$A:$A,G$1,'DB Costi-Ore YtD'!$B:$B,$A156,'DB Costi-Ore YtD'!$E:$E,$C156)-SUM($D156:F156),0)</f>
        <v>0</v>
      </c>
      <c r="H156" s="9">
        <f>IF((H$1*1)&lt;=MAX('DB Costi-Ore YtD'!$A:$A),SUMIFS('DB Costi-Ore YtD'!$F:$F,'DB Costi-Ore YtD'!$A:$A,H$1,'DB Costi-Ore YtD'!$B:$B,$A156,'DB Costi-Ore YtD'!$E:$E,$C156)-SUM($D156:G156),0)</f>
        <v>0</v>
      </c>
      <c r="I156" s="9">
        <f>IF((I$1*1)&lt;=MAX('DB Costi-Ore YtD'!$A:$A),SUMIFS('DB Costi-Ore YtD'!$F:$F,'DB Costi-Ore YtD'!$A:$A,I$1,'DB Costi-Ore YtD'!$B:$B,$A156,'DB Costi-Ore YtD'!$E:$E,$C156)-SUM($D156:H156),0)</f>
        <v>0</v>
      </c>
      <c r="J156" s="9">
        <f>IF((J$1*1)&lt;=MAX('DB Costi-Ore YtD'!$A:$A),SUMIFS('DB Costi-Ore YtD'!$F:$F,'DB Costi-Ore YtD'!$A:$A,J$1,'DB Costi-Ore YtD'!$B:$B,$A156,'DB Costi-Ore YtD'!$E:$E,$C156)-SUM($D156:I156),0)</f>
        <v>0</v>
      </c>
      <c r="K156" s="9">
        <f>IF((K$1*1)&lt;=MAX('DB Costi-Ore YtD'!$A:$A),SUMIFS('DB Costi-Ore YtD'!$F:$F,'DB Costi-Ore YtD'!$A:$A,K$1,'DB Costi-Ore YtD'!$B:$B,$A156,'DB Costi-Ore YtD'!$E:$E,$C156)-SUM($D156:J156),0)</f>
        <v>0</v>
      </c>
      <c r="L156" s="9">
        <f>IF((L$1*1)&lt;=MAX('DB Costi-Ore YtD'!$A:$A),SUMIFS('DB Costi-Ore YtD'!$F:$F,'DB Costi-Ore YtD'!$A:$A,L$1,'DB Costi-Ore YtD'!$B:$B,$A156,'DB Costi-Ore YtD'!$E:$E,$C156)-SUM($D156:K156),0)</f>
        <v>0</v>
      </c>
      <c r="M156" s="9">
        <f>IF((M$1*1)&lt;=MAX('DB Costi-Ore YtD'!$A:$A),SUMIFS('DB Costi-Ore YtD'!$F:$F,'DB Costi-Ore YtD'!$A:$A,M$1,'DB Costi-Ore YtD'!$B:$B,$A156,'DB Costi-Ore YtD'!$E:$E,$C156)-SUM($D156:L156),0)</f>
        <v>0</v>
      </c>
      <c r="N156" s="9">
        <f>IF((N$1*1)&lt;=MAX('DB Costi-Ore YtD'!$A:$A),SUMIFS('DB Costi-Ore YtD'!$F:$F,'DB Costi-Ore YtD'!$A:$A,N$1,'DB Costi-Ore YtD'!$B:$B,$A156,'DB Costi-Ore YtD'!$E:$E,$C156)-SUM($D156:M156),0)</f>
        <v>0</v>
      </c>
      <c r="O156" s="9">
        <f>IF((O$1*1)&lt;=MAX('DB Costi-Ore YtD'!$A:$A),SUMIFS('DB Costi-Ore YtD'!$F:$F,'DB Costi-Ore YtD'!$A:$A,O$1,'DB Costi-Ore YtD'!$B:$B,$A156,'DB Costi-Ore YtD'!$E:$E,$C156)-SUM($D156:N156),0)</f>
        <v>0</v>
      </c>
    </row>
    <row r="157" spans="1:15" x14ac:dyDescent="0.3">
      <c r="A157" s="9" t="s">
        <v>339</v>
      </c>
      <c r="B157" s="9" t="s">
        <v>340</v>
      </c>
      <c r="C157" s="9" t="s">
        <v>8</v>
      </c>
      <c r="D157" s="9">
        <f>IF((D$1*1)&lt;=MAX('DB Costi-Ore YtD'!$A:$A),SUMIFS('DB Costi-Ore YtD'!$F:$F,'DB Costi-Ore YtD'!$A:$A,D$1,'DB Costi-Ore YtD'!$B:$B,$A157,'DB Costi-Ore YtD'!$E:$E,$C157),0)</f>
        <v>0</v>
      </c>
      <c r="E157" s="9">
        <f>IF((E$1*1)&lt;=MAX('DB Costi-Ore YtD'!$A:$A),SUMIFS('DB Costi-Ore YtD'!$F:$F,'DB Costi-Ore YtD'!$A:$A,E$1,'DB Costi-Ore YtD'!$B:$B,$A157,'DB Costi-Ore YtD'!$E:$E,$C157)-SUM($D157:D157),0)</f>
        <v>0</v>
      </c>
      <c r="F157" s="9">
        <f>IF((F$1*1)&lt;=MAX('DB Costi-Ore YtD'!$A:$A),SUMIFS('DB Costi-Ore YtD'!$F:$F,'DB Costi-Ore YtD'!$A:$A,F$1,'DB Costi-Ore YtD'!$B:$B,$A157,'DB Costi-Ore YtD'!$E:$E,$C157)-SUM($D157:E157),0)</f>
        <v>0</v>
      </c>
      <c r="G157" s="9">
        <f>IF((G$1*1)&lt;=MAX('DB Costi-Ore YtD'!$A:$A),SUMIFS('DB Costi-Ore YtD'!$F:$F,'DB Costi-Ore YtD'!$A:$A,G$1,'DB Costi-Ore YtD'!$B:$B,$A157,'DB Costi-Ore YtD'!$E:$E,$C157)-SUM($D157:F157),0)</f>
        <v>0</v>
      </c>
      <c r="H157" s="9">
        <f>IF((H$1*1)&lt;=MAX('DB Costi-Ore YtD'!$A:$A),SUMIFS('DB Costi-Ore YtD'!$F:$F,'DB Costi-Ore YtD'!$A:$A,H$1,'DB Costi-Ore YtD'!$B:$B,$A157,'DB Costi-Ore YtD'!$E:$E,$C157)-SUM($D157:G157),0)</f>
        <v>0</v>
      </c>
      <c r="I157" s="9">
        <f>IF((I$1*1)&lt;=MAX('DB Costi-Ore YtD'!$A:$A),SUMIFS('DB Costi-Ore YtD'!$F:$F,'DB Costi-Ore YtD'!$A:$A,I$1,'DB Costi-Ore YtD'!$B:$B,$A157,'DB Costi-Ore YtD'!$E:$E,$C157)-SUM($D157:H157),0)</f>
        <v>0</v>
      </c>
      <c r="J157" s="9">
        <f>IF((J$1*1)&lt;=MAX('DB Costi-Ore YtD'!$A:$A),SUMIFS('DB Costi-Ore YtD'!$F:$F,'DB Costi-Ore YtD'!$A:$A,J$1,'DB Costi-Ore YtD'!$B:$B,$A157,'DB Costi-Ore YtD'!$E:$E,$C157)-SUM($D157:I157),0)</f>
        <v>0</v>
      </c>
      <c r="K157" s="9">
        <f>IF((K$1*1)&lt;=MAX('DB Costi-Ore YtD'!$A:$A),SUMIFS('DB Costi-Ore YtD'!$F:$F,'DB Costi-Ore YtD'!$A:$A,K$1,'DB Costi-Ore YtD'!$B:$B,$A157,'DB Costi-Ore YtD'!$E:$E,$C157)-SUM($D157:J157),0)</f>
        <v>0</v>
      </c>
      <c r="L157" s="9">
        <f>IF((L$1*1)&lt;=MAX('DB Costi-Ore YtD'!$A:$A),SUMIFS('DB Costi-Ore YtD'!$F:$F,'DB Costi-Ore YtD'!$A:$A,L$1,'DB Costi-Ore YtD'!$B:$B,$A157,'DB Costi-Ore YtD'!$E:$E,$C157)-SUM($D157:K157),0)</f>
        <v>0</v>
      </c>
      <c r="M157" s="9">
        <f>IF((M$1*1)&lt;=MAX('DB Costi-Ore YtD'!$A:$A),SUMIFS('DB Costi-Ore YtD'!$F:$F,'DB Costi-Ore YtD'!$A:$A,M$1,'DB Costi-Ore YtD'!$B:$B,$A157,'DB Costi-Ore YtD'!$E:$E,$C157)-SUM($D157:L157),0)</f>
        <v>0</v>
      </c>
      <c r="N157" s="9">
        <f>IF((N$1*1)&lt;=MAX('DB Costi-Ore YtD'!$A:$A),SUMIFS('DB Costi-Ore YtD'!$F:$F,'DB Costi-Ore YtD'!$A:$A,N$1,'DB Costi-Ore YtD'!$B:$B,$A157,'DB Costi-Ore YtD'!$E:$E,$C157)-SUM($D157:M157),0)</f>
        <v>0</v>
      </c>
      <c r="O157" s="9">
        <f>IF((O$1*1)&lt;=MAX('DB Costi-Ore YtD'!$A:$A),SUMIFS('DB Costi-Ore YtD'!$F:$F,'DB Costi-Ore YtD'!$A:$A,O$1,'DB Costi-Ore YtD'!$B:$B,$A157,'DB Costi-Ore YtD'!$E:$E,$C157)-SUM($D157:N157),0)</f>
        <v>0</v>
      </c>
    </row>
    <row r="158" spans="1:15" x14ac:dyDescent="0.3">
      <c r="A158" s="9" t="s">
        <v>341</v>
      </c>
      <c r="B158" s="9" t="s">
        <v>342</v>
      </c>
      <c r="C158" s="9" t="s">
        <v>13</v>
      </c>
      <c r="D158" s="9">
        <f>IF((D$1*1)&lt;=MAX('DB Costi-Ore YtD'!$A:$A),SUMIFS('DB Costi-Ore YtD'!$F:$F,'DB Costi-Ore YtD'!$A:$A,D$1,'DB Costi-Ore YtD'!$B:$B,$A158,'DB Costi-Ore YtD'!$E:$E,$C158),0)</f>
        <v>0</v>
      </c>
      <c r="E158" s="9">
        <f>IF((E$1*1)&lt;=MAX('DB Costi-Ore YtD'!$A:$A),SUMIFS('DB Costi-Ore YtD'!$F:$F,'DB Costi-Ore YtD'!$A:$A,E$1,'DB Costi-Ore YtD'!$B:$B,$A158,'DB Costi-Ore YtD'!$E:$E,$C158)-SUM($D158:D158),0)</f>
        <v>0</v>
      </c>
      <c r="F158" s="9">
        <f>IF((F$1*1)&lt;=MAX('DB Costi-Ore YtD'!$A:$A),SUMIFS('DB Costi-Ore YtD'!$F:$F,'DB Costi-Ore YtD'!$A:$A,F$1,'DB Costi-Ore YtD'!$B:$B,$A158,'DB Costi-Ore YtD'!$E:$E,$C158)-SUM($D158:E158),0)</f>
        <v>0</v>
      </c>
      <c r="G158" s="9">
        <f>IF((G$1*1)&lt;=MAX('DB Costi-Ore YtD'!$A:$A),SUMIFS('DB Costi-Ore YtD'!$F:$F,'DB Costi-Ore YtD'!$A:$A,G$1,'DB Costi-Ore YtD'!$B:$B,$A158,'DB Costi-Ore YtD'!$E:$E,$C158)-SUM($D158:F158),0)</f>
        <v>0</v>
      </c>
      <c r="H158" s="9">
        <f>IF((H$1*1)&lt;=MAX('DB Costi-Ore YtD'!$A:$A),SUMIFS('DB Costi-Ore YtD'!$F:$F,'DB Costi-Ore YtD'!$A:$A,H$1,'DB Costi-Ore YtD'!$B:$B,$A158,'DB Costi-Ore YtD'!$E:$E,$C158)-SUM($D158:G158),0)</f>
        <v>0</v>
      </c>
      <c r="I158" s="9">
        <f>IF((I$1*1)&lt;=MAX('DB Costi-Ore YtD'!$A:$A),SUMIFS('DB Costi-Ore YtD'!$F:$F,'DB Costi-Ore YtD'!$A:$A,I$1,'DB Costi-Ore YtD'!$B:$B,$A158,'DB Costi-Ore YtD'!$E:$E,$C158)-SUM($D158:H158),0)</f>
        <v>0</v>
      </c>
      <c r="J158" s="9">
        <f>IF((J$1*1)&lt;=MAX('DB Costi-Ore YtD'!$A:$A),SUMIFS('DB Costi-Ore YtD'!$F:$F,'DB Costi-Ore YtD'!$A:$A,J$1,'DB Costi-Ore YtD'!$B:$B,$A158,'DB Costi-Ore YtD'!$E:$E,$C158)-SUM($D158:I158),0)</f>
        <v>0</v>
      </c>
      <c r="K158" s="9">
        <f>IF((K$1*1)&lt;=MAX('DB Costi-Ore YtD'!$A:$A),SUMIFS('DB Costi-Ore YtD'!$F:$F,'DB Costi-Ore YtD'!$A:$A,K$1,'DB Costi-Ore YtD'!$B:$B,$A158,'DB Costi-Ore YtD'!$E:$E,$C158)-SUM($D158:J158),0)</f>
        <v>0</v>
      </c>
      <c r="L158" s="9">
        <f>IF((L$1*1)&lt;=MAX('DB Costi-Ore YtD'!$A:$A),SUMIFS('DB Costi-Ore YtD'!$F:$F,'DB Costi-Ore YtD'!$A:$A,L$1,'DB Costi-Ore YtD'!$B:$B,$A158,'DB Costi-Ore YtD'!$E:$E,$C158)-SUM($D158:K158),0)</f>
        <v>0</v>
      </c>
      <c r="M158" s="9">
        <f>IF((M$1*1)&lt;=MAX('DB Costi-Ore YtD'!$A:$A),SUMIFS('DB Costi-Ore YtD'!$F:$F,'DB Costi-Ore YtD'!$A:$A,M$1,'DB Costi-Ore YtD'!$B:$B,$A158,'DB Costi-Ore YtD'!$E:$E,$C158)-SUM($D158:L158),0)</f>
        <v>0</v>
      </c>
      <c r="N158" s="9">
        <f>IF((N$1*1)&lt;=MAX('DB Costi-Ore YtD'!$A:$A),SUMIFS('DB Costi-Ore YtD'!$F:$F,'DB Costi-Ore YtD'!$A:$A,N$1,'DB Costi-Ore YtD'!$B:$B,$A158,'DB Costi-Ore YtD'!$E:$E,$C158)-SUM($D158:M158),0)</f>
        <v>0</v>
      </c>
      <c r="O158" s="9">
        <f>IF((O$1*1)&lt;=MAX('DB Costi-Ore YtD'!$A:$A),SUMIFS('DB Costi-Ore YtD'!$F:$F,'DB Costi-Ore YtD'!$A:$A,O$1,'DB Costi-Ore YtD'!$B:$B,$A158,'DB Costi-Ore YtD'!$E:$E,$C158)-SUM($D158:N158),0)</f>
        <v>0</v>
      </c>
    </row>
    <row r="159" spans="1:15" x14ac:dyDescent="0.3">
      <c r="A159" s="9" t="s">
        <v>343</v>
      </c>
      <c r="B159" s="9" t="s">
        <v>336</v>
      </c>
      <c r="C159" s="9" t="s">
        <v>2</v>
      </c>
      <c r="D159" s="9">
        <f>IF((D$1*1)&lt;=MAX('DB Costi-Ore YtD'!$A:$A),SUMIFS('DB Costi-Ore YtD'!$F:$F,'DB Costi-Ore YtD'!$A:$A,D$1,'DB Costi-Ore YtD'!$B:$B,$A159,'DB Costi-Ore YtD'!$E:$E,$C159),0)</f>
        <v>0</v>
      </c>
      <c r="E159" s="9">
        <f>IF((E$1*1)&lt;=MAX('DB Costi-Ore YtD'!$A:$A),SUMIFS('DB Costi-Ore YtD'!$F:$F,'DB Costi-Ore YtD'!$A:$A,E$1,'DB Costi-Ore YtD'!$B:$B,$A159,'DB Costi-Ore YtD'!$E:$E,$C159)-SUM($D159:D159),0)</f>
        <v>0</v>
      </c>
      <c r="F159" s="9">
        <f>IF((F$1*1)&lt;=MAX('DB Costi-Ore YtD'!$A:$A),SUMIFS('DB Costi-Ore YtD'!$F:$F,'DB Costi-Ore YtD'!$A:$A,F$1,'DB Costi-Ore YtD'!$B:$B,$A159,'DB Costi-Ore YtD'!$E:$E,$C159)-SUM($D159:E159),0)</f>
        <v>0</v>
      </c>
      <c r="G159" s="9">
        <f>IF((G$1*1)&lt;=MAX('DB Costi-Ore YtD'!$A:$A),SUMIFS('DB Costi-Ore YtD'!$F:$F,'DB Costi-Ore YtD'!$A:$A,G$1,'DB Costi-Ore YtD'!$B:$B,$A159,'DB Costi-Ore YtD'!$E:$E,$C159)-SUM($D159:F159),0)</f>
        <v>0</v>
      </c>
      <c r="H159" s="9">
        <f>IF((H$1*1)&lt;=MAX('DB Costi-Ore YtD'!$A:$A),SUMIFS('DB Costi-Ore YtD'!$F:$F,'DB Costi-Ore YtD'!$A:$A,H$1,'DB Costi-Ore YtD'!$B:$B,$A159,'DB Costi-Ore YtD'!$E:$E,$C159)-SUM($D159:G159),0)</f>
        <v>0</v>
      </c>
      <c r="I159" s="9">
        <f>IF((I$1*1)&lt;=MAX('DB Costi-Ore YtD'!$A:$A),SUMIFS('DB Costi-Ore YtD'!$F:$F,'DB Costi-Ore YtD'!$A:$A,I$1,'DB Costi-Ore YtD'!$B:$B,$A159,'DB Costi-Ore YtD'!$E:$E,$C159)-SUM($D159:H159),0)</f>
        <v>0</v>
      </c>
      <c r="J159" s="9">
        <f>IF((J$1*1)&lt;=MAX('DB Costi-Ore YtD'!$A:$A),SUMIFS('DB Costi-Ore YtD'!$F:$F,'DB Costi-Ore YtD'!$A:$A,J$1,'DB Costi-Ore YtD'!$B:$B,$A159,'DB Costi-Ore YtD'!$E:$E,$C159)-SUM($D159:I159),0)</f>
        <v>0</v>
      </c>
      <c r="K159" s="9">
        <f>IF((K$1*1)&lt;=MAX('DB Costi-Ore YtD'!$A:$A),SUMIFS('DB Costi-Ore YtD'!$F:$F,'DB Costi-Ore YtD'!$A:$A,K$1,'DB Costi-Ore YtD'!$B:$B,$A159,'DB Costi-Ore YtD'!$E:$E,$C159)-SUM($D159:J159),0)</f>
        <v>0</v>
      </c>
      <c r="L159" s="9">
        <f>IF((L$1*1)&lt;=MAX('DB Costi-Ore YtD'!$A:$A),SUMIFS('DB Costi-Ore YtD'!$F:$F,'DB Costi-Ore YtD'!$A:$A,L$1,'DB Costi-Ore YtD'!$B:$B,$A159,'DB Costi-Ore YtD'!$E:$E,$C159)-SUM($D159:K159),0)</f>
        <v>0</v>
      </c>
      <c r="M159" s="9">
        <f>IF((M$1*1)&lt;=MAX('DB Costi-Ore YtD'!$A:$A),SUMIFS('DB Costi-Ore YtD'!$F:$F,'DB Costi-Ore YtD'!$A:$A,M$1,'DB Costi-Ore YtD'!$B:$B,$A159,'DB Costi-Ore YtD'!$E:$E,$C159)-SUM($D159:L159),0)</f>
        <v>0</v>
      </c>
      <c r="N159" s="9">
        <f>IF((N$1*1)&lt;=MAX('DB Costi-Ore YtD'!$A:$A),SUMIFS('DB Costi-Ore YtD'!$F:$F,'DB Costi-Ore YtD'!$A:$A,N$1,'DB Costi-Ore YtD'!$B:$B,$A159,'DB Costi-Ore YtD'!$E:$E,$C159)-SUM($D159:M159),0)</f>
        <v>0</v>
      </c>
      <c r="O159" s="9">
        <f>IF((O$1*1)&lt;=MAX('DB Costi-Ore YtD'!$A:$A),SUMIFS('DB Costi-Ore YtD'!$F:$F,'DB Costi-Ore YtD'!$A:$A,O$1,'DB Costi-Ore YtD'!$B:$B,$A159,'DB Costi-Ore YtD'!$E:$E,$C159)-SUM($D159:N159),0)</f>
        <v>0</v>
      </c>
    </row>
    <row r="160" spans="1:15" x14ac:dyDescent="0.3">
      <c r="A160" s="9" t="s">
        <v>344</v>
      </c>
      <c r="B160" s="9" t="s">
        <v>345</v>
      </c>
      <c r="C160" s="9" t="s">
        <v>5</v>
      </c>
      <c r="D160" s="9">
        <f>IF((D$1*1)&lt;=MAX('DB Costi-Ore YtD'!$A:$A),SUMIFS('DB Costi-Ore YtD'!$F:$F,'DB Costi-Ore YtD'!$A:$A,D$1,'DB Costi-Ore YtD'!$B:$B,$A160,'DB Costi-Ore YtD'!$E:$E,$C160),0)</f>
        <v>0</v>
      </c>
      <c r="E160" s="9">
        <f>IF((E$1*1)&lt;=MAX('DB Costi-Ore YtD'!$A:$A),SUMIFS('DB Costi-Ore YtD'!$F:$F,'DB Costi-Ore YtD'!$A:$A,E$1,'DB Costi-Ore YtD'!$B:$B,$A160,'DB Costi-Ore YtD'!$E:$E,$C160)-SUM($D160:D160),0)</f>
        <v>0</v>
      </c>
      <c r="F160" s="9">
        <f>IF((F$1*1)&lt;=MAX('DB Costi-Ore YtD'!$A:$A),SUMIFS('DB Costi-Ore YtD'!$F:$F,'DB Costi-Ore YtD'!$A:$A,F$1,'DB Costi-Ore YtD'!$B:$B,$A160,'DB Costi-Ore YtD'!$E:$E,$C160)-SUM($D160:E160),0)</f>
        <v>0</v>
      </c>
      <c r="G160" s="9">
        <f>IF((G$1*1)&lt;=MAX('DB Costi-Ore YtD'!$A:$A),SUMIFS('DB Costi-Ore YtD'!$F:$F,'DB Costi-Ore YtD'!$A:$A,G$1,'DB Costi-Ore YtD'!$B:$B,$A160,'DB Costi-Ore YtD'!$E:$E,$C160)-SUM($D160:F160),0)</f>
        <v>0</v>
      </c>
      <c r="H160" s="9">
        <f>IF((H$1*1)&lt;=MAX('DB Costi-Ore YtD'!$A:$A),SUMIFS('DB Costi-Ore YtD'!$F:$F,'DB Costi-Ore YtD'!$A:$A,H$1,'DB Costi-Ore YtD'!$B:$B,$A160,'DB Costi-Ore YtD'!$E:$E,$C160)-SUM($D160:G160),0)</f>
        <v>0</v>
      </c>
      <c r="I160" s="9">
        <f>IF((I$1*1)&lt;=MAX('DB Costi-Ore YtD'!$A:$A),SUMIFS('DB Costi-Ore YtD'!$F:$F,'DB Costi-Ore YtD'!$A:$A,I$1,'DB Costi-Ore YtD'!$B:$B,$A160,'DB Costi-Ore YtD'!$E:$E,$C160)-SUM($D160:H160),0)</f>
        <v>0</v>
      </c>
      <c r="J160" s="9">
        <f>IF((J$1*1)&lt;=MAX('DB Costi-Ore YtD'!$A:$A),SUMIFS('DB Costi-Ore YtD'!$F:$F,'DB Costi-Ore YtD'!$A:$A,J$1,'DB Costi-Ore YtD'!$B:$B,$A160,'DB Costi-Ore YtD'!$E:$E,$C160)-SUM($D160:I160),0)</f>
        <v>0</v>
      </c>
      <c r="K160" s="9">
        <f>IF((K$1*1)&lt;=MAX('DB Costi-Ore YtD'!$A:$A),SUMIFS('DB Costi-Ore YtD'!$F:$F,'DB Costi-Ore YtD'!$A:$A,K$1,'DB Costi-Ore YtD'!$B:$B,$A160,'DB Costi-Ore YtD'!$E:$E,$C160)-SUM($D160:J160),0)</f>
        <v>0</v>
      </c>
      <c r="L160" s="9">
        <f>IF((L$1*1)&lt;=MAX('DB Costi-Ore YtD'!$A:$A),SUMIFS('DB Costi-Ore YtD'!$F:$F,'DB Costi-Ore YtD'!$A:$A,L$1,'DB Costi-Ore YtD'!$B:$B,$A160,'DB Costi-Ore YtD'!$E:$E,$C160)-SUM($D160:K160),0)</f>
        <v>0</v>
      </c>
      <c r="M160" s="9">
        <f>IF((M$1*1)&lt;=MAX('DB Costi-Ore YtD'!$A:$A),SUMIFS('DB Costi-Ore YtD'!$F:$F,'DB Costi-Ore YtD'!$A:$A,M$1,'DB Costi-Ore YtD'!$B:$B,$A160,'DB Costi-Ore YtD'!$E:$E,$C160)-SUM($D160:L160),0)</f>
        <v>0</v>
      </c>
      <c r="N160" s="9">
        <f>IF((N$1*1)&lt;=MAX('DB Costi-Ore YtD'!$A:$A),SUMIFS('DB Costi-Ore YtD'!$F:$F,'DB Costi-Ore YtD'!$A:$A,N$1,'DB Costi-Ore YtD'!$B:$B,$A160,'DB Costi-Ore YtD'!$E:$E,$C160)-SUM($D160:M160),0)</f>
        <v>0</v>
      </c>
      <c r="O160" s="9">
        <f>IF((O$1*1)&lt;=MAX('DB Costi-Ore YtD'!$A:$A),SUMIFS('DB Costi-Ore YtD'!$F:$F,'DB Costi-Ore YtD'!$A:$A,O$1,'DB Costi-Ore YtD'!$B:$B,$A160,'DB Costi-Ore YtD'!$E:$E,$C160)-SUM($D160:N160),0)</f>
        <v>0</v>
      </c>
    </row>
    <row r="161" spans="1:15" x14ac:dyDescent="0.3">
      <c r="A161" s="9" t="s">
        <v>346</v>
      </c>
      <c r="B161" s="9" t="s">
        <v>347</v>
      </c>
      <c r="C161" s="9" t="s">
        <v>5</v>
      </c>
      <c r="D161" s="9">
        <f>IF((D$1*1)&lt;=MAX('DB Costi-Ore YtD'!$A:$A),SUMIFS('DB Costi-Ore YtD'!$F:$F,'DB Costi-Ore YtD'!$A:$A,D$1,'DB Costi-Ore YtD'!$B:$B,$A161,'DB Costi-Ore YtD'!$E:$E,$C161),0)</f>
        <v>0</v>
      </c>
      <c r="E161" s="9">
        <f>IF((E$1*1)&lt;=MAX('DB Costi-Ore YtD'!$A:$A),SUMIFS('DB Costi-Ore YtD'!$F:$F,'DB Costi-Ore YtD'!$A:$A,E$1,'DB Costi-Ore YtD'!$B:$B,$A161,'DB Costi-Ore YtD'!$E:$E,$C161)-SUM($D161:D161),0)</f>
        <v>0</v>
      </c>
      <c r="F161" s="9">
        <f>IF((F$1*1)&lt;=MAX('DB Costi-Ore YtD'!$A:$A),SUMIFS('DB Costi-Ore YtD'!$F:$F,'DB Costi-Ore YtD'!$A:$A,F$1,'DB Costi-Ore YtD'!$B:$B,$A161,'DB Costi-Ore YtD'!$E:$E,$C161)-SUM($D161:E161),0)</f>
        <v>0</v>
      </c>
      <c r="G161" s="9">
        <f>IF((G$1*1)&lt;=MAX('DB Costi-Ore YtD'!$A:$A),SUMIFS('DB Costi-Ore YtD'!$F:$F,'DB Costi-Ore YtD'!$A:$A,G$1,'DB Costi-Ore YtD'!$B:$B,$A161,'DB Costi-Ore YtD'!$E:$E,$C161)-SUM($D161:F161),0)</f>
        <v>0</v>
      </c>
      <c r="H161" s="9">
        <f>IF((H$1*1)&lt;=MAX('DB Costi-Ore YtD'!$A:$A),SUMIFS('DB Costi-Ore YtD'!$F:$F,'DB Costi-Ore YtD'!$A:$A,H$1,'DB Costi-Ore YtD'!$B:$B,$A161,'DB Costi-Ore YtD'!$E:$E,$C161)-SUM($D161:G161),0)</f>
        <v>0</v>
      </c>
      <c r="I161" s="9">
        <f>IF((I$1*1)&lt;=MAX('DB Costi-Ore YtD'!$A:$A),SUMIFS('DB Costi-Ore YtD'!$F:$F,'DB Costi-Ore YtD'!$A:$A,I$1,'DB Costi-Ore YtD'!$B:$B,$A161,'DB Costi-Ore YtD'!$E:$E,$C161)-SUM($D161:H161),0)</f>
        <v>0</v>
      </c>
      <c r="J161" s="9">
        <f>IF((J$1*1)&lt;=MAX('DB Costi-Ore YtD'!$A:$A),SUMIFS('DB Costi-Ore YtD'!$F:$F,'DB Costi-Ore YtD'!$A:$A,J$1,'DB Costi-Ore YtD'!$B:$B,$A161,'DB Costi-Ore YtD'!$E:$E,$C161)-SUM($D161:I161),0)</f>
        <v>0</v>
      </c>
      <c r="K161" s="9">
        <f>IF((K$1*1)&lt;=MAX('DB Costi-Ore YtD'!$A:$A),SUMIFS('DB Costi-Ore YtD'!$F:$F,'DB Costi-Ore YtD'!$A:$A,K$1,'DB Costi-Ore YtD'!$B:$B,$A161,'DB Costi-Ore YtD'!$E:$E,$C161)-SUM($D161:J161),0)</f>
        <v>0</v>
      </c>
      <c r="L161" s="9">
        <f>IF((L$1*1)&lt;=MAX('DB Costi-Ore YtD'!$A:$A),SUMIFS('DB Costi-Ore YtD'!$F:$F,'DB Costi-Ore YtD'!$A:$A,L$1,'DB Costi-Ore YtD'!$B:$B,$A161,'DB Costi-Ore YtD'!$E:$E,$C161)-SUM($D161:K161),0)</f>
        <v>0</v>
      </c>
      <c r="M161" s="9">
        <f>IF((M$1*1)&lt;=MAX('DB Costi-Ore YtD'!$A:$A),SUMIFS('DB Costi-Ore YtD'!$F:$F,'DB Costi-Ore YtD'!$A:$A,M$1,'DB Costi-Ore YtD'!$B:$B,$A161,'DB Costi-Ore YtD'!$E:$E,$C161)-SUM($D161:L161),0)</f>
        <v>0</v>
      </c>
      <c r="N161" s="9">
        <f>IF((N$1*1)&lt;=MAX('DB Costi-Ore YtD'!$A:$A),SUMIFS('DB Costi-Ore YtD'!$F:$F,'DB Costi-Ore YtD'!$A:$A,N$1,'DB Costi-Ore YtD'!$B:$B,$A161,'DB Costi-Ore YtD'!$E:$E,$C161)-SUM($D161:M161),0)</f>
        <v>0</v>
      </c>
      <c r="O161" s="9">
        <f>IF((O$1*1)&lt;=MAX('DB Costi-Ore YtD'!$A:$A),SUMIFS('DB Costi-Ore YtD'!$F:$F,'DB Costi-Ore YtD'!$A:$A,O$1,'DB Costi-Ore YtD'!$B:$B,$A161,'DB Costi-Ore YtD'!$E:$E,$C161)-SUM($D161:N161),0)</f>
        <v>0</v>
      </c>
    </row>
    <row r="162" spans="1:15" x14ac:dyDescent="0.3">
      <c r="A162" s="9" t="s">
        <v>426</v>
      </c>
      <c r="B162" s="9" t="s">
        <v>427</v>
      </c>
      <c r="C162" s="9" t="s">
        <v>5</v>
      </c>
      <c r="D162" s="9">
        <f>IF((D$1*1)&lt;=MAX('DB Costi-Ore YtD'!$A:$A),SUMIFS('DB Costi-Ore YtD'!$F:$F,'DB Costi-Ore YtD'!$A:$A,D$1,'DB Costi-Ore YtD'!$B:$B,$A162,'DB Costi-Ore YtD'!$E:$E,$C162),0)</f>
        <v>0</v>
      </c>
      <c r="E162" s="9">
        <f>IF((E$1*1)&lt;=MAX('DB Costi-Ore YtD'!$A:$A),SUMIFS('DB Costi-Ore YtD'!$F:$F,'DB Costi-Ore YtD'!$A:$A,E$1,'DB Costi-Ore YtD'!$B:$B,$A162,'DB Costi-Ore YtD'!$E:$E,$C162)-SUM($D162:D162),0)</f>
        <v>0</v>
      </c>
      <c r="F162" s="9">
        <f>IF((F$1*1)&lt;=MAX('DB Costi-Ore YtD'!$A:$A),SUMIFS('DB Costi-Ore YtD'!$F:$F,'DB Costi-Ore YtD'!$A:$A,F$1,'DB Costi-Ore YtD'!$B:$B,$A162,'DB Costi-Ore YtD'!$E:$E,$C162)-SUM($D162:E162),0)</f>
        <v>0</v>
      </c>
      <c r="G162" s="9">
        <f>IF((G$1*1)&lt;=MAX('DB Costi-Ore YtD'!$A:$A),SUMIFS('DB Costi-Ore YtD'!$F:$F,'DB Costi-Ore YtD'!$A:$A,G$1,'DB Costi-Ore YtD'!$B:$B,$A162,'DB Costi-Ore YtD'!$E:$E,$C162)-SUM($D162:F162),0)</f>
        <v>0</v>
      </c>
      <c r="H162" s="9">
        <f>IF((H$1*1)&lt;=MAX('DB Costi-Ore YtD'!$A:$A),SUMIFS('DB Costi-Ore YtD'!$F:$F,'DB Costi-Ore YtD'!$A:$A,H$1,'DB Costi-Ore YtD'!$B:$B,$A162,'DB Costi-Ore YtD'!$E:$E,$C162)-SUM($D162:G162),0)</f>
        <v>0</v>
      </c>
      <c r="I162" s="9">
        <f>IF((I$1*1)&lt;=MAX('DB Costi-Ore YtD'!$A:$A),SUMIFS('DB Costi-Ore YtD'!$F:$F,'DB Costi-Ore YtD'!$A:$A,I$1,'DB Costi-Ore YtD'!$B:$B,$A162,'DB Costi-Ore YtD'!$E:$E,$C162)-SUM($D162:H162),0)</f>
        <v>0</v>
      </c>
      <c r="J162" s="9">
        <f>IF((J$1*1)&lt;=MAX('DB Costi-Ore YtD'!$A:$A),SUMIFS('DB Costi-Ore YtD'!$F:$F,'DB Costi-Ore YtD'!$A:$A,J$1,'DB Costi-Ore YtD'!$B:$B,$A162,'DB Costi-Ore YtD'!$E:$E,$C162)-SUM($D162:I162),0)</f>
        <v>0</v>
      </c>
      <c r="K162" s="9">
        <f>IF((K$1*1)&lt;=MAX('DB Costi-Ore YtD'!$A:$A),SUMIFS('DB Costi-Ore YtD'!$F:$F,'DB Costi-Ore YtD'!$A:$A,K$1,'DB Costi-Ore YtD'!$B:$B,$A162,'DB Costi-Ore YtD'!$E:$E,$C162)-SUM($D162:J162),0)</f>
        <v>0</v>
      </c>
      <c r="L162" s="9">
        <f>IF((L$1*1)&lt;=MAX('DB Costi-Ore YtD'!$A:$A),SUMIFS('DB Costi-Ore YtD'!$F:$F,'DB Costi-Ore YtD'!$A:$A,L$1,'DB Costi-Ore YtD'!$B:$B,$A162,'DB Costi-Ore YtD'!$E:$E,$C162)-SUM($D162:K162),0)</f>
        <v>0</v>
      </c>
      <c r="M162" s="9">
        <f>IF((M$1*1)&lt;=MAX('DB Costi-Ore YtD'!$A:$A),SUMIFS('DB Costi-Ore YtD'!$F:$F,'DB Costi-Ore YtD'!$A:$A,M$1,'DB Costi-Ore YtD'!$B:$B,$A162,'DB Costi-Ore YtD'!$E:$E,$C162)-SUM($D162:L162),0)</f>
        <v>0</v>
      </c>
      <c r="N162" s="9">
        <f>IF((N$1*1)&lt;=MAX('DB Costi-Ore YtD'!$A:$A),SUMIFS('DB Costi-Ore YtD'!$F:$F,'DB Costi-Ore YtD'!$A:$A,N$1,'DB Costi-Ore YtD'!$B:$B,$A162,'DB Costi-Ore YtD'!$E:$E,$C162)-SUM($D162:M162),0)</f>
        <v>0</v>
      </c>
      <c r="O162" s="9">
        <f>IF((O$1*1)&lt;=MAX('DB Costi-Ore YtD'!$A:$A),SUMIFS('DB Costi-Ore YtD'!$F:$F,'DB Costi-Ore YtD'!$A:$A,O$1,'DB Costi-Ore YtD'!$B:$B,$A162,'DB Costi-Ore YtD'!$E:$E,$C162)-SUM($D162:N162),0)</f>
        <v>0</v>
      </c>
    </row>
    <row r="163" spans="1:15" x14ac:dyDescent="0.3">
      <c r="A163" s="9" t="s">
        <v>348</v>
      </c>
      <c r="B163" s="9" t="s">
        <v>330</v>
      </c>
      <c r="C163" s="9" t="s">
        <v>6</v>
      </c>
      <c r="D163" s="9">
        <f>IF((D$1*1)&lt;=MAX('DB Costi-Ore YtD'!$A:$A),SUMIFS('DB Costi-Ore YtD'!$F:$F,'DB Costi-Ore YtD'!$A:$A,D$1,'DB Costi-Ore YtD'!$B:$B,$A163,'DB Costi-Ore YtD'!$E:$E,$C163),0)</f>
        <v>0</v>
      </c>
      <c r="E163" s="9">
        <f>IF((E$1*1)&lt;=MAX('DB Costi-Ore YtD'!$A:$A),SUMIFS('DB Costi-Ore YtD'!$F:$F,'DB Costi-Ore YtD'!$A:$A,E$1,'DB Costi-Ore YtD'!$B:$B,$A163,'DB Costi-Ore YtD'!$E:$E,$C163)-SUM($D163:D163),0)</f>
        <v>0</v>
      </c>
      <c r="F163" s="9">
        <f>IF((F$1*1)&lt;=MAX('DB Costi-Ore YtD'!$A:$A),SUMIFS('DB Costi-Ore YtD'!$F:$F,'DB Costi-Ore YtD'!$A:$A,F$1,'DB Costi-Ore YtD'!$B:$B,$A163,'DB Costi-Ore YtD'!$E:$E,$C163)-SUM($D163:E163),0)</f>
        <v>0</v>
      </c>
      <c r="G163" s="9">
        <f>IF((G$1*1)&lt;=MAX('DB Costi-Ore YtD'!$A:$A),SUMIFS('DB Costi-Ore YtD'!$F:$F,'DB Costi-Ore YtD'!$A:$A,G$1,'DB Costi-Ore YtD'!$B:$B,$A163,'DB Costi-Ore YtD'!$E:$E,$C163)-SUM($D163:F163),0)</f>
        <v>0</v>
      </c>
      <c r="H163" s="9">
        <f>IF((H$1*1)&lt;=MAX('DB Costi-Ore YtD'!$A:$A),SUMIFS('DB Costi-Ore YtD'!$F:$F,'DB Costi-Ore YtD'!$A:$A,H$1,'DB Costi-Ore YtD'!$B:$B,$A163,'DB Costi-Ore YtD'!$E:$E,$C163)-SUM($D163:G163),0)</f>
        <v>0</v>
      </c>
      <c r="I163" s="9">
        <f>IF((I$1*1)&lt;=MAX('DB Costi-Ore YtD'!$A:$A),SUMIFS('DB Costi-Ore YtD'!$F:$F,'DB Costi-Ore YtD'!$A:$A,I$1,'DB Costi-Ore YtD'!$B:$B,$A163,'DB Costi-Ore YtD'!$E:$E,$C163)-SUM($D163:H163),0)</f>
        <v>0</v>
      </c>
      <c r="J163" s="9">
        <f>IF((J$1*1)&lt;=MAX('DB Costi-Ore YtD'!$A:$A),SUMIFS('DB Costi-Ore YtD'!$F:$F,'DB Costi-Ore YtD'!$A:$A,J$1,'DB Costi-Ore YtD'!$B:$B,$A163,'DB Costi-Ore YtD'!$E:$E,$C163)-SUM($D163:I163),0)</f>
        <v>0</v>
      </c>
      <c r="K163" s="9">
        <f>IF((K$1*1)&lt;=MAX('DB Costi-Ore YtD'!$A:$A),SUMIFS('DB Costi-Ore YtD'!$F:$F,'DB Costi-Ore YtD'!$A:$A,K$1,'DB Costi-Ore YtD'!$B:$B,$A163,'DB Costi-Ore YtD'!$E:$E,$C163)-SUM($D163:J163),0)</f>
        <v>0</v>
      </c>
      <c r="L163" s="9">
        <f>IF((L$1*1)&lt;=MAX('DB Costi-Ore YtD'!$A:$A),SUMIFS('DB Costi-Ore YtD'!$F:$F,'DB Costi-Ore YtD'!$A:$A,L$1,'DB Costi-Ore YtD'!$B:$B,$A163,'DB Costi-Ore YtD'!$E:$E,$C163)-SUM($D163:K163),0)</f>
        <v>0</v>
      </c>
      <c r="M163" s="9">
        <f>IF((M$1*1)&lt;=MAX('DB Costi-Ore YtD'!$A:$A),SUMIFS('DB Costi-Ore YtD'!$F:$F,'DB Costi-Ore YtD'!$A:$A,M$1,'DB Costi-Ore YtD'!$B:$B,$A163,'DB Costi-Ore YtD'!$E:$E,$C163)-SUM($D163:L163),0)</f>
        <v>0</v>
      </c>
      <c r="N163" s="9">
        <f>IF((N$1*1)&lt;=MAX('DB Costi-Ore YtD'!$A:$A),SUMIFS('DB Costi-Ore YtD'!$F:$F,'DB Costi-Ore YtD'!$A:$A,N$1,'DB Costi-Ore YtD'!$B:$B,$A163,'DB Costi-Ore YtD'!$E:$E,$C163)-SUM($D163:M163),0)</f>
        <v>0</v>
      </c>
      <c r="O163" s="9">
        <f>IF((O$1*1)&lt;=MAX('DB Costi-Ore YtD'!$A:$A),SUMIFS('DB Costi-Ore YtD'!$F:$F,'DB Costi-Ore YtD'!$A:$A,O$1,'DB Costi-Ore YtD'!$B:$B,$A163,'DB Costi-Ore YtD'!$E:$E,$C163)-SUM($D163:N163),0)</f>
        <v>0</v>
      </c>
    </row>
    <row r="164" spans="1:15" x14ac:dyDescent="0.3">
      <c r="A164" s="9" t="s">
        <v>349</v>
      </c>
      <c r="B164" s="9" t="s">
        <v>350</v>
      </c>
      <c r="C164" s="9" t="s">
        <v>5</v>
      </c>
      <c r="D164" s="9">
        <f>IF((D$1*1)&lt;=MAX('DB Costi-Ore YtD'!$A:$A),SUMIFS('DB Costi-Ore YtD'!$F:$F,'DB Costi-Ore YtD'!$A:$A,D$1,'DB Costi-Ore YtD'!$B:$B,$A164,'DB Costi-Ore YtD'!$E:$E,$C164),0)</f>
        <v>0</v>
      </c>
      <c r="E164" s="9">
        <f>IF((E$1*1)&lt;=MAX('DB Costi-Ore YtD'!$A:$A),SUMIFS('DB Costi-Ore YtD'!$F:$F,'DB Costi-Ore YtD'!$A:$A,E$1,'DB Costi-Ore YtD'!$B:$B,$A164,'DB Costi-Ore YtD'!$E:$E,$C164)-SUM($D164:D164),0)</f>
        <v>0</v>
      </c>
      <c r="F164" s="9">
        <f>IF((F$1*1)&lt;=MAX('DB Costi-Ore YtD'!$A:$A),SUMIFS('DB Costi-Ore YtD'!$F:$F,'DB Costi-Ore YtD'!$A:$A,F$1,'DB Costi-Ore YtD'!$B:$B,$A164,'DB Costi-Ore YtD'!$E:$E,$C164)-SUM($D164:E164),0)</f>
        <v>0</v>
      </c>
      <c r="G164" s="9">
        <f>IF((G$1*1)&lt;=MAX('DB Costi-Ore YtD'!$A:$A),SUMIFS('DB Costi-Ore YtD'!$F:$F,'DB Costi-Ore YtD'!$A:$A,G$1,'DB Costi-Ore YtD'!$B:$B,$A164,'DB Costi-Ore YtD'!$E:$E,$C164)-SUM($D164:F164),0)</f>
        <v>0</v>
      </c>
      <c r="H164" s="9">
        <f>IF((H$1*1)&lt;=MAX('DB Costi-Ore YtD'!$A:$A),SUMIFS('DB Costi-Ore YtD'!$F:$F,'DB Costi-Ore YtD'!$A:$A,H$1,'DB Costi-Ore YtD'!$B:$B,$A164,'DB Costi-Ore YtD'!$E:$E,$C164)-SUM($D164:G164),0)</f>
        <v>0</v>
      </c>
      <c r="I164" s="9">
        <f>IF((I$1*1)&lt;=MAX('DB Costi-Ore YtD'!$A:$A),SUMIFS('DB Costi-Ore YtD'!$F:$F,'DB Costi-Ore YtD'!$A:$A,I$1,'DB Costi-Ore YtD'!$B:$B,$A164,'DB Costi-Ore YtD'!$E:$E,$C164)-SUM($D164:H164),0)</f>
        <v>0</v>
      </c>
      <c r="J164" s="9">
        <f>IF((J$1*1)&lt;=MAX('DB Costi-Ore YtD'!$A:$A),SUMIFS('DB Costi-Ore YtD'!$F:$F,'DB Costi-Ore YtD'!$A:$A,J$1,'DB Costi-Ore YtD'!$B:$B,$A164,'DB Costi-Ore YtD'!$E:$E,$C164)-SUM($D164:I164),0)</f>
        <v>0</v>
      </c>
      <c r="K164" s="9">
        <f>IF((K$1*1)&lt;=MAX('DB Costi-Ore YtD'!$A:$A),SUMIFS('DB Costi-Ore YtD'!$F:$F,'DB Costi-Ore YtD'!$A:$A,K$1,'DB Costi-Ore YtD'!$B:$B,$A164,'DB Costi-Ore YtD'!$E:$E,$C164)-SUM($D164:J164),0)</f>
        <v>0</v>
      </c>
      <c r="L164" s="9">
        <f>IF((L$1*1)&lt;=MAX('DB Costi-Ore YtD'!$A:$A),SUMIFS('DB Costi-Ore YtD'!$F:$F,'DB Costi-Ore YtD'!$A:$A,L$1,'DB Costi-Ore YtD'!$B:$B,$A164,'DB Costi-Ore YtD'!$E:$E,$C164)-SUM($D164:K164),0)</f>
        <v>0</v>
      </c>
      <c r="M164" s="9">
        <f>IF((M$1*1)&lt;=MAX('DB Costi-Ore YtD'!$A:$A),SUMIFS('DB Costi-Ore YtD'!$F:$F,'DB Costi-Ore YtD'!$A:$A,M$1,'DB Costi-Ore YtD'!$B:$B,$A164,'DB Costi-Ore YtD'!$E:$E,$C164)-SUM($D164:L164),0)</f>
        <v>0</v>
      </c>
      <c r="N164" s="9">
        <f>IF((N$1*1)&lt;=MAX('DB Costi-Ore YtD'!$A:$A),SUMIFS('DB Costi-Ore YtD'!$F:$F,'DB Costi-Ore YtD'!$A:$A,N$1,'DB Costi-Ore YtD'!$B:$B,$A164,'DB Costi-Ore YtD'!$E:$E,$C164)-SUM($D164:M164),0)</f>
        <v>0</v>
      </c>
      <c r="O164" s="9">
        <f>IF((O$1*1)&lt;=MAX('DB Costi-Ore YtD'!$A:$A),SUMIFS('DB Costi-Ore YtD'!$F:$F,'DB Costi-Ore YtD'!$A:$A,O$1,'DB Costi-Ore YtD'!$B:$B,$A164,'DB Costi-Ore YtD'!$E:$E,$C164)-SUM($D164:N164),0)</f>
        <v>0</v>
      </c>
    </row>
    <row r="165" spans="1:15" x14ac:dyDescent="0.3">
      <c r="A165" s="9" t="s">
        <v>351</v>
      </c>
      <c r="B165" s="9" t="s">
        <v>352</v>
      </c>
      <c r="C165" s="9" t="s">
        <v>2</v>
      </c>
      <c r="D165" s="9">
        <f>IF((D$1*1)&lt;=MAX('DB Costi-Ore YtD'!$A:$A),SUMIFS('DB Costi-Ore YtD'!$F:$F,'DB Costi-Ore YtD'!$A:$A,D$1,'DB Costi-Ore YtD'!$B:$B,$A165,'DB Costi-Ore YtD'!$E:$E,$C165),0)</f>
        <v>0</v>
      </c>
      <c r="E165" s="9">
        <f>IF((E$1*1)&lt;=MAX('DB Costi-Ore YtD'!$A:$A),SUMIFS('DB Costi-Ore YtD'!$F:$F,'DB Costi-Ore YtD'!$A:$A,E$1,'DB Costi-Ore YtD'!$B:$B,$A165,'DB Costi-Ore YtD'!$E:$E,$C165)-SUM($D165:D165),0)</f>
        <v>0</v>
      </c>
      <c r="F165" s="9">
        <f>IF((F$1*1)&lt;=MAX('DB Costi-Ore YtD'!$A:$A),SUMIFS('DB Costi-Ore YtD'!$F:$F,'DB Costi-Ore YtD'!$A:$A,F$1,'DB Costi-Ore YtD'!$B:$B,$A165,'DB Costi-Ore YtD'!$E:$E,$C165)-SUM($D165:E165),0)</f>
        <v>0</v>
      </c>
      <c r="G165" s="9">
        <f>IF((G$1*1)&lt;=MAX('DB Costi-Ore YtD'!$A:$A),SUMIFS('DB Costi-Ore YtD'!$F:$F,'DB Costi-Ore YtD'!$A:$A,G$1,'DB Costi-Ore YtD'!$B:$B,$A165,'DB Costi-Ore YtD'!$E:$E,$C165)-SUM($D165:F165),0)</f>
        <v>0</v>
      </c>
      <c r="H165" s="9">
        <f>IF((H$1*1)&lt;=MAX('DB Costi-Ore YtD'!$A:$A),SUMIFS('DB Costi-Ore YtD'!$F:$F,'DB Costi-Ore YtD'!$A:$A,H$1,'DB Costi-Ore YtD'!$B:$B,$A165,'DB Costi-Ore YtD'!$E:$E,$C165)-SUM($D165:G165),0)</f>
        <v>0</v>
      </c>
      <c r="I165" s="9">
        <f>IF((I$1*1)&lt;=MAX('DB Costi-Ore YtD'!$A:$A),SUMIFS('DB Costi-Ore YtD'!$F:$F,'DB Costi-Ore YtD'!$A:$A,I$1,'DB Costi-Ore YtD'!$B:$B,$A165,'DB Costi-Ore YtD'!$E:$E,$C165)-SUM($D165:H165),0)</f>
        <v>0</v>
      </c>
      <c r="J165" s="9">
        <f>IF((J$1*1)&lt;=MAX('DB Costi-Ore YtD'!$A:$A),SUMIFS('DB Costi-Ore YtD'!$F:$F,'DB Costi-Ore YtD'!$A:$A,J$1,'DB Costi-Ore YtD'!$B:$B,$A165,'DB Costi-Ore YtD'!$E:$E,$C165)-SUM($D165:I165),0)</f>
        <v>0</v>
      </c>
      <c r="K165" s="9">
        <f>IF((K$1*1)&lt;=MAX('DB Costi-Ore YtD'!$A:$A),SUMIFS('DB Costi-Ore YtD'!$F:$F,'DB Costi-Ore YtD'!$A:$A,K$1,'DB Costi-Ore YtD'!$B:$B,$A165,'DB Costi-Ore YtD'!$E:$E,$C165)-SUM($D165:J165),0)</f>
        <v>0</v>
      </c>
      <c r="L165" s="9">
        <f>IF((L$1*1)&lt;=MAX('DB Costi-Ore YtD'!$A:$A),SUMIFS('DB Costi-Ore YtD'!$F:$F,'DB Costi-Ore YtD'!$A:$A,L$1,'DB Costi-Ore YtD'!$B:$B,$A165,'DB Costi-Ore YtD'!$E:$E,$C165)-SUM($D165:K165),0)</f>
        <v>0</v>
      </c>
      <c r="M165" s="9">
        <f>IF((M$1*1)&lt;=MAX('DB Costi-Ore YtD'!$A:$A),SUMIFS('DB Costi-Ore YtD'!$F:$F,'DB Costi-Ore YtD'!$A:$A,M$1,'DB Costi-Ore YtD'!$B:$B,$A165,'DB Costi-Ore YtD'!$E:$E,$C165)-SUM($D165:L165),0)</f>
        <v>0</v>
      </c>
      <c r="N165" s="9">
        <f>IF((N$1*1)&lt;=MAX('DB Costi-Ore YtD'!$A:$A),SUMIFS('DB Costi-Ore YtD'!$F:$F,'DB Costi-Ore YtD'!$A:$A,N$1,'DB Costi-Ore YtD'!$B:$B,$A165,'DB Costi-Ore YtD'!$E:$E,$C165)-SUM($D165:M165),0)</f>
        <v>0</v>
      </c>
      <c r="O165" s="9">
        <f>IF((O$1*1)&lt;=MAX('DB Costi-Ore YtD'!$A:$A),SUMIFS('DB Costi-Ore YtD'!$F:$F,'DB Costi-Ore YtD'!$A:$A,O$1,'DB Costi-Ore YtD'!$B:$B,$A165,'DB Costi-Ore YtD'!$E:$E,$C165)-SUM($D165:N165),0)</f>
        <v>0</v>
      </c>
    </row>
    <row r="166" spans="1:15" x14ac:dyDescent="0.3">
      <c r="A166" s="9" t="s">
        <v>353</v>
      </c>
      <c r="B166" s="9" t="s">
        <v>354</v>
      </c>
      <c r="C166" s="9" t="s">
        <v>5</v>
      </c>
      <c r="D166" s="9">
        <f>IF((D$1*1)&lt;=MAX('DB Costi-Ore YtD'!$A:$A),SUMIFS('DB Costi-Ore YtD'!$F:$F,'DB Costi-Ore YtD'!$A:$A,D$1,'DB Costi-Ore YtD'!$B:$B,$A166,'DB Costi-Ore YtD'!$E:$E,$C166),0)</f>
        <v>0</v>
      </c>
      <c r="E166" s="9">
        <f>IF((E$1*1)&lt;=MAX('DB Costi-Ore YtD'!$A:$A),SUMIFS('DB Costi-Ore YtD'!$F:$F,'DB Costi-Ore YtD'!$A:$A,E$1,'DB Costi-Ore YtD'!$B:$B,$A166,'DB Costi-Ore YtD'!$E:$E,$C166)-SUM($D166:D166),0)</f>
        <v>0</v>
      </c>
      <c r="F166" s="9">
        <f>IF((F$1*1)&lt;=MAX('DB Costi-Ore YtD'!$A:$A),SUMIFS('DB Costi-Ore YtD'!$F:$F,'DB Costi-Ore YtD'!$A:$A,F$1,'DB Costi-Ore YtD'!$B:$B,$A166,'DB Costi-Ore YtD'!$E:$E,$C166)-SUM($D166:E166),0)</f>
        <v>0</v>
      </c>
      <c r="G166" s="9">
        <f>IF((G$1*1)&lt;=MAX('DB Costi-Ore YtD'!$A:$A),SUMIFS('DB Costi-Ore YtD'!$F:$F,'DB Costi-Ore YtD'!$A:$A,G$1,'DB Costi-Ore YtD'!$B:$B,$A166,'DB Costi-Ore YtD'!$E:$E,$C166)-SUM($D166:F166),0)</f>
        <v>0</v>
      </c>
      <c r="H166" s="9">
        <f>IF((H$1*1)&lt;=MAX('DB Costi-Ore YtD'!$A:$A),SUMIFS('DB Costi-Ore YtD'!$F:$F,'DB Costi-Ore YtD'!$A:$A,H$1,'DB Costi-Ore YtD'!$B:$B,$A166,'DB Costi-Ore YtD'!$E:$E,$C166)-SUM($D166:G166),0)</f>
        <v>0</v>
      </c>
      <c r="I166" s="9">
        <f>IF((I$1*1)&lt;=MAX('DB Costi-Ore YtD'!$A:$A),SUMIFS('DB Costi-Ore YtD'!$F:$F,'DB Costi-Ore YtD'!$A:$A,I$1,'DB Costi-Ore YtD'!$B:$B,$A166,'DB Costi-Ore YtD'!$E:$E,$C166)-SUM($D166:H166),0)</f>
        <v>152</v>
      </c>
      <c r="J166" s="9">
        <f>IF((J$1*1)&lt;=MAX('DB Costi-Ore YtD'!$A:$A),SUMIFS('DB Costi-Ore YtD'!$F:$F,'DB Costi-Ore YtD'!$A:$A,J$1,'DB Costi-Ore YtD'!$B:$B,$A166,'DB Costi-Ore YtD'!$E:$E,$C166)-SUM($D166:I166),0)</f>
        <v>0</v>
      </c>
      <c r="K166" s="9">
        <f>IF((K$1*1)&lt;=MAX('DB Costi-Ore YtD'!$A:$A),SUMIFS('DB Costi-Ore YtD'!$F:$F,'DB Costi-Ore YtD'!$A:$A,K$1,'DB Costi-Ore YtD'!$B:$B,$A166,'DB Costi-Ore YtD'!$E:$E,$C166)-SUM($D166:J166),0)</f>
        <v>0</v>
      </c>
      <c r="L166" s="9">
        <f>IF((L$1*1)&lt;=MAX('DB Costi-Ore YtD'!$A:$A),SUMIFS('DB Costi-Ore YtD'!$F:$F,'DB Costi-Ore YtD'!$A:$A,L$1,'DB Costi-Ore YtD'!$B:$B,$A166,'DB Costi-Ore YtD'!$E:$E,$C166)-SUM($D166:K166),0)</f>
        <v>0</v>
      </c>
      <c r="M166" s="9">
        <f>IF((M$1*1)&lt;=MAX('DB Costi-Ore YtD'!$A:$A),SUMIFS('DB Costi-Ore YtD'!$F:$F,'DB Costi-Ore YtD'!$A:$A,M$1,'DB Costi-Ore YtD'!$B:$B,$A166,'DB Costi-Ore YtD'!$E:$E,$C166)-SUM($D166:L166),0)</f>
        <v>0</v>
      </c>
      <c r="N166" s="9">
        <f>IF((N$1*1)&lt;=MAX('DB Costi-Ore YtD'!$A:$A),SUMIFS('DB Costi-Ore YtD'!$F:$F,'DB Costi-Ore YtD'!$A:$A,N$1,'DB Costi-Ore YtD'!$B:$B,$A166,'DB Costi-Ore YtD'!$E:$E,$C166)-SUM($D166:M166),0)</f>
        <v>0</v>
      </c>
      <c r="O166" s="9">
        <f>IF((O$1*1)&lt;=MAX('DB Costi-Ore YtD'!$A:$A),SUMIFS('DB Costi-Ore YtD'!$F:$F,'DB Costi-Ore YtD'!$A:$A,O$1,'DB Costi-Ore YtD'!$B:$B,$A166,'DB Costi-Ore YtD'!$E:$E,$C166)-SUM($D166:N166),0)</f>
        <v>0</v>
      </c>
    </row>
    <row r="167" spans="1:15" x14ac:dyDescent="0.3">
      <c r="A167" s="9" t="s">
        <v>355</v>
      </c>
      <c r="B167" s="9" t="s">
        <v>356</v>
      </c>
      <c r="C167" s="9" t="s">
        <v>5</v>
      </c>
      <c r="D167" s="9">
        <f>IF((D$1*1)&lt;=MAX('DB Costi-Ore YtD'!$A:$A),SUMIFS('DB Costi-Ore YtD'!$F:$F,'DB Costi-Ore YtD'!$A:$A,D$1,'DB Costi-Ore YtD'!$B:$B,$A167,'DB Costi-Ore YtD'!$E:$E,$C167),0)</f>
        <v>0</v>
      </c>
      <c r="E167" s="9">
        <f>IF((E$1*1)&lt;=MAX('DB Costi-Ore YtD'!$A:$A),SUMIFS('DB Costi-Ore YtD'!$F:$F,'DB Costi-Ore YtD'!$A:$A,E$1,'DB Costi-Ore YtD'!$B:$B,$A167,'DB Costi-Ore YtD'!$E:$E,$C167)-SUM($D167:D167),0)</f>
        <v>0</v>
      </c>
      <c r="F167" s="9">
        <f>IF((F$1*1)&lt;=MAX('DB Costi-Ore YtD'!$A:$A),SUMIFS('DB Costi-Ore YtD'!$F:$F,'DB Costi-Ore YtD'!$A:$A,F$1,'DB Costi-Ore YtD'!$B:$B,$A167,'DB Costi-Ore YtD'!$E:$E,$C167)-SUM($D167:E167),0)</f>
        <v>0</v>
      </c>
      <c r="G167" s="9">
        <f>IF((G$1*1)&lt;=MAX('DB Costi-Ore YtD'!$A:$A),SUMIFS('DB Costi-Ore YtD'!$F:$F,'DB Costi-Ore YtD'!$A:$A,G$1,'DB Costi-Ore YtD'!$B:$B,$A167,'DB Costi-Ore YtD'!$E:$E,$C167)-SUM($D167:F167),0)</f>
        <v>0</v>
      </c>
      <c r="H167" s="9">
        <f>IF((H$1*1)&lt;=MAX('DB Costi-Ore YtD'!$A:$A),SUMIFS('DB Costi-Ore YtD'!$F:$F,'DB Costi-Ore YtD'!$A:$A,H$1,'DB Costi-Ore YtD'!$B:$B,$A167,'DB Costi-Ore YtD'!$E:$E,$C167)-SUM($D167:G167),0)</f>
        <v>0</v>
      </c>
      <c r="I167" s="9">
        <f>IF((I$1*1)&lt;=MAX('DB Costi-Ore YtD'!$A:$A),SUMIFS('DB Costi-Ore YtD'!$F:$F,'DB Costi-Ore YtD'!$A:$A,I$1,'DB Costi-Ore YtD'!$B:$B,$A167,'DB Costi-Ore YtD'!$E:$E,$C167)-SUM($D167:H167),0)</f>
        <v>152</v>
      </c>
      <c r="J167" s="9">
        <f>IF((J$1*1)&lt;=MAX('DB Costi-Ore YtD'!$A:$A),SUMIFS('DB Costi-Ore YtD'!$F:$F,'DB Costi-Ore YtD'!$A:$A,J$1,'DB Costi-Ore YtD'!$B:$B,$A167,'DB Costi-Ore YtD'!$E:$E,$C167)-SUM($D167:I167),0)</f>
        <v>0</v>
      </c>
      <c r="K167" s="9">
        <f>IF((K$1*1)&lt;=MAX('DB Costi-Ore YtD'!$A:$A),SUMIFS('DB Costi-Ore YtD'!$F:$F,'DB Costi-Ore YtD'!$A:$A,K$1,'DB Costi-Ore YtD'!$B:$B,$A167,'DB Costi-Ore YtD'!$E:$E,$C167)-SUM($D167:J167),0)</f>
        <v>0</v>
      </c>
      <c r="L167" s="9">
        <f>IF((L$1*1)&lt;=MAX('DB Costi-Ore YtD'!$A:$A),SUMIFS('DB Costi-Ore YtD'!$F:$F,'DB Costi-Ore YtD'!$A:$A,L$1,'DB Costi-Ore YtD'!$B:$B,$A167,'DB Costi-Ore YtD'!$E:$E,$C167)-SUM($D167:K167),0)</f>
        <v>0</v>
      </c>
      <c r="M167" s="9">
        <f>IF((M$1*1)&lt;=MAX('DB Costi-Ore YtD'!$A:$A),SUMIFS('DB Costi-Ore YtD'!$F:$F,'DB Costi-Ore YtD'!$A:$A,M$1,'DB Costi-Ore YtD'!$B:$B,$A167,'DB Costi-Ore YtD'!$E:$E,$C167)-SUM($D167:L167),0)</f>
        <v>0</v>
      </c>
      <c r="N167" s="9">
        <f>IF((N$1*1)&lt;=MAX('DB Costi-Ore YtD'!$A:$A),SUMIFS('DB Costi-Ore YtD'!$F:$F,'DB Costi-Ore YtD'!$A:$A,N$1,'DB Costi-Ore YtD'!$B:$B,$A167,'DB Costi-Ore YtD'!$E:$E,$C167)-SUM($D167:M167),0)</f>
        <v>0</v>
      </c>
      <c r="O167" s="9">
        <f>IF((O$1*1)&lt;=MAX('DB Costi-Ore YtD'!$A:$A),SUMIFS('DB Costi-Ore YtD'!$F:$F,'DB Costi-Ore YtD'!$A:$A,O$1,'DB Costi-Ore YtD'!$B:$B,$A167,'DB Costi-Ore YtD'!$E:$E,$C167)-SUM($D167:N167),0)</f>
        <v>0</v>
      </c>
    </row>
    <row r="168" spans="1:15" x14ac:dyDescent="0.3">
      <c r="A168" s="9" t="s">
        <v>357</v>
      </c>
      <c r="B168" s="9" t="s">
        <v>358</v>
      </c>
      <c r="C168" s="9" t="s">
        <v>3</v>
      </c>
      <c r="D168" s="9">
        <f>IF((D$1*1)&lt;=MAX('DB Costi-Ore YtD'!$A:$A),SUMIFS('DB Costi-Ore YtD'!$F:$F,'DB Costi-Ore YtD'!$A:$A,D$1,'DB Costi-Ore YtD'!$B:$B,$A168,'DB Costi-Ore YtD'!$E:$E,$C168),0)</f>
        <v>0</v>
      </c>
      <c r="E168" s="9">
        <f>IF((E$1*1)&lt;=MAX('DB Costi-Ore YtD'!$A:$A),SUMIFS('DB Costi-Ore YtD'!$F:$F,'DB Costi-Ore YtD'!$A:$A,E$1,'DB Costi-Ore YtD'!$B:$B,$A168,'DB Costi-Ore YtD'!$E:$E,$C168)-SUM($D168:D168),0)</f>
        <v>0</v>
      </c>
      <c r="F168" s="9">
        <f>IF((F$1*1)&lt;=MAX('DB Costi-Ore YtD'!$A:$A),SUMIFS('DB Costi-Ore YtD'!$F:$F,'DB Costi-Ore YtD'!$A:$A,F$1,'DB Costi-Ore YtD'!$B:$B,$A168,'DB Costi-Ore YtD'!$E:$E,$C168)-SUM($D168:E168),0)</f>
        <v>0</v>
      </c>
      <c r="G168" s="9">
        <f>IF((G$1*1)&lt;=MAX('DB Costi-Ore YtD'!$A:$A),SUMIFS('DB Costi-Ore YtD'!$F:$F,'DB Costi-Ore YtD'!$A:$A,G$1,'DB Costi-Ore YtD'!$B:$B,$A168,'DB Costi-Ore YtD'!$E:$E,$C168)-SUM($D168:F168),0)</f>
        <v>0</v>
      </c>
      <c r="H168" s="9">
        <f>IF((H$1*1)&lt;=MAX('DB Costi-Ore YtD'!$A:$A),SUMIFS('DB Costi-Ore YtD'!$F:$F,'DB Costi-Ore YtD'!$A:$A,H$1,'DB Costi-Ore YtD'!$B:$B,$A168,'DB Costi-Ore YtD'!$E:$E,$C168)-SUM($D168:G168),0)</f>
        <v>0</v>
      </c>
      <c r="I168" s="9">
        <f>IF((I$1*1)&lt;=MAX('DB Costi-Ore YtD'!$A:$A),SUMIFS('DB Costi-Ore YtD'!$F:$F,'DB Costi-Ore YtD'!$A:$A,I$1,'DB Costi-Ore YtD'!$B:$B,$A168,'DB Costi-Ore YtD'!$E:$E,$C168)-SUM($D168:H168),0)</f>
        <v>0</v>
      </c>
      <c r="J168" s="9">
        <f>IF((J$1*1)&lt;=MAX('DB Costi-Ore YtD'!$A:$A),SUMIFS('DB Costi-Ore YtD'!$F:$F,'DB Costi-Ore YtD'!$A:$A,J$1,'DB Costi-Ore YtD'!$B:$B,$A168,'DB Costi-Ore YtD'!$E:$E,$C168)-SUM($D168:I168),0)</f>
        <v>0</v>
      </c>
      <c r="K168" s="9">
        <f>IF((K$1*1)&lt;=MAX('DB Costi-Ore YtD'!$A:$A),SUMIFS('DB Costi-Ore YtD'!$F:$F,'DB Costi-Ore YtD'!$A:$A,K$1,'DB Costi-Ore YtD'!$B:$B,$A168,'DB Costi-Ore YtD'!$E:$E,$C168)-SUM($D168:J168),0)</f>
        <v>0</v>
      </c>
      <c r="L168" s="9">
        <f>IF((L$1*1)&lt;=MAX('DB Costi-Ore YtD'!$A:$A),SUMIFS('DB Costi-Ore YtD'!$F:$F,'DB Costi-Ore YtD'!$A:$A,L$1,'DB Costi-Ore YtD'!$B:$B,$A168,'DB Costi-Ore YtD'!$E:$E,$C168)-SUM($D168:K168),0)</f>
        <v>0</v>
      </c>
      <c r="M168" s="9">
        <f>IF((M$1*1)&lt;=MAX('DB Costi-Ore YtD'!$A:$A),SUMIFS('DB Costi-Ore YtD'!$F:$F,'DB Costi-Ore YtD'!$A:$A,M$1,'DB Costi-Ore YtD'!$B:$B,$A168,'DB Costi-Ore YtD'!$E:$E,$C168)-SUM($D168:L168),0)</f>
        <v>0</v>
      </c>
      <c r="N168" s="9">
        <f>IF((N$1*1)&lt;=MAX('DB Costi-Ore YtD'!$A:$A),SUMIFS('DB Costi-Ore YtD'!$F:$F,'DB Costi-Ore YtD'!$A:$A,N$1,'DB Costi-Ore YtD'!$B:$B,$A168,'DB Costi-Ore YtD'!$E:$E,$C168)-SUM($D168:M168),0)</f>
        <v>0</v>
      </c>
      <c r="O168" s="9">
        <f>IF((O$1*1)&lt;=MAX('DB Costi-Ore YtD'!$A:$A),SUMIFS('DB Costi-Ore YtD'!$F:$F,'DB Costi-Ore YtD'!$A:$A,O$1,'DB Costi-Ore YtD'!$B:$B,$A168,'DB Costi-Ore YtD'!$E:$E,$C168)-SUM($D168:N168),0)</f>
        <v>0</v>
      </c>
    </row>
    <row r="169" spans="1:15" x14ac:dyDescent="0.3">
      <c r="A169" s="9" t="s">
        <v>359</v>
      </c>
      <c r="B169" s="9" t="s">
        <v>360</v>
      </c>
      <c r="C169" s="9" t="s">
        <v>3</v>
      </c>
      <c r="D169" s="9">
        <f>IF((D$1*1)&lt;=MAX('DB Costi-Ore YtD'!$A:$A),SUMIFS('DB Costi-Ore YtD'!$F:$F,'DB Costi-Ore YtD'!$A:$A,D$1,'DB Costi-Ore YtD'!$B:$B,$A169,'DB Costi-Ore YtD'!$E:$E,$C169),0)</f>
        <v>0</v>
      </c>
      <c r="E169" s="9">
        <f>IF((E$1*1)&lt;=MAX('DB Costi-Ore YtD'!$A:$A),SUMIFS('DB Costi-Ore YtD'!$F:$F,'DB Costi-Ore YtD'!$A:$A,E$1,'DB Costi-Ore YtD'!$B:$B,$A169,'DB Costi-Ore YtD'!$E:$E,$C169)-SUM($D169:D169),0)</f>
        <v>0</v>
      </c>
      <c r="F169" s="9">
        <f>IF((F$1*1)&lt;=MAX('DB Costi-Ore YtD'!$A:$A),SUMIFS('DB Costi-Ore YtD'!$F:$F,'DB Costi-Ore YtD'!$A:$A,F$1,'DB Costi-Ore YtD'!$B:$B,$A169,'DB Costi-Ore YtD'!$E:$E,$C169)-SUM($D169:E169),0)</f>
        <v>0</v>
      </c>
      <c r="G169" s="9">
        <f>IF((G$1*1)&lt;=MAX('DB Costi-Ore YtD'!$A:$A),SUMIFS('DB Costi-Ore YtD'!$F:$F,'DB Costi-Ore YtD'!$A:$A,G$1,'DB Costi-Ore YtD'!$B:$B,$A169,'DB Costi-Ore YtD'!$E:$E,$C169)-SUM($D169:F169),0)</f>
        <v>0</v>
      </c>
      <c r="H169" s="9">
        <f>IF((H$1*1)&lt;=MAX('DB Costi-Ore YtD'!$A:$A),SUMIFS('DB Costi-Ore YtD'!$F:$F,'DB Costi-Ore YtD'!$A:$A,H$1,'DB Costi-Ore YtD'!$B:$B,$A169,'DB Costi-Ore YtD'!$E:$E,$C169)-SUM($D169:G169),0)</f>
        <v>0</v>
      </c>
      <c r="I169" s="9">
        <f>IF((I$1*1)&lt;=MAX('DB Costi-Ore YtD'!$A:$A),SUMIFS('DB Costi-Ore YtD'!$F:$F,'DB Costi-Ore YtD'!$A:$A,I$1,'DB Costi-Ore YtD'!$B:$B,$A169,'DB Costi-Ore YtD'!$E:$E,$C169)-SUM($D169:H169),0)</f>
        <v>0</v>
      </c>
      <c r="J169" s="9">
        <f>IF((J$1*1)&lt;=MAX('DB Costi-Ore YtD'!$A:$A),SUMIFS('DB Costi-Ore YtD'!$F:$F,'DB Costi-Ore YtD'!$A:$A,J$1,'DB Costi-Ore YtD'!$B:$B,$A169,'DB Costi-Ore YtD'!$E:$E,$C169)-SUM($D169:I169),0)</f>
        <v>0</v>
      </c>
      <c r="K169" s="9">
        <f>IF((K$1*1)&lt;=MAX('DB Costi-Ore YtD'!$A:$A),SUMIFS('DB Costi-Ore YtD'!$F:$F,'DB Costi-Ore YtD'!$A:$A,K$1,'DB Costi-Ore YtD'!$B:$B,$A169,'DB Costi-Ore YtD'!$E:$E,$C169)-SUM($D169:J169),0)</f>
        <v>0</v>
      </c>
      <c r="L169" s="9">
        <f>IF((L$1*1)&lt;=MAX('DB Costi-Ore YtD'!$A:$A),SUMIFS('DB Costi-Ore YtD'!$F:$F,'DB Costi-Ore YtD'!$A:$A,L$1,'DB Costi-Ore YtD'!$B:$B,$A169,'DB Costi-Ore YtD'!$E:$E,$C169)-SUM($D169:K169),0)</f>
        <v>0</v>
      </c>
      <c r="M169" s="9">
        <f>IF((M$1*1)&lt;=MAX('DB Costi-Ore YtD'!$A:$A),SUMIFS('DB Costi-Ore YtD'!$F:$F,'DB Costi-Ore YtD'!$A:$A,M$1,'DB Costi-Ore YtD'!$B:$B,$A169,'DB Costi-Ore YtD'!$E:$E,$C169)-SUM($D169:L169),0)</f>
        <v>0</v>
      </c>
      <c r="N169" s="9">
        <f>IF((N$1*1)&lt;=MAX('DB Costi-Ore YtD'!$A:$A),SUMIFS('DB Costi-Ore YtD'!$F:$F,'DB Costi-Ore YtD'!$A:$A,N$1,'DB Costi-Ore YtD'!$B:$B,$A169,'DB Costi-Ore YtD'!$E:$E,$C169)-SUM($D169:M169),0)</f>
        <v>0</v>
      </c>
      <c r="O169" s="9">
        <f>IF((O$1*1)&lt;=MAX('DB Costi-Ore YtD'!$A:$A),SUMIFS('DB Costi-Ore YtD'!$F:$F,'DB Costi-Ore YtD'!$A:$A,O$1,'DB Costi-Ore YtD'!$B:$B,$A169,'DB Costi-Ore YtD'!$E:$E,$C169)-SUM($D169:N169),0)</f>
        <v>0</v>
      </c>
    </row>
    <row r="170" spans="1:15" x14ac:dyDescent="0.3">
      <c r="A170" s="9" t="s">
        <v>361</v>
      </c>
      <c r="B170" s="9" t="s">
        <v>362</v>
      </c>
      <c r="C170" s="9" t="s">
        <v>5</v>
      </c>
      <c r="D170" s="9">
        <f>IF((D$1*1)&lt;=MAX('DB Costi-Ore YtD'!$A:$A),SUMIFS('DB Costi-Ore YtD'!$F:$F,'DB Costi-Ore YtD'!$A:$A,D$1,'DB Costi-Ore YtD'!$B:$B,$A170,'DB Costi-Ore YtD'!$E:$E,$C170),0)</f>
        <v>0</v>
      </c>
      <c r="E170" s="9">
        <f>IF((E$1*1)&lt;=MAX('DB Costi-Ore YtD'!$A:$A),SUMIFS('DB Costi-Ore YtD'!$F:$F,'DB Costi-Ore YtD'!$A:$A,E$1,'DB Costi-Ore YtD'!$B:$B,$A170,'DB Costi-Ore YtD'!$E:$E,$C170)-SUM($D170:D170),0)</f>
        <v>0</v>
      </c>
      <c r="F170" s="9">
        <f>IF((F$1*1)&lt;=MAX('DB Costi-Ore YtD'!$A:$A),SUMIFS('DB Costi-Ore YtD'!$F:$F,'DB Costi-Ore YtD'!$A:$A,F$1,'DB Costi-Ore YtD'!$B:$B,$A170,'DB Costi-Ore YtD'!$E:$E,$C170)-SUM($D170:E170),0)</f>
        <v>0</v>
      </c>
      <c r="G170" s="9">
        <f>IF((G$1*1)&lt;=MAX('DB Costi-Ore YtD'!$A:$A),SUMIFS('DB Costi-Ore YtD'!$F:$F,'DB Costi-Ore YtD'!$A:$A,G$1,'DB Costi-Ore YtD'!$B:$B,$A170,'DB Costi-Ore YtD'!$E:$E,$C170)-SUM($D170:F170),0)</f>
        <v>0</v>
      </c>
      <c r="H170" s="9">
        <f>IF((H$1*1)&lt;=MAX('DB Costi-Ore YtD'!$A:$A),SUMIFS('DB Costi-Ore YtD'!$F:$F,'DB Costi-Ore YtD'!$A:$A,H$1,'DB Costi-Ore YtD'!$B:$B,$A170,'DB Costi-Ore YtD'!$E:$E,$C170)-SUM($D170:G170),0)</f>
        <v>0</v>
      </c>
      <c r="I170" s="9">
        <f>IF((I$1*1)&lt;=MAX('DB Costi-Ore YtD'!$A:$A),SUMIFS('DB Costi-Ore YtD'!$F:$F,'DB Costi-Ore YtD'!$A:$A,I$1,'DB Costi-Ore YtD'!$B:$B,$A170,'DB Costi-Ore YtD'!$E:$E,$C170)-SUM($D170:H170),0)</f>
        <v>0</v>
      </c>
      <c r="J170" s="9">
        <f>IF((J$1*1)&lt;=MAX('DB Costi-Ore YtD'!$A:$A),SUMIFS('DB Costi-Ore YtD'!$F:$F,'DB Costi-Ore YtD'!$A:$A,J$1,'DB Costi-Ore YtD'!$B:$B,$A170,'DB Costi-Ore YtD'!$E:$E,$C170)-SUM($D170:I170),0)</f>
        <v>0</v>
      </c>
      <c r="K170" s="9">
        <f>IF((K$1*1)&lt;=MAX('DB Costi-Ore YtD'!$A:$A),SUMIFS('DB Costi-Ore YtD'!$F:$F,'DB Costi-Ore YtD'!$A:$A,K$1,'DB Costi-Ore YtD'!$B:$B,$A170,'DB Costi-Ore YtD'!$E:$E,$C170)-SUM($D170:J170),0)</f>
        <v>0</v>
      </c>
      <c r="L170" s="9">
        <f>IF((L$1*1)&lt;=MAX('DB Costi-Ore YtD'!$A:$A),SUMIFS('DB Costi-Ore YtD'!$F:$F,'DB Costi-Ore YtD'!$A:$A,L$1,'DB Costi-Ore YtD'!$B:$B,$A170,'DB Costi-Ore YtD'!$E:$E,$C170)-SUM($D170:K170),0)</f>
        <v>0</v>
      </c>
      <c r="M170" s="9">
        <f>IF((M$1*1)&lt;=MAX('DB Costi-Ore YtD'!$A:$A),SUMIFS('DB Costi-Ore YtD'!$F:$F,'DB Costi-Ore YtD'!$A:$A,M$1,'DB Costi-Ore YtD'!$B:$B,$A170,'DB Costi-Ore YtD'!$E:$E,$C170)-SUM($D170:L170),0)</f>
        <v>0</v>
      </c>
      <c r="N170" s="9">
        <f>IF((N$1*1)&lt;=MAX('DB Costi-Ore YtD'!$A:$A),SUMIFS('DB Costi-Ore YtD'!$F:$F,'DB Costi-Ore YtD'!$A:$A,N$1,'DB Costi-Ore YtD'!$B:$B,$A170,'DB Costi-Ore YtD'!$E:$E,$C170)-SUM($D170:M170),0)</f>
        <v>0</v>
      </c>
      <c r="O170" s="9">
        <f>IF((O$1*1)&lt;=MAX('DB Costi-Ore YtD'!$A:$A),SUMIFS('DB Costi-Ore YtD'!$F:$F,'DB Costi-Ore YtD'!$A:$A,O$1,'DB Costi-Ore YtD'!$B:$B,$A170,'DB Costi-Ore YtD'!$E:$E,$C170)-SUM($D170:N170),0)</f>
        <v>0</v>
      </c>
    </row>
    <row r="171" spans="1:15" x14ac:dyDescent="0.3">
      <c r="A171" s="9" t="s">
        <v>363</v>
      </c>
      <c r="B171" s="9" t="s">
        <v>364</v>
      </c>
      <c r="C171" s="9" t="s">
        <v>11</v>
      </c>
      <c r="D171" s="9">
        <f>IF((D$1*1)&lt;=MAX('DB Costi-Ore YtD'!$A:$A),SUMIFS('DB Costi-Ore YtD'!$F:$F,'DB Costi-Ore YtD'!$A:$A,D$1,'DB Costi-Ore YtD'!$B:$B,$A171,'DB Costi-Ore YtD'!$E:$E,$C171),0)</f>
        <v>0</v>
      </c>
      <c r="E171" s="9">
        <f>IF((E$1*1)&lt;=MAX('DB Costi-Ore YtD'!$A:$A),SUMIFS('DB Costi-Ore YtD'!$F:$F,'DB Costi-Ore YtD'!$A:$A,E$1,'DB Costi-Ore YtD'!$B:$B,$A171,'DB Costi-Ore YtD'!$E:$E,$C171)-SUM($D171:D171),0)</f>
        <v>0</v>
      </c>
      <c r="F171" s="9">
        <f>IF((F$1*1)&lt;=MAX('DB Costi-Ore YtD'!$A:$A),SUMIFS('DB Costi-Ore YtD'!$F:$F,'DB Costi-Ore YtD'!$A:$A,F$1,'DB Costi-Ore YtD'!$B:$B,$A171,'DB Costi-Ore YtD'!$E:$E,$C171)-SUM($D171:E171),0)</f>
        <v>0</v>
      </c>
      <c r="G171" s="9">
        <f>IF((G$1*1)&lt;=MAX('DB Costi-Ore YtD'!$A:$A),SUMIFS('DB Costi-Ore YtD'!$F:$F,'DB Costi-Ore YtD'!$A:$A,G$1,'DB Costi-Ore YtD'!$B:$B,$A171,'DB Costi-Ore YtD'!$E:$E,$C171)-SUM($D171:F171),0)</f>
        <v>0</v>
      </c>
      <c r="H171" s="9">
        <f>IF((H$1*1)&lt;=MAX('DB Costi-Ore YtD'!$A:$A),SUMIFS('DB Costi-Ore YtD'!$F:$F,'DB Costi-Ore YtD'!$A:$A,H$1,'DB Costi-Ore YtD'!$B:$B,$A171,'DB Costi-Ore YtD'!$E:$E,$C171)-SUM($D171:G171),0)</f>
        <v>0</v>
      </c>
      <c r="I171" s="9">
        <f>IF((I$1*1)&lt;=MAX('DB Costi-Ore YtD'!$A:$A),SUMIFS('DB Costi-Ore YtD'!$F:$F,'DB Costi-Ore YtD'!$A:$A,I$1,'DB Costi-Ore YtD'!$B:$B,$A171,'DB Costi-Ore YtD'!$E:$E,$C171)-SUM($D171:H171),0)</f>
        <v>0</v>
      </c>
      <c r="J171" s="9">
        <f>IF((J$1*1)&lt;=MAX('DB Costi-Ore YtD'!$A:$A),SUMIFS('DB Costi-Ore YtD'!$F:$F,'DB Costi-Ore YtD'!$A:$A,J$1,'DB Costi-Ore YtD'!$B:$B,$A171,'DB Costi-Ore YtD'!$E:$E,$C171)-SUM($D171:I171),0)</f>
        <v>0</v>
      </c>
      <c r="K171" s="9">
        <f>IF((K$1*1)&lt;=MAX('DB Costi-Ore YtD'!$A:$A),SUMIFS('DB Costi-Ore YtD'!$F:$F,'DB Costi-Ore YtD'!$A:$A,K$1,'DB Costi-Ore YtD'!$B:$B,$A171,'DB Costi-Ore YtD'!$E:$E,$C171)-SUM($D171:J171),0)</f>
        <v>0</v>
      </c>
      <c r="L171" s="9">
        <f>IF((L$1*1)&lt;=MAX('DB Costi-Ore YtD'!$A:$A),SUMIFS('DB Costi-Ore YtD'!$F:$F,'DB Costi-Ore YtD'!$A:$A,L$1,'DB Costi-Ore YtD'!$B:$B,$A171,'DB Costi-Ore YtD'!$E:$E,$C171)-SUM($D171:K171),0)</f>
        <v>0</v>
      </c>
      <c r="M171" s="9">
        <f>IF((M$1*1)&lt;=MAX('DB Costi-Ore YtD'!$A:$A),SUMIFS('DB Costi-Ore YtD'!$F:$F,'DB Costi-Ore YtD'!$A:$A,M$1,'DB Costi-Ore YtD'!$B:$B,$A171,'DB Costi-Ore YtD'!$E:$E,$C171)-SUM($D171:L171),0)</f>
        <v>0</v>
      </c>
      <c r="N171" s="9">
        <f>IF((N$1*1)&lt;=MAX('DB Costi-Ore YtD'!$A:$A),SUMIFS('DB Costi-Ore YtD'!$F:$F,'DB Costi-Ore YtD'!$A:$A,N$1,'DB Costi-Ore YtD'!$B:$B,$A171,'DB Costi-Ore YtD'!$E:$E,$C171)-SUM($D171:M171),0)</f>
        <v>0</v>
      </c>
      <c r="O171" s="9">
        <f>IF((O$1*1)&lt;=MAX('DB Costi-Ore YtD'!$A:$A),SUMIFS('DB Costi-Ore YtD'!$F:$F,'DB Costi-Ore YtD'!$A:$A,O$1,'DB Costi-Ore YtD'!$B:$B,$A171,'DB Costi-Ore YtD'!$E:$E,$C171)-SUM($D171:N171),0)</f>
        <v>0</v>
      </c>
    </row>
    <row r="172" spans="1:15" x14ac:dyDescent="0.3">
      <c r="A172" s="9" t="s">
        <v>365</v>
      </c>
      <c r="B172" s="9" t="s">
        <v>52</v>
      </c>
      <c r="C172" s="9" t="s">
        <v>11</v>
      </c>
      <c r="D172" s="9">
        <f>IF((D$1*1)&lt;=MAX('DB Costi-Ore YtD'!$A:$A),SUMIFS('DB Costi-Ore YtD'!$F:$F,'DB Costi-Ore YtD'!$A:$A,D$1,'DB Costi-Ore YtD'!$B:$B,$A172,'DB Costi-Ore YtD'!$E:$E,$C172),0)</f>
        <v>0</v>
      </c>
      <c r="E172" s="9">
        <f>IF((E$1*1)&lt;=MAX('DB Costi-Ore YtD'!$A:$A),SUMIFS('DB Costi-Ore YtD'!$F:$F,'DB Costi-Ore YtD'!$A:$A,E$1,'DB Costi-Ore YtD'!$B:$B,$A172,'DB Costi-Ore YtD'!$E:$E,$C172)-SUM($D172:D172),0)</f>
        <v>0</v>
      </c>
      <c r="F172" s="9">
        <f>IF((F$1*1)&lt;=MAX('DB Costi-Ore YtD'!$A:$A),SUMIFS('DB Costi-Ore YtD'!$F:$F,'DB Costi-Ore YtD'!$A:$A,F$1,'DB Costi-Ore YtD'!$B:$B,$A172,'DB Costi-Ore YtD'!$E:$E,$C172)-SUM($D172:E172),0)</f>
        <v>0</v>
      </c>
      <c r="G172" s="9">
        <f>IF((G$1*1)&lt;=MAX('DB Costi-Ore YtD'!$A:$A),SUMIFS('DB Costi-Ore YtD'!$F:$F,'DB Costi-Ore YtD'!$A:$A,G$1,'DB Costi-Ore YtD'!$B:$B,$A172,'DB Costi-Ore YtD'!$E:$E,$C172)-SUM($D172:F172),0)</f>
        <v>0</v>
      </c>
      <c r="H172" s="9">
        <f>IF((H$1*1)&lt;=MAX('DB Costi-Ore YtD'!$A:$A),SUMIFS('DB Costi-Ore YtD'!$F:$F,'DB Costi-Ore YtD'!$A:$A,H$1,'DB Costi-Ore YtD'!$B:$B,$A172,'DB Costi-Ore YtD'!$E:$E,$C172)-SUM($D172:G172),0)</f>
        <v>0</v>
      </c>
      <c r="I172" s="9">
        <f>IF((I$1*1)&lt;=MAX('DB Costi-Ore YtD'!$A:$A),SUMIFS('DB Costi-Ore YtD'!$F:$F,'DB Costi-Ore YtD'!$A:$A,I$1,'DB Costi-Ore YtD'!$B:$B,$A172,'DB Costi-Ore YtD'!$E:$E,$C172)-SUM($D172:H172),0)</f>
        <v>0</v>
      </c>
      <c r="J172" s="9">
        <f>IF((J$1*1)&lt;=MAX('DB Costi-Ore YtD'!$A:$A),SUMIFS('DB Costi-Ore YtD'!$F:$F,'DB Costi-Ore YtD'!$A:$A,J$1,'DB Costi-Ore YtD'!$B:$B,$A172,'DB Costi-Ore YtD'!$E:$E,$C172)-SUM($D172:I172),0)</f>
        <v>0</v>
      </c>
      <c r="K172" s="9">
        <f>IF((K$1*1)&lt;=MAX('DB Costi-Ore YtD'!$A:$A),SUMIFS('DB Costi-Ore YtD'!$F:$F,'DB Costi-Ore YtD'!$A:$A,K$1,'DB Costi-Ore YtD'!$B:$B,$A172,'DB Costi-Ore YtD'!$E:$E,$C172)-SUM($D172:J172),0)</f>
        <v>0</v>
      </c>
      <c r="L172" s="9">
        <f>IF((L$1*1)&lt;=MAX('DB Costi-Ore YtD'!$A:$A),SUMIFS('DB Costi-Ore YtD'!$F:$F,'DB Costi-Ore YtD'!$A:$A,L$1,'DB Costi-Ore YtD'!$B:$B,$A172,'DB Costi-Ore YtD'!$E:$E,$C172)-SUM($D172:K172),0)</f>
        <v>0</v>
      </c>
      <c r="M172" s="9">
        <f>IF((M$1*1)&lt;=MAX('DB Costi-Ore YtD'!$A:$A),SUMIFS('DB Costi-Ore YtD'!$F:$F,'DB Costi-Ore YtD'!$A:$A,M$1,'DB Costi-Ore YtD'!$B:$B,$A172,'DB Costi-Ore YtD'!$E:$E,$C172)-SUM($D172:L172),0)</f>
        <v>0</v>
      </c>
      <c r="N172" s="9">
        <f>IF((N$1*1)&lt;=MAX('DB Costi-Ore YtD'!$A:$A),SUMIFS('DB Costi-Ore YtD'!$F:$F,'DB Costi-Ore YtD'!$A:$A,N$1,'DB Costi-Ore YtD'!$B:$B,$A172,'DB Costi-Ore YtD'!$E:$E,$C172)-SUM($D172:M172),0)</f>
        <v>0</v>
      </c>
      <c r="O172" s="9">
        <f>IF((O$1*1)&lt;=MAX('DB Costi-Ore YtD'!$A:$A),SUMIFS('DB Costi-Ore YtD'!$F:$F,'DB Costi-Ore YtD'!$A:$A,O$1,'DB Costi-Ore YtD'!$B:$B,$A172,'DB Costi-Ore YtD'!$E:$E,$C172)-SUM($D172:N172),0)</f>
        <v>0</v>
      </c>
    </row>
    <row r="173" spans="1:15" x14ac:dyDescent="0.3">
      <c r="A173" s="9" t="s">
        <v>366</v>
      </c>
      <c r="B173" s="9" t="s">
        <v>367</v>
      </c>
      <c r="C173" s="9" t="s">
        <v>5</v>
      </c>
      <c r="D173" s="9">
        <f>IF((D$1*1)&lt;=MAX('DB Costi-Ore YtD'!$A:$A),SUMIFS('DB Costi-Ore YtD'!$F:$F,'DB Costi-Ore YtD'!$A:$A,D$1,'DB Costi-Ore YtD'!$B:$B,$A173,'DB Costi-Ore YtD'!$E:$E,$C173),0)</f>
        <v>0</v>
      </c>
      <c r="E173" s="9">
        <f>IF((E$1*1)&lt;=MAX('DB Costi-Ore YtD'!$A:$A),SUMIFS('DB Costi-Ore YtD'!$F:$F,'DB Costi-Ore YtD'!$A:$A,E$1,'DB Costi-Ore YtD'!$B:$B,$A173,'DB Costi-Ore YtD'!$E:$E,$C173)-SUM($D173:D173),0)</f>
        <v>105.25</v>
      </c>
      <c r="F173" s="9">
        <f>IF((F$1*1)&lt;=MAX('DB Costi-Ore YtD'!$A:$A),SUMIFS('DB Costi-Ore YtD'!$F:$F,'DB Costi-Ore YtD'!$A:$A,F$1,'DB Costi-Ore YtD'!$B:$B,$A173,'DB Costi-Ore YtD'!$E:$E,$C173)-SUM($D173:E173),0)</f>
        <v>82</v>
      </c>
      <c r="G173" s="9">
        <f>IF((G$1*1)&lt;=MAX('DB Costi-Ore YtD'!$A:$A),SUMIFS('DB Costi-Ore YtD'!$F:$F,'DB Costi-Ore YtD'!$A:$A,G$1,'DB Costi-Ore YtD'!$B:$B,$A173,'DB Costi-Ore YtD'!$E:$E,$C173)-SUM($D173:F173),0)</f>
        <v>0</v>
      </c>
      <c r="H173" s="9">
        <f>IF((H$1*1)&lt;=MAX('DB Costi-Ore YtD'!$A:$A),SUMIFS('DB Costi-Ore YtD'!$F:$F,'DB Costi-Ore YtD'!$A:$A,H$1,'DB Costi-Ore YtD'!$B:$B,$A173,'DB Costi-Ore YtD'!$E:$E,$C173)-SUM($D173:G173),0)</f>
        <v>0</v>
      </c>
      <c r="I173" s="9">
        <f>IF((I$1*1)&lt;=MAX('DB Costi-Ore YtD'!$A:$A),SUMIFS('DB Costi-Ore YtD'!$F:$F,'DB Costi-Ore YtD'!$A:$A,I$1,'DB Costi-Ore YtD'!$B:$B,$A173,'DB Costi-Ore YtD'!$E:$E,$C173)-SUM($D173:H173),0)</f>
        <v>0</v>
      </c>
      <c r="J173" s="9">
        <f>IF((J$1*1)&lt;=MAX('DB Costi-Ore YtD'!$A:$A),SUMIFS('DB Costi-Ore YtD'!$F:$F,'DB Costi-Ore YtD'!$A:$A,J$1,'DB Costi-Ore YtD'!$B:$B,$A173,'DB Costi-Ore YtD'!$E:$E,$C173)-SUM($D173:I173),0)</f>
        <v>0</v>
      </c>
      <c r="K173" s="9">
        <f>IF((K$1*1)&lt;=MAX('DB Costi-Ore YtD'!$A:$A),SUMIFS('DB Costi-Ore YtD'!$F:$F,'DB Costi-Ore YtD'!$A:$A,K$1,'DB Costi-Ore YtD'!$B:$B,$A173,'DB Costi-Ore YtD'!$E:$E,$C173)-SUM($D173:J173),0)</f>
        <v>0</v>
      </c>
      <c r="L173" s="9">
        <f>IF((L$1*1)&lt;=MAX('DB Costi-Ore YtD'!$A:$A),SUMIFS('DB Costi-Ore YtD'!$F:$F,'DB Costi-Ore YtD'!$A:$A,L$1,'DB Costi-Ore YtD'!$B:$B,$A173,'DB Costi-Ore YtD'!$E:$E,$C173)-SUM($D173:K173),0)</f>
        <v>0</v>
      </c>
      <c r="M173" s="9">
        <f>IF((M$1*1)&lt;=MAX('DB Costi-Ore YtD'!$A:$A),SUMIFS('DB Costi-Ore YtD'!$F:$F,'DB Costi-Ore YtD'!$A:$A,M$1,'DB Costi-Ore YtD'!$B:$B,$A173,'DB Costi-Ore YtD'!$E:$E,$C173)-SUM($D173:L173),0)</f>
        <v>0</v>
      </c>
      <c r="N173" s="9">
        <f>IF((N$1*1)&lt;=MAX('DB Costi-Ore YtD'!$A:$A),SUMIFS('DB Costi-Ore YtD'!$F:$F,'DB Costi-Ore YtD'!$A:$A,N$1,'DB Costi-Ore YtD'!$B:$B,$A173,'DB Costi-Ore YtD'!$E:$E,$C173)-SUM($D173:M173),0)</f>
        <v>0</v>
      </c>
      <c r="O173" s="9">
        <f>IF((O$1*1)&lt;=MAX('DB Costi-Ore YtD'!$A:$A),SUMIFS('DB Costi-Ore YtD'!$F:$F,'DB Costi-Ore YtD'!$A:$A,O$1,'DB Costi-Ore YtD'!$B:$B,$A173,'DB Costi-Ore YtD'!$E:$E,$C173)-SUM($D173:N173),0)</f>
        <v>0</v>
      </c>
    </row>
    <row r="174" spans="1:15" x14ac:dyDescent="0.3">
      <c r="A174" s="9" t="s">
        <v>368</v>
      </c>
      <c r="B174" s="9" t="s">
        <v>369</v>
      </c>
      <c r="C174" s="9" t="s">
        <v>13</v>
      </c>
      <c r="D174" s="9">
        <f>IF((D$1*1)&lt;=MAX('DB Costi-Ore YtD'!$A:$A),SUMIFS('DB Costi-Ore YtD'!$F:$F,'DB Costi-Ore YtD'!$A:$A,D$1,'DB Costi-Ore YtD'!$B:$B,$A174,'DB Costi-Ore YtD'!$E:$E,$C174),0)</f>
        <v>0</v>
      </c>
      <c r="E174" s="9">
        <f>IF((E$1*1)&lt;=MAX('DB Costi-Ore YtD'!$A:$A),SUMIFS('DB Costi-Ore YtD'!$F:$F,'DB Costi-Ore YtD'!$A:$A,E$1,'DB Costi-Ore YtD'!$B:$B,$A174,'DB Costi-Ore YtD'!$E:$E,$C174)-SUM($D174:D174),0)</f>
        <v>90</v>
      </c>
      <c r="F174" s="9">
        <f>IF((F$1*1)&lt;=MAX('DB Costi-Ore YtD'!$A:$A),SUMIFS('DB Costi-Ore YtD'!$F:$F,'DB Costi-Ore YtD'!$A:$A,F$1,'DB Costi-Ore YtD'!$B:$B,$A174,'DB Costi-Ore YtD'!$E:$E,$C174)-SUM($D174:E174),0)</f>
        <v>112</v>
      </c>
      <c r="G174" s="9">
        <f>IF((G$1*1)&lt;=MAX('DB Costi-Ore YtD'!$A:$A),SUMIFS('DB Costi-Ore YtD'!$F:$F,'DB Costi-Ore YtD'!$A:$A,G$1,'DB Costi-Ore YtD'!$B:$B,$A174,'DB Costi-Ore YtD'!$E:$E,$C174)-SUM($D174:F174),0)</f>
        <v>96.5</v>
      </c>
      <c r="H174" s="9">
        <f>IF((H$1*1)&lt;=MAX('DB Costi-Ore YtD'!$A:$A),SUMIFS('DB Costi-Ore YtD'!$F:$F,'DB Costi-Ore YtD'!$A:$A,H$1,'DB Costi-Ore YtD'!$B:$B,$A174,'DB Costi-Ore YtD'!$E:$E,$C174)-SUM($D174:G174),0)</f>
        <v>113.5</v>
      </c>
      <c r="I174" s="9">
        <f>IF((I$1*1)&lt;=MAX('DB Costi-Ore YtD'!$A:$A),SUMIFS('DB Costi-Ore YtD'!$F:$F,'DB Costi-Ore YtD'!$A:$A,I$1,'DB Costi-Ore YtD'!$B:$B,$A174,'DB Costi-Ore YtD'!$E:$E,$C174)-SUM($D174:H174),0)</f>
        <v>108.5</v>
      </c>
      <c r="J174" s="9">
        <f>IF((J$1*1)&lt;=MAX('DB Costi-Ore YtD'!$A:$A),SUMIFS('DB Costi-Ore YtD'!$F:$F,'DB Costi-Ore YtD'!$A:$A,J$1,'DB Costi-Ore YtD'!$B:$B,$A174,'DB Costi-Ore YtD'!$E:$E,$C174)-SUM($D174:I174),0)</f>
        <v>0</v>
      </c>
      <c r="K174" s="9">
        <f>IF((K$1*1)&lt;=MAX('DB Costi-Ore YtD'!$A:$A),SUMIFS('DB Costi-Ore YtD'!$F:$F,'DB Costi-Ore YtD'!$A:$A,K$1,'DB Costi-Ore YtD'!$B:$B,$A174,'DB Costi-Ore YtD'!$E:$E,$C174)-SUM($D174:J174),0)</f>
        <v>0</v>
      </c>
      <c r="L174" s="9">
        <f>IF((L$1*1)&lt;=MAX('DB Costi-Ore YtD'!$A:$A),SUMIFS('DB Costi-Ore YtD'!$F:$F,'DB Costi-Ore YtD'!$A:$A,L$1,'DB Costi-Ore YtD'!$B:$B,$A174,'DB Costi-Ore YtD'!$E:$E,$C174)-SUM($D174:K174),0)</f>
        <v>0</v>
      </c>
      <c r="M174" s="9">
        <f>IF((M$1*1)&lt;=MAX('DB Costi-Ore YtD'!$A:$A),SUMIFS('DB Costi-Ore YtD'!$F:$F,'DB Costi-Ore YtD'!$A:$A,M$1,'DB Costi-Ore YtD'!$B:$B,$A174,'DB Costi-Ore YtD'!$E:$E,$C174)-SUM($D174:L174),0)</f>
        <v>0</v>
      </c>
      <c r="N174" s="9">
        <f>IF((N$1*1)&lt;=MAX('DB Costi-Ore YtD'!$A:$A),SUMIFS('DB Costi-Ore YtD'!$F:$F,'DB Costi-Ore YtD'!$A:$A,N$1,'DB Costi-Ore YtD'!$B:$B,$A174,'DB Costi-Ore YtD'!$E:$E,$C174)-SUM($D174:M174),0)</f>
        <v>0</v>
      </c>
      <c r="O174" s="9">
        <f>IF((O$1*1)&lt;=MAX('DB Costi-Ore YtD'!$A:$A),SUMIFS('DB Costi-Ore YtD'!$F:$F,'DB Costi-Ore YtD'!$A:$A,O$1,'DB Costi-Ore YtD'!$B:$B,$A174,'DB Costi-Ore YtD'!$E:$E,$C174)-SUM($D174:N174),0)</f>
        <v>0</v>
      </c>
    </row>
    <row r="175" spans="1:15" x14ac:dyDescent="0.3">
      <c r="A175" s="9" t="s">
        <v>370</v>
      </c>
      <c r="B175" s="9" t="s">
        <v>338</v>
      </c>
      <c r="C175" s="9" t="s">
        <v>5</v>
      </c>
      <c r="D175" s="9">
        <f>IF((D$1*1)&lt;=MAX('DB Costi-Ore YtD'!$A:$A),SUMIFS('DB Costi-Ore YtD'!$F:$F,'DB Costi-Ore YtD'!$A:$A,D$1,'DB Costi-Ore YtD'!$B:$B,$A175,'DB Costi-Ore YtD'!$E:$E,$C175),0)</f>
        <v>0</v>
      </c>
      <c r="E175" s="9">
        <f>IF((E$1*1)&lt;=MAX('DB Costi-Ore YtD'!$A:$A),SUMIFS('DB Costi-Ore YtD'!$F:$F,'DB Costi-Ore YtD'!$A:$A,E$1,'DB Costi-Ore YtD'!$B:$B,$A175,'DB Costi-Ore YtD'!$E:$E,$C175)-SUM($D175:D175),0)</f>
        <v>120</v>
      </c>
      <c r="F175" s="9">
        <f>IF((F$1*1)&lt;=MAX('DB Costi-Ore YtD'!$A:$A),SUMIFS('DB Costi-Ore YtD'!$F:$F,'DB Costi-Ore YtD'!$A:$A,F$1,'DB Costi-Ore YtD'!$B:$B,$A175,'DB Costi-Ore YtD'!$E:$E,$C175)-SUM($D175:E175),0)</f>
        <v>117.75</v>
      </c>
      <c r="G175" s="9">
        <f>IF((G$1*1)&lt;=MAX('DB Costi-Ore YtD'!$A:$A),SUMIFS('DB Costi-Ore YtD'!$F:$F,'DB Costi-Ore YtD'!$A:$A,G$1,'DB Costi-Ore YtD'!$B:$B,$A175,'DB Costi-Ore YtD'!$E:$E,$C175)-SUM($D175:F175),0)</f>
        <v>135</v>
      </c>
      <c r="H175" s="9">
        <f>IF((H$1*1)&lt;=MAX('DB Costi-Ore YtD'!$A:$A),SUMIFS('DB Costi-Ore YtD'!$F:$F,'DB Costi-Ore YtD'!$A:$A,H$1,'DB Costi-Ore YtD'!$B:$B,$A175,'DB Costi-Ore YtD'!$E:$E,$C175)-SUM($D175:G175),0)</f>
        <v>144.25</v>
      </c>
      <c r="I175" s="9">
        <f>IF((I$1*1)&lt;=MAX('DB Costi-Ore YtD'!$A:$A),SUMIFS('DB Costi-Ore YtD'!$F:$F,'DB Costi-Ore YtD'!$A:$A,I$1,'DB Costi-Ore YtD'!$B:$B,$A175,'DB Costi-Ore YtD'!$E:$E,$C175)-SUM($D175:H175),0)</f>
        <v>131.75</v>
      </c>
      <c r="J175" s="9">
        <f>IF((J$1*1)&lt;=MAX('DB Costi-Ore YtD'!$A:$A),SUMIFS('DB Costi-Ore YtD'!$F:$F,'DB Costi-Ore YtD'!$A:$A,J$1,'DB Costi-Ore YtD'!$B:$B,$A175,'DB Costi-Ore YtD'!$E:$E,$C175)-SUM($D175:I175),0)</f>
        <v>0</v>
      </c>
      <c r="K175" s="9">
        <f>IF((K$1*1)&lt;=MAX('DB Costi-Ore YtD'!$A:$A),SUMIFS('DB Costi-Ore YtD'!$F:$F,'DB Costi-Ore YtD'!$A:$A,K$1,'DB Costi-Ore YtD'!$B:$B,$A175,'DB Costi-Ore YtD'!$E:$E,$C175)-SUM($D175:J175),0)</f>
        <v>0</v>
      </c>
      <c r="L175" s="9">
        <f>IF((L$1*1)&lt;=MAX('DB Costi-Ore YtD'!$A:$A),SUMIFS('DB Costi-Ore YtD'!$F:$F,'DB Costi-Ore YtD'!$A:$A,L$1,'DB Costi-Ore YtD'!$B:$B,$A175,'DB Costi-Ore YtD'!$E:$E,$C175)-SUM($D175:K175),0)</f>
        <v>0</v>
      </c>
      <c r="M175" s="9">
        <f>IF((M$1*1)&lt;=MAX('DB Costi-Ore YtD'!$A:$A),SUMIFS('DB Costi-Ore YtD'!$F:$F,'DB Costi-Ore YtD'!$A:$A,M$1,'DB Costi-Ore YtD'!$B:$B,$A175,'DB Costi-Ore YtD'!$E:$E,$C175)-SUM($D175:L175),0)</f>
        <v>0</v>
      </c>
      <c r="N175" s="9">
        <f>IF((N$1*1)&lt;=MAX('DB Costi-Ore YtD'!$A:$A),SUMIFS('DB Costi-Ore YtD'!$F:$F,'DB Costi-Ore YtD'!$A:$A,N$1,'DB Costi-Ore YtD'!$B:$B,$A175,'DB Costi-Ore YtD'!$E:$E,$C175)-SUM($D175:M175),0)</f>
        <v>0</v>
      </c>
      <c r="O175" s="9">
        <f>IF((O$1*1)&lt;=MAX('DB Costi-Ore YtD'!$A:$A),SUMIFS('DB Costi-Ore YtD'!$F:$F,'DB Costi-Ore YtD'!$A:$A,O$1,'DB Costi-Ore YtD'!$B:$B,$A175,'DB Costi-Ore YtD'!$E:$E,$C175)-SUM($D175:N175),0)</f>
        <v>0</v>
      </c>
    </row>
    <row r="176" spans="1:15" x14ac:dyDescent="0.3">
      <c r="A176" s="9" t="s">
        <v>371</v>
      </c>
      <c r="B176" s="9" t="s">
        <v>372</v>
      </c>
      <c r="C176" s="9" t="s">
        <v>11</v>
      </c>
      <c r="D176" s="9">
        <f>IF((D$1*1)&lt;=MAX('DB Costi-Ore YtD'!$A:$A),SUMIFS('DB Costi-Ore YtD'!$F:$F,'DB Costi-Ore YtD'!$A:$A,D$1,'DB Costi-Ore YtD'!$B:$B,$A176,'DB Costi-Ore YtD'!$E:$E,$C176),0)</f>
        <v>0</v>
      </c>
      <c r="E176" s="9">
        <f>IF((E$1*1)&lt;=MAX('DB Costi-Ore YtD'!$A:$A),SUMIFS('DB Costi-Ore YtD'!$F:$F,'DB Costi-Ore YtD'!$A:$A,E$1,'DB Costi-Ore YtD'!$B:$B,$A176,'DB Costi-Ore YtD'!$E:$E,$C176)-SUM($D176:D176),0)</f>
        <v>31</v>
      </c>
      <c r="F176" s="9">
        <f>IF((F$1*1)&lt;=MAX('DB Costi-Ore YtD'!$A:$A),SUMIFS('DB Costi-Ore YtD'!$F:$F,'DB Costi-Ore YtD'!$A:$A,F$1,'DB Costi-Ore YtD'!$B:$B,$A176,'DB Costi-Ore YtD'!$E:$E,$C176)-SUM($D176:E176),0)</f>
        <v>43</v>
      </c>
      <c r="G176" s="9">
        <f>IF((G$1*1)&lt;=MAX('DB Costi-Ore YtD'!$A:$A),SUMIFS('DB Costi-Ore YtD'!$F:$F,'DB Costi-Ore YtD'!$A:$A,G$1,'DB Costi-Ore YtD'!$B:$B,$A176,'DB Costi-Ore YtD'!$E:$E,$C176)-SUM($D176:F176),0)</f>
        <v>39</v>
      </c>
      <c r="H176" s="9">
        <f>IF((H$1*1)&lt;=MAX('DB Costi-Ore YtD'!$A:$A),SUMIFS('DB Costi-Ore YtD'!$F:$F,'DB Costi-Ore YtD'!$A:$A,H$1,'DB Costi-Ore YtD'!$B:$B,$A176,'DB Costi-Ore YtD'!$E:$E,$C176)-SUM($D176:G176),0)</f>
        <v>51</v>
      </c>
      <c r="I176" s="9">
        <f>IF((I$1*1)&lt;=MAX('DB Costi-Ore YtD'!$A:$A),SUMIFS('DB Costi-Ore YtD'!$F:$F,'DB Costi-Ore YtD'!$A:$A,I$1,'DB Costi-Ore YtD'!$B:$B,$A176,'DB Costi-Ore YtD'!$E:$E,$C176)-SUM($D176:H176),0)</f>
        <v>48</v>
      </c>
      <c r="J176" s="9">
        <f>IF((J$1*1)&lt;=MAX('DB Costi-Ore YtD'!$A:$A),SUMIFS('DB Costi-Ore YtD'!$F:$F,'DB Costi-Ore YtD'!$A:$A,J$1,'DB Costi-Ore YtD'!$B:$B,$A176,'DB Costi-Ore YtD'!$E:$E,$C176)-SUM($D176:I176),0)</f>
        <v>0</v>
      </c>
      <c r="K176" s="9">
        <f>IF((K$1*1)&lt;=MAX('DB Costi-Ore YtD'!$A:$A),SUMIFS('DB Costi-Ore YtD'!$F:$F,'DB Costi-Ore YtD'!$A:$A,K$1,'DB Costi-Ore YtD'!$B:$B,$A176,'DB Costi-Ore YtD'!$E:$E,$C176)-SUM($D176:J176),0)</f>
        <v>0</v>
      </c>
      <c r="L176" s="9">
        <f>IF((L$1*1)&lt;=MAX('DB Costi-Ore YtD'!$A:$A),SUMIFS('DB Costi-Ore YtD'!$F:$F,'DB Costi-Ore YtD'!$A:$A,L$1,'DB Costi-Ore YtD'!$B:$B,$A176,'DB Costi-Ore YtD'!$E:$E,$C176)-SUM($D176:K176),0)</f>
        <v>0</v>
      </c>
      <c r="M176" s="9">
        <f>IF((M$1*1)&lt;=MAX('DB Costi-Ore YtD'!$A:$A),SUMIFS('DB Costi-Ore YtD'!$F:$F,'DB Costi-Ore YtD'!$A:$A,M$1,'DB Costi-Ore YtD'!$B:$B,$A176,'DB Costi-Ore YtD'!$E:$E,$C176)-SUM($D176:L176),0)</f>
        <v>0</v>
      </c>
      <c r="N176" s="9">
        <f>IF((N$1*1)&lt;=MAX('DB Costi-Ore YtD'!$A:$A),SUMIFS('DB Costi-Ore YtD'!$F:$F,'DB Costi-Ore YtD'!$A:$A,N$1,'DB Costi-Ore YtD'!$B:$B,$A176,'DB Costi-Ore YtD'!$E:$E,$C176)-SUM($D176:M176),0)</f>
        <v>0</v>
      </c>
      <c r="O176" s="9">
        <f>IF((O$1*1)&lt;=MAX('DB Costi-Ore YtD'!$A:$A),SUMIFS('DB Costi-Ore YtD'!$F:$F,'DB Costi-Ore YtD'!$A:$A,O$1,'DB Costi-Ore YtD'!$B:$B,$A176,'DB Costi-Ore YtD'!$E:$E,$C176)-SUM($D176:N176),0)</f>
        <v>0</v>
      </c>
    </row>
    <row r="177" spans="1:15" x14ac:dyDescent="0.3">
      <c r="A177" s="9" t="s">
        <v>373</v>
      </c>
      <c r="B177" s="9" t="s">
        <v>374</v>
      </c>
      <c r="C177" s="9" t="s">
        <v>13</v>
      </c>
      <c r="D177" s="9">
        <f>IF((D$1*1)&lt;=MAX('DB Costi-Ore YtD'!$A:$A),SUMIFS('DB Costi-Ore YtD'!$F:$F,'DB Costi-Ore YtD'!$A:$A,D$1,'DB Costi-Ore YtD'!$B:$B,$A177,'DB Costi-Ore YtD'!$E:$E,$C177),0)</f>
        <v>0</v>
      </c>
      <c r="E177" s="9">
        <f>IF((E$1*1)&lt;=MAX('DB Costi-Ore YtD'!$A:$A),SUMIFS('DB Costi-Ore YtD'!$F:$F,'DB Costi-Ore YtD'!$A:$A,E$1,'DB Costi-Ore YtD'!$B:$B,$A177,'DB Costi-Ore YtD'!$E:$E,$C177)-SUM($D177:D177),0)</f>
        <v>76</v>
      </c>
      <c r="F177" s="9">
        <f>IF((F$1*1)&lt;=MAX('DB Costi-Ore YtD'!$A:$A),SUMIFS('DB Costi-Ore YtD'!$F:$F,'DB Costi-Ore YtD'!$A:$A,F$1,'DB Costi-Ore YtD'!$B:$B,$A177,'DB Costi-Ore YtD'!$E:$E,$C177)-SUM($D177:E177),0)</f>
        <v>159.5</v>
      </c>
      <c r="G177" s="9">
        <f>IF((G$1*1)&lt;=MAX('DB Costi-Ore YtD'!$A:$A),SUMIFS('DB Costi-Ore YtD'!$F:$F,'DB Costi-Ore YtD'!$A:$A,G$1,'DB Costi-Ore YtD'!$B:$B,$A177,'DB Costi-Ore YtD'!$E:$E,$C177)-SUM($D177:F177),0)</f>
        <v>129.25</v>
      </c>
      <c r="H177" s="9">
        <f>IF((H$1*1)&lt;=MAX('DB Costi-Ore YtD'!$A:$A),SUMIFS('DB Costi-Ore YtD'!$F:$F,'DB Costi-Ore YtD'!$A:$A,H$1,'DB Costi-Ore YtD'!$B:$B,$A177,'DB Costi-Ore YtD'!$E:$E,$C177)-SUM($D177:G177),0)</f>
        <v>113</v>
      </c>
      <c r="I177" s="9">
        <f>IF((I$1*1)&lt;=MAX('DB Costi-Ore YtD'!$A:$A),SUMIFS('DB Costi-Ore YtD'!$F:$F,'DB Costi-Ore YtD'!$A:$A,I$1,'DB Costi-Ore YtD'!$B:$B,$A177,'DB Costi-Ore YtD'!$E:$E,$C177)-SUM($D177:H177),0)</f>
        <v>135.75</v>
      </c>
      <c r="J177" s="9">
        <f>IF((J$1*1)&lt;=MAX('DB Costi-Ore YtD'!$A:$A),SUMIFS('DB Costi-Ore YtD'!$F:$F,'DB Costi-Ore YtD'!$A:$A,J$1,'DB Costi-Ore YtD'!$B:$B,$A177,'DB Costi-Ore YtD'!$E:$E,$C177)-SUM($D177:I177),0)</f>
        <v>0</v>
      </c>
      <c r="K177" s="9">
        <f>IF((K$1*1)&lt;=MAX('DB Costi-Ore YtD'!$A:$A),SUMIFS('DB Costi-Ore YtD'!$F:$F,'DB Costi-Ore YtD'!$A:$A,K$1,'DB Costi-Ore YtD'!$B:$B,$A177,'DB Costi-Ore YtD'!$E:$E,$C177)-SUM($D177:J177),0)</f>
        <v>0</v>
      </c>
      <c r="L177" s="9">
        <f>IF((L$1*1)&lt;=MAX('DB Costi-Ore YtD'!$A:$A),SUMIFS('DB Costi-Ore YtD'!$F:$F,'DB Costi-Ore YtD'!$A:$A,L$1,'DB Costi-Ore YtD'!$B:$B,$A177,'DB Costi-Ore YtD'!$E:$E,$C177)-SUM($D177:K177),0)</f>
        <v>0</v>
      </c>
      <c r="M177" s="9">
        <f>IF((M$1*1)&lt;=MAX('DB Costi-Ore YtD'!$A:$A),SUMIFS('DB Costi-Ore YtD'!$F:$F,'DB Costi-Ore YtD'!$A:$A,M$1,'DB Costi-Ore YtD'!$B:$B,$A177,'DB Costi-Ore YtD'!$E:$E,$C177)-SUM($D177:L177),0)</f>
        <v>0</v>
      </c>
      <c r="N177" s="9">
        <f>IF((N$1*1)&lt;=MAX('DB Costi-Ore YtD'!$A:$A),SUMIFS('DB Costi-Ore YtD'!$F:$F,'DB Costi-Ore YtD'!$A:$A,N$1,'DB Costi-Ore YtD'!$B:$B,$A177,'DB Costi-Ore YtD'!$E:$E,$C177)-SUM($D177:M177),0)</f>
        <v>0</v>
      </c>
      <c r="O177" s="9">
        <f>IF((O$1*1)&lt;=MAX('DB Costi-Ore YtD'!$A:$A),SUMIFS('DB Costi-Ore YtD'!$F:$F,'DB Costi-Ore YtD'!$A:$A,O$1,'DB Costi-Ore YtD'!$B:$B,$A177,'DB Costi-Ore YtD'!$E:$E,$C177)-SUM($D177:N177),0)</f>
        <v>0</v>
      </c>
    </row>
    <row r="178" spans="1:15" x14ac:dyDescent="0.3">
      <c r="A178" s="9" t="s">
        <v>375</v>
      </c>
      <c r="B178" s="9" t="s">
        <v>376</v>
      </c>
      <c r="C178" s="9" t="s">
        <v>13</v>
      </c>
      <c r="D178" s="9">
        <f>IF((D$1*1)&lt;=MAX('DB Costi-Ore YtD'!$A:$A),SUMIFS('DB Costi-Ore YtD'!$F:$F,'DB Costi-Ore YtD'!$A:$A,D$1,'DB Costi-Ore YtD'!$B:$B,$A178,'DB Costi-Ore YtD'!$E:$E,$C178),0)</f>
        <v>0</v>
      </c>
      <c r="E178" s="9">
        <f>IF((E$1*1)&lt;=MAX('DB Costi-Ore YtD'!$A:$A),SUMIFS('DB Costi-Ore YtD'!$F:$F,'DB Costi-Ore YtD'!$A:$A,E$1,'DB Costi-Ore YtD'!$B:$B,$A178,'DB Costi-Ore YtD'!$E:$E,$C178)-SUM($D178:D178),0)</f>
        <v>30</v>
      </c>
      <c r="F178" s="9">
        <f>IF((F$1*1)&lt;=MAX('DB Costi-Ore YtD'!$A:$A),SUMIFS('DB Costi-Ore YtD'!$F:$F,'DB Costi-Ore YtD'!$A:$A,F$1,'DB Costi-Ore YtD'!$B:$B,$A178,'DB Costi-Ore YtD'!$E:$E,$C178)-SUM($D178:E178),0)</f>
        <v>78.5</v>
      </c>
      <c r="G178" s="9">
        <f>IF((G$1*1)&lt;=MAX('DB Costi-Ore YtD'!$A:$A),SUMIFS('DB Costi-Ore YtD'!$F:$F,'DB Costi-Ore YtD'!$A:$A,G$1,'DB Costi-Ore YtD'!$B:$B,$A178,'DB Costi-Ore YtD'!$E:$E,$C178)-SUM($D178:F178),0)</f>
        <v>0</v>
      </c>
      <c r="H178" s="9">
        <f>IF((H$1*1)&lt;=MAX('DB Costi-Ore YtD'!$A:$A),SUMIFS('DB Costi-Ore YtD'!$F:$F,'DB Costi-Ore YtD'!$A:$A,H$1,'DB Costi-Ore YtD'!$B:$B,$A178,'DB Costi-Ore YtD'!$E:$E,$C178)-SUM($D178:G178),0)</f>
        <v>0</v>
      </c>
      <c r="I178" s="9">
        <f>IF((I$1*1)&lt;=MAX('DB Costi-Ore YtD'!$A:$A),SUMIFS('DB Costi-Ore YtD'!$F:$F,'DB Costi-Ore YtD'!$A:$A,I$1,'DB Costi-Ore YtD'!$B:$B,$A178,'DB Costi-Ore YtD'!$E:$E,$C178)-SUM($D178:H178),0)</f>
        <v>0</v>
      </c>
      <c r="J178" s="9">
        <f>IF((J$1*1)&lt;=MAX('DB Costi-Ore YtD'!$A:$A),SUMIFS('DB Costi-Ore YtD'!$F:$F,'DB Costi-Ore YtD'!$A:$A,J$1,'DB Costi-Ore YtD'!$B:$B,$A178,'DB Costi-Ore YtD'!$E:$E,$C178)-SUM($D178:I178),0)</f>
        <v>0</v>
      </c>
      <c r="K178" s="9">
        <f>IF((K$1*1)&lt;=MAX('DB Costi-Ore YtD'!$A:$A),SUMIFS('DB Costi-Ore YtD'!$F:$F,'DB Costi-Ore YtD'!$A:$A,K$1,'DB Costi-Ore YtD'!$B:$B,$A178,'DB Costi-Ore YtD'!$E:$E,$C178)-SUM($D178:J178),0)</f>
        <v>0</v>
      </c>
      <c r="L178" s="9">
        <f>IF((L$1*1)&lt;=MAX('DB Costi-Ore YtD'!$A:$A),SUMIFS('DB Costi-Ore YtD'!$F:$F,'DB Costi-Ore YtD'!$A:$A,L$1,'DB Costi-Ore YtD'!$B:$B,$A178,'DB Costi-Ore YtD'!$E:$E,$C178)-SUM($D178:K178),0)</f>
        <v>0</v>
      </c>
      <c r="M178" s="9">
        <f>IF((M$1*1)&lt;=MAX('DB Costi-Ore YtD'!$A:$A),SUMIFS('DB Costi-Ore YtD'!$F:$F,'DB Costi-Ore YtD'!$A:$A,M$1,'DB Costi-Ore YtD'!$B:$B,$A178,'DB Costi-Ore YtD'!$E:$E,$C178)-SUM($D178:L178),0)</f>
        <v>0</v>
      </c>
      <c r="N178" s="9">
        <f>IF((N$1*1)&lt;=MAX('DB Costi-Ore YtD'!$A:$A),SUMIFS('DB Costi-Ore YtD'!$F:$F,'DB Costi-Ore YtD'!$A:$A,N$1,'DB Costi-Ore YtD'!$B:$B,$A178,'DB Costi-Ore YtD'!$E:$E,$C178)-SUM($D178:M178),0)</f>
        <v>0</v>
      </c>
      <c r="O178" s="9">
        <f>IF((O$1*1)&lt;=MAX('DB Costi-Ore YtD'!$A:$A),SUMIFS('DB Costi-Ore YtD'!$F:$F,'DB Costi-Ore YtD'!$A:$A,O$1,'DB Costi-Ore YtD'!$B:$B,$A178,'DB Costi-Ore YtD'!$E:$E,$C178)-SUM($D178:N178),0)</f>
        <v>0</v>
      </c>
    </row>
    <row r="179" spans="1:15" x14ac:dyDescent="0.3">
      <c r="A179" s="9" t="s">
        <v>377</v>
      </c>
      <c r="B179" s="9" t="s">
        <v>378</v>
      </c>
      <c r="C179" s="9" t="s">
        <v>2</v>
      </c>
      <c r="D179" s="9">
        <f>IF((D$1*1)&lt;=MAX('DB Costi-Ore YtD'!$A:$A),SUMIFS('DB Costi-Ore YtD'!$F:$F,'DB Costi-Ore YtD'!$A:$A,D$1,'DB Costi-Ore YtD'!$B:$B,$A179,'DB Costi-Ore YtD'!$E:$E,$C179),0)</f>
        <v>0</v>
      </c>
      <c r="E179" s="9">
        <f>IF((E$1*1)&lt;=MAX('DB Costi-Ore YtD'!$A:$A),SUMIFS('DB Costi-Ore YtD'!$F:$F,'DB Costi-Ore YtD'!$A:$A,E$1,'DB Costi-Ore YtD'!$B:$B,$A179,'DB Costi-Ore YtD'!$E:$E,$C179)-SUM($D179:D179),0)</f>
        <v>38.5</v>
      </c>
      <c r="F179" s="9">
        <f>IF((F$1*1)&lt;=MAX('DB Costi-Ore YtD'!$A:$A),SUMIFS('DB Costi-Ore YtD'!$F:$F,'DB Costi-Ore YtD'!$A:$A,F$1,'DB Costi-Ore YtD'!$B:$B,$A179,'DB Costi-Ore YtD'!$E:$E,$C179)-SUM($D179:E179),0)</f>
        <v>102</v>
      </c>
      <c r="G179" s="9">
        <f>IF((G$1*1)&lt;=MAX('DB Costi-Ore YtD'!$A:$A),SUMIFS('DB Costi-Ore YtD'!$F:$F,'DB Costi-Ore YtD'!$A:$A,G$1,'DB Costi-Ore YtD'!$B:$B,$A179,'DB Costi-Ore YtD'!$E:$E,$C179)-SUM($D179:F179),0)</f>
        <v>103</v>
      </c>
      <c r="H179" s="9">
        <f>IF((H$1*1)&lt;=MAX('DB Costi-Ore YtD'!$A:$A),SUMIFS('DB Costi-Ore YtD'!$F:$F,'DB Costi-Ore YtD'!$A:$A,H$1,'DB Costi-Ore YtD'!$B:$B,$A179,'DB Costi-Ore YtD'!$E:$E,$C179)-SUM($D179:G179),0)</f>
        <v>99</v>
      </c>
      <c r="I179" s="9">
        <f>IF((I$1*1)&lt;=MAX('DB Costi-Ore YtD'!$A:$A),SUMIFS('DB Costi-Ore YtD'!$F:$F,'DB Costi-Ore YtD'!$A:$A,I$1,'DB Costi-Ore YtD'!$B:$B,$A179,'DB Costi-Ore YtD'!$E:$E,$C179)-SUM($D179:H179),0)</f>
        <v>99</v>
      </c>
      <c r="J179" s="9">
        <f>IF((J$1*1)&lt;=MAX('DB Costi-Ore YtD'!$A:$A),SUMIFS('DB Costi-Ore YtD'!$F:$F,'DB Costi-Ore YtD'!$A:$A,J$1,'DB Costi-Ore YtD'!$B:$B,$A179,'DB Costi-Ore YtD'!$E:$E,$C179)-SUM($D179:I179),0)</f>
        <v>0</v>
      </c>
      <c r="K179" s="9">
        <f>IF((K$1*1)&lt;=MAX('DB Costi-Ore YtD'!$A:$A),SUMIFS('DB Costi-Ore YtD'!$F:$F,'DB Costi-Ore YtD'!$A:$A,K$1,'DB Costi-Ore YtD'!$B:$B,$A179,'DB Costi-Ore YtD'!$E:$E,$C179)-SUM($D179:J179),0)</f>
        <v>0</v>
      </c>
      <c r="L179" s="9">
        <f>IF((L$1*1)&lt;=MAX('DB Costi-Ore YtD'!$A:$A),SUMIFS('DB Costi-Ore YtD'!$F:$F,'DB Costi-Ore YtD'!$A:$A,L$1,'DB Costi-Ore YtD'!$B:$B,$A179,'DB Costi-Ore YtD'!$E:$E,$C179)-SUM($D179:K179),0)</f>
        <v>0</v>
      </c>
      <c r="M179" s="9">
        <f>IF((M$1*1)&lt;=MAX('DB Costi-Ore YtD'!$A:$A),SUMIFS('DB Costi-Ore YtD'!$F:$F,'DB Costi-Ore YtD'!$A:$A,M$1,'DB Costi-Ore YtD'!$B:$B,$A179,'DB Costi-Ore YtD'!$E:$E,$C179)-SUM($D179:L179),0)</f>
        <v>0</v>
      </c>
      <c r="N179" s="9">
        <f>IF((N$1*1)&lt;=MAX('DB Costi-Ore YtD'!$A:$A),SUMIFS('DB Costi-Ore YtD'!$F:$F,'DB Costi-Ore YtD'!$A:$A,N$1,'DB Costi-Ore YtD'!$B:$B,$A179,'DB Costi-Ore YtD'!$E:$E,$C179)-SUM($D179:M179),0)</f>
        <v>0</v>
      </c>
      <c r="O179" s="9">
        <f>IF((O$1*1)&lt;=MAX('DB Costi-Ore YtD'!$A:$A),SUMIFS('DB Costi-Ore YtD'!$F:$F,'DB Costi-Ore YtD'!$A:$A,O$1,'DB Costi-Ore YtD'!$B:$B,$A179,'DB Costi-Ore YtD'!$E:$E,$C179)-SUM($D179:N179),0)</f>
        <v>0</v>
      </c>
    </row>
    <row r="180" spans="1:15" x14ac:dyDescent="0.3">
      <c r="A180" s="9" t="s">
        <v>379</v>
      </c>
      <c r="B180" s="9" t="s">
        <v>352</v>
      </c>
      <c r="C180" s="9" t="s">
        <v>2</v>
      </c>
      <c r="D180" s="9">
        <f>IF((D$1*1)&lt;=MAX('DB Costi-Ore YtD'!$A:$A),SUMIFS('DB Costi-Ore YtD'!$F:$F,'DB Costi-Ore YtD'!$A:$A,D$1,'DB Costi-Ore YtD'!$B:$B,$A180,'DB Costi-Ore YtD'!$E:$E,$C180),0)</f>
        <v>0</v>
      </c>
      <c r="E180" s="9">
        <f>IF((E$1*1)&lt;=MAX('DB Costi-Ore YtD'!$A:$A),SUMIFS('DB Costi-Ore YtD'!$F:$F,'DB Costi-Ore YtD'!$A:$A,E$1,'DB Costi-Ore YtD'!$B:$B,$A180,'DB Costi-Ore YtD'!$E:$E,$C180)-SUM($D180:D180),0)</f>
        <v>33</v>
      </c>
      <c r="F180" s="9">
        <f>IF((F$1*1)&lt;=MAX('DB Costi-Ore YtD'!$A:$A),SUMIFS('DB Costi-Ore YtD'!$F:$F,'DB Costi-Ore YtD'!$A:$A,F$1,'DB Costi-Ore YtD'!$B:$B,$A180,'DB Costi-Ore YtD'!$E:$E,$C180)-SUM($D180:E180),0)</f>
        <v>112.75</v>
      </c>
      <c r="G180" s="9">
        <f>IF((G$1*1)&lt;=MAX('DB Costi-Ore YtD'!$A:$A),SUMIFS('DB Costi-Ore YtD'!$F:$F,'DB Costi-Ore YtD'!$A:$A,G$1,'DB Costi-Ore YtD'!$B:$B,$A180,'DB Costi-Ore YtD'!$E:$E,$C180)-SUM($D180:F180),0)</f>
        <v>76</v>
      </c>
      <c r="H180" s="9">
        <f>IF((H$1*1)&lt;=MAX('DB Costi-Ore YtD'!$A:$A),SUMIFS('DB Costi-Ore YtD'!$F:$F,'DB Costi-Ore YtD'!$A:$A,H$1,'DB Costi-Ore YtD'!$B:$B,$A180,'DB Costi-Ore YtD'!$E:$E,$C180)-SUM($D180:G180),0)</f>
        <v>83</v>
      </c>
      <c r="I180" s="9">
        <f>IF((I$1*1)&lt;=MAX('DB Costi-Ore YtD'!$A:$A),SUMIFS('DB Costi-Ore YtD'!$F:$F,'DB Costi-Ore YtD'!$A:$A,I$1,'DB Costi-Ore YtD'!$B:$B,$A180,'DB Costi-Ore YtD'!$E:$E,$C180)-SUM($D180:H180),0)</f>
        <v>86.25</v>
      </c>
      <c r="J180" s="9">
        <f>IF((J$1*1)&lt;=MAX('DB Costi-Ore YtD'!$A:$A),SUMIFS('DB Costi-Ore YtD'!$F:$F,'DB Costi-Ore YtD'!$A:$A,J$1,'DB Costi-Ore YtD'!$B:$B,$A180,'DB Costi-Ore YtD'!$E:$E,$C180)-SUM($D180:I180),0)</f>
        <v>0</v>
      </c>
      <c r="K180" s="9">
        <f>IF((K$1*1)&lt;=MAX('DB Costi-Ore YtD'!$A:$A),SUMIFS('DB Costi-Ore YtD'!$F:$F,'DB Costi-Ore YtD'!$A:$A,K$1,'DB Costi-Ore YtD'!$B:$B,$A180,'DB Costi-Ore YtD'!$E:$E,$C180)-SUM($D180:J180),0)</f>
        <v>0</v>
      </c>
      <c r="L180" s="9">
        <f>IF((L$1*1)&lt;=MAX('DB Costi-Ore YtD'!$A:$A),SUMIFS('DB Costi-Ore YtD'!$F:$F,'DB Costi-Ore YtD'!$A:$A,L$1,'DB Costi-Ore YtD'!$B:$B,$A180,'DB Costi-Ore YtD'!$E:$E,$C180)-SUM($D180:K180),0)</f>
        <v>0</v>
      </c>
      <c r="M180" s="9">
        <f>IF((M$1*1)&lt;=MAX('DB Costi-Ore YtD'!$A:$A),SUMIFS('DB Costi-Ore YtD'!$F:$F,'DB Costi-Ore YtD'!$A:$A,M$1,'DB Costi-Ore YtD'!$B:$B,$A180,'DB Costi-Ore YtD'!$E:$E,$C180)-SUM($D180:L180),0)</f>
        <v>0</v>
      </c>
      <c r="N180" s="9">
        <f>IF((N$1*1)&lt;=MAX('DB Costi-Ore YtD'!$A:$A),SUMIFS('DB Costi-Ore YtD'!$F:$F,'DB Costi-Ore YtD'!$A:$A,N$1,'DB Costi-Ore YtD'!$B:$B,$A180,'DB Costi-Ore YtD'!$E:$E,$C180)-SUM($D180:M180),0)</f>
        <v>0</v>
      </c>
      <c r="O180" s="9">
        <f>IF((O$1*1)&lt;=MAX('DB Costi-Ore YtD'!$A:$A),SUMIFS('DB Costi-Ore YtD'!$F:$F,'DB Costi-Ore YtD'!$A:$A,O$1,'DB Costi-Ore YtD'!$B:$B,$A180,'DB Costi-Ore YtD'!$E:$E,$C180)-SUM($D180:N180),0)</f>
        <v>0</v>
      </c>
    </row>
    <row r="181" spans="1:15" x14ac:dyDescent="0.3">
      <c r="A181" s="9" t="s">
        <v>380</v>
      </c>
      <c r="B181" s="9" t="s">
        <v>342</v>
      </c>
      <c r="C181" s="9" t="s">
        <v>13</v>
      </c>
      <c r="D181" s="9">
        <f>IF((D$1*1)&lt;=MAX('DB Costi-Ore YtD'!$A:$A),SUMIFS('DB Costi-Ore YtD'!$F:$F,'DB Costi-Ore YtD'!$A:$A,D$1,'DB Costi-Ore YtD'!$B:$B,$A181,'DB Costi-Ore YtD'!$E:$E,$C181),0)</f>
        <v>0</v>
      </c>
      <c r="E181" s="9">
        <f>IF((E$1*1)&lt;=MAX('DB Costi-Ore YtD'!$A:$A),SUMIFS('DB Costi-Ore YtD'!$F:$F,'DB Costi-Ore YtD'!$A:$A,E$1,'DB Costi-Ore YtD'!$B:$B,$A181,'DB Costi-Ore YtD'!$E:$E,$C181)-SUM($D181:D181),0)</f>
        <v>0</v>
      </c>
      <c r="F181" s="9">
        <f>IF((F$1*1)&lt;=MAX('DB Costi-Ore YtD'!$A:$A),SUMIFS('DB Costi-Ore YtD'!$F:$F,'DB Costi-Ore YtD'!$A:$A,F$1,'DB Costi-Ore YtD'!$B:$B,$A181,'DB Costi-Ore YtD'!$E:$E,$C181)-SUM($D181:E181),0)</f>
        <v>165.25</v>
      </c>
      <c r="G181" s="9">
        <f>IF((G$1*1)&lt;=MAX('DB Costi-Ore YtD'!$A:$A),SUMIFS('DB Costi-Ore YtD'!$F:$F,'DB Costi-Ore YtD'!$A:$A,G$1,'DB Costi-Ore YtD'!$B:$B,$A181,'DB Costi-Ore YtD'!$E:$E,$C181)-SUM($D181:F181),0)</f>
        <v>144</v>
      </c>
      <c r="H181" s="9">
        <f>IF((H$1*1)&lt;=MAX('DB Costi-Ore YtD'!$A:$A),SUMIFS('DB Costi-Ore YtD'!$F:$F,'DB Costi-Ore YtD'!$A:$A,H$1,'DB Costi-Ore YtD'!$B:$B,$A181,'DB Costi-Ore YtD'!$E:$E,$C181)-SUM($D181:G181),0)</f>
        <v>173.25</v>
      </c>
      <c r="I181" s="9">
        <f>IF((I$1*1)&lt;=MAX('DB Costi-Ore YtD'!$A:$A),SUMIFS('DB Costi-Ore YtD'!$F:$F,'DB Costi-Ore YtD'!$A:$A,I$1,'DB Costi-Ore YtD'!$B:$B,$A181,'DB Costi-Ore YtD'!$E:$E,$C181)-SUM($D181:H181),0)</f>
        <v>161</v>
      </c>
      <c r="J181" s="9">
        <f>IF((J$1*1)&lt;=MAX('DB Costi-Ore YtD'!$A:$A),SUMIFS('DB Costi-Ore YtD'!$F:$F,'DB Costi-Ore YtD'!$A:$A,J$1,'DB Costi-Ore YtD'!$B:$B,$A181,'DB Costi-Ore YtD'!$E:$E,$C181)-SUM($D181:I181),0)</f>
        <v>0</v>
      </c>
      <c r="K181" s="9">
        <f>IF((K$1*1)&lt;=MAX('DB Costi-Ore YtD'!$A:$A),SUMIFS('DB Costi-Ore YtD'!$F:$F,'DB Costi-Ore YtD'!$A:$A,K$1,'DB Costi-Ore YtD'!$B:$B,$A181,'DB Costi-Ore YtD'!$E:$E,$C181)-SUM($D181:J181),0)</f>
        <v>0</v>
      </c>
      <c r="L181" s="9">
        <f>IF((L$1*1)&lt;=MAX('DB Costi-Ore YtD'!$A:$A),SUMIFS('DB Costi-Ore YtD'!$F:$F,'DB Costi-Ore YtD'!$A:$A,L$1,'DB Costi-Ore YtD'!$B:$B,$A181,'DB Costi-Ore YtD'!$E:$E,$C181)-SUM($D181:K181),0)</f>
        <v>0</v>
      </c>
      <c r="M181" s="9">
        <f>IF((M$1*1)&lt;=MAX('DB Costi-Ore YtD'!$A:$A),SUMIFS('DB Costi-Ore YtD'!$F:$F,'DB Costi-Ore YtD'!$A:$A,M$1,'DB Costi-Ore YtD'!$B:$B,$A181,'DB Costi-Ore YtD'!$E:$E,$C181)-SUM($D181:L181),0)</f>
        <v>0</v>
      </c>
      <c r="N181" s="9">
        <f>IF((N$1*1)&lt;=MAX('DB Costi-Ore YtD'!$A:$A),SUMIFS('DB Costi-Ore YtD'!$F:$F,'DB Costi-Ore YtD'!$A:$A,N$1,'DB Costi-Ore YtD'!$B:$B,$A181,'DB Costi-Ore YtD'!$E:$E,$C181)-SUM($D181:M181),0)</f>
        <v>0</v>
      </c>
      <c r="O181" s="9">
        <f>IF((O$1*1)&lt;=MAX('DB Costi-Ore YtD'!$A:$A),SUMIFS('DB Costi-Ore YtD'!$F:$F,'DB Costi-Ore YtD'!$A:$A,O$1,'DB Costi-Ore YtD'!$B:$B,$A181,'DB Costi-Ore YtD'!$E:$E,$C181)-SUM($D181:N181),0)</f>
        <v>0</v>
      </c>
    </row>
    <row r="182" spans="1:15" x14ac:dyDescent="0.3">
      <c r="A182" s="9" t="s">
        <v>381</v>
      </c>
      <c r="B182" s="9" t="s">
        <v>382</v>
      </c>
      <c r="C182" s="9" t="s">
        <v>7</v>
      </c>
      <c r="D182" s="9">
        <f>IF((D$1*1)&lt;=MAX('DB Costi-Ore YtD'!$A:$A),SUMIFS('DB Costi-Ore YtD'!$F:$F,'DB Costi-Ore YtD'!$A:$A,D$1,'DB Costi-Ore YtD'!$B:$B,$A182,'DB Costi-Ore YtD'!$E:$E,$C182),0)</f>
        <v>0</v>
      </c>
      <c r="E182" s="9">
        <f>IF((E$1*1)&lt;=MAX('DB Costi-Ore YtD'!$A:$A),SUMIFS('DB Costi-Ore YtD'!$F:$F,'DB Costi-Ore YtD'!$A:$A,E$1,'DB Costi-Ore YtD'!$B:$B,$A182,'DB Costi-Ore YtD'!$E:$E,$C182)-SUM($D182:D182),0)</f>
        <v>0</v>
      </c>
      <c r="F182" s="9">
        <f>IF((F$1*1)&lt;=MAX('DB Costi-Ore YtD'!$A:$A),SUMIFS('DB Costi-Ore YtD'!$F:$F,'DB Costi-Ore YtD'!$A:$A,F$1,'DB Costi-Ore YtD'!$B:$B,$A182,'DB Costi-Ore YtD'!$E:$E,$C182)-SUM($D182:E182),0)</f>
        <v>121.75</v>
      </c>
      <c r="G182" s="9">
        <f>IF((G$1*1)&lt;=MAX('DB Costi-Ore YtD'!$A:$A),SUMIFS('DB Costi-Ore YtD'!$F:$F,'DB Costi-Ore YtD'!$A:$A,G$1,'DB Costi-Ore YtD'!$B:$B,$A182,'DB Costi-Ore YtD'!$E:$E,$C182)-SUM($D182:F182),0)</f>
        <v>143.75</v>
      </c>
      <c r="H182" s="9">
        <f>IF((H$1*1)&lt;=MAX('DB Costi-Ore YtD'!$A:$A),SUMIFS('DB Costi-Ore YtD'!$F:$F,'DB Costi-Ore YtD'!$A:$A,H$1,'DB Costi-Ore YtD'!$B:$B,$A182,'DB Costi-Ore YtD'!$E:$E,$C182)-SUM($D182:G182),0)</f>
        <v>151.25</v>
      </c>
      <c r="I182" s="9">
        <f>IF((I$1*1)&lt;=MAX('DB Costi-Ore YtD'!$A:$A),SUMIFS('DB Costi-Ore YtD'!$F:$F,'DB Costi-Ore YtD'!$A:$A,I$1,'DB Costi-Ore YtD'!$B:$B,$A182,'DB Costi-Ore YtD'!$E:$E,$C182)-SUM($D182:H182),0)</f>
        <v>129</v>
      </c>
      <c r="J182" s="9">
        <f>IF((J$1*1)&lt;=MAX('DB Costi-Ore YtD'!$A:$A),SUMIFS('DB Costi-Ore YtD'!$F:$F,'DB Costi-Ore YtD'!$A:$A,J$1,'DB Costi-Ore YtD'!$B:$B,$A182,'DB Costi-Ore YtD'!$E:$E,$C182)-SUM($D182:I182),0)</f>
        <v>0</v>
      </c>
      <c r="K182" s="9">
        <f>IF((K$1*1)&lt;=MAX('DB Costi-Ore YtD'!$A:$A),SUMIFS('DB Costi-Ore YtD'!$F:$F,'DB Costi-Ore YtD'!$A:$A,K$1,'DB Costi-Ore YtD'!$B:$B,$A182,'DB Costi-Ore YtD'!$E:$E,$C182)-SUM($D182:J182),0)</f>
        <v>0</v>
      </c>
      <c r="L182" s="9">
        <f>IF((L$1*1)&lt;=MAX('DB Costi-Ore YtD'!$A:$A),SUMIFS('DB Costi-Ore YtD'!$F:$F,'DB Costi-Ore YtD'!$A:$A,L$1,'DB Costi-Ore YtD'!$B:$B,$A182,'DB Costi-Ore YtD'!$E:$E,$C182)-SUM($D182:K182),0)</f>
        <v>0</v>
      </c>
      <c r="M182" s="9">
        <f>IF((M$1*1)&lt;=MAX('DB Costi-Ore YtD'!$A:$A),SUMIFS('DB Costi-Ore YtD'!$F:$F,'DB Costi-Ore YtD'!$A:$A,M$1,'DB Costi-Ore YtD'!$B:$B,$A182,'DB Costi-Ore YtD'!$E:$E,$C182)-SUM($D182:L182),0)</f>
        <v>0</v>
      </c>
      <c r="N182" s="9">
        <f>IF((N$1*1)&lt;=MAX('DB Costi-Ore YtD'!$A:$A),SUMIFS('DB Costi-Ore YtD'!$F:$F,'DB Costi-Ore YtD'!$A:$A,N$1,'DB Costi-Ore YtD'!$B:$B,$A182,'DB Costi-Ore YtD'!$E:$E,$C182)-SUM($D182:M182),0)</f>
        <v>0</v>
      </c>
      <c r="O182" s="9">
        <f>IF((O$1*1)&lt;=MAX('DB Costi-Ore YtD'!$A:$A),SUMIFS('DB Costi-Ore YtD'!$F:$F,'DB Costi-Ore YtD'!$A:$A,O$1,'DB Costi-Ore YtD'!$B:$B,$A182,'DB Costi-Ore YtD'!$E:$E,$C182)-SUM($D182:N182),0)</f>
        <v>0</v>
      </c>
    </row>
    <row r="183" spans="1:15" x14ac:dyDescent="0.3">
      <c r="A183" s="9" t="s">
        <v>383</v>
      </c>
      <c r="B183" s="9" t="s">
        <v>340</v>
      </c>
      <c r="C183" s="9" t="s">
        <v>8</v>
      </c>
      <c r="D183" s="9">
        <f>IF((D$1*1)&lt;=MAX('DB Costi-Ore YtD'!$A:$A),SUMIFS('DB Costi-Ore YtD'!$F:$F,'DB Costi-Ore YtD'!$A:$A,D$1,'DB Costi-Ore YtD'!$B:$B,$A183,'DB Costi-Ore YtD'!$E:$E,$C183),0)</f>
        <v>0</v>
      </c>
      <c r="E183" s="9">
        <f>IF((E$1*1)&lt;=MAX('DB Costi-Ore YtD'!$A:$A),SUMIFS('DB Costi-Ore YtD'!$F:$F,'DB Costi-Ore YtD'!$A:$A,E$1,'DB Costi-Ore YtD'!$B:$B,$A183,'DB Costi-Ore YtD'!$E:$E,$C183)-SUM($D183:D183),0)</f>
        <v>0</v>
      </c>
      <c r="F183" s="9">
        <f>IF((F$1*1)&lt;=MAX('DB Costi-Ore YtD'!$A:$A),SUMIFS('DB Costi-Ore YtD'!$F:$F,'DB Costi-Ore YtD'!$A:$A,F$1,'DB Costi-Ore YtD'!$B:$B,$A183,'DB Costi-Ore YtD'!$E:$E,$C183)-SUM($D183:E183),0)</f>
        <v>122</v>
      </c>
      <c r="G183" s="9">
        <f>IF((G$1*1)&lt;=MAX('DB Costi-Ore YtD'!$A:$A),SUMIFS('DB Costi-Ore YtD'!$F:$F,'DB Costi-Ore YtD'!$A:$A,G$1,'DB Costi-Ore YtD'!$B:$B,$A183,'DB Costi-Ore YtD'!$E:$E,$C183)-SUM($D183:F183),0)</f>
        <v>141</v>
      </c>
      <c r="H183" s="9">
        <f>IF((H$1*1)&lt;=MAX('DB Costi-Ore YtD'!$A:$A),SUMIFS('DB Costi-Ore YtD'!$F:$F,'DB Costi-Ore YtD'!$A:$A,H$1,'DB Costi-Ore YtD'!$B:$B,$A183,'DB Costi-Ore YtD'!$E:$E,$C183)-SUM($D183:G183),0)</f>
        <v>127</v>
      </c>
      <c r="I183" s="9">
        <f>IF((I$1*1)&lt;=MAX('DB Costi-Ore YtD'!$A:$A),SUMIFS('DB Costi-Ore YtD'!$F:$F,'DB Costi-Ore YtD'!$A:$A,I$1,'DB Costi-Ore YtD'!$B:$B,$A183,'DB Costi-Ore YtD'!$E:$E,$C183)-SUM($D183:H183),0)</f>
        <v>135</v>
      </c>
      <c r="J183" s="9">
        <f>IF((J$1*1)&lt;=MAX('DB Costi-Ore YtD'!$A:$A),SUMIFS('DB Costi-Ore YtD'!$F:$F,'DB Costi-Ore YtD'!$A:$A,J$1,'DB Costi-Ore YtD'!$B:$B,$A183,'DB Costi-Ore YtD'!$E:$E,$C183)-SUM($D183:I183),0)</f>
        <v>0</v>
      </c>
      <c r="K183" s="9">
        <f>IF((K$1*1)&lt;=MAX('DB Costi-Ore YtD'!$A:$A),SUMIFS('DB Costi-Ore YtD'!$F:$F,'DB Costi-Ore YtD'!$A:$A,K$1,'DB Costi-Ore YtD'!$B:$B,$A183,'DB Costi-Ore YtD'!$E:$E,$C183)-SUM($D183:J183),0)</f>
        <v>0</v>
      </c>
      <c r="L183" s="9">
        <f>IF((L$1*1)&lt;=MAX('DB Costi-Ore YtD'!$A:$A),SUMIFS('DB Costi-Ore YtD'!$F:$F,'DB Costi-Ore YtD'!$A:$A,L$1,'DB Costi-Ore YtD'!$B:$B,$A183,'DB Costi-Ore YtD'!$E:$E,$C183)-SUM($D183:K183),0)</f>
        <v>0</v>
      </c>
      <c r="M183" s="9">
        <f>IF((M$1*1)&lt;=MAX('DB Costi-Ore YtD'!$A:$A),SUMIFS('DB Costi-Ore YtD'!$F:$F,'DB Costi-Ore YtD'!$A:$A,M$1,'DB Costi-Ore YtD'!$B:$B,$A183,'DB Costi-Ore YtD'!$E:$E,$C183)-SUM($D183:L183),0)</f>
        <v>0</v>
      </c>
      <c r="N183" s="9">
        <f>IF((N$1*1)&lt;=MAX('DB Costi-Ore YtD'!$A:$A),SUMIFS('DB Costi-Ore YtD'!$F:$F,'DB Costi-Ore YtD'!$A:$A,N$1,'DB Costi-Ore YtD'!$B:$B,$A183,'DB Costi-Ore YtD'!$E:$E,$C183)-SUM($D183:M183),0)</f>
        <v>0</v>
      </c>
      <c r="O183" s="9">
        <f>IF((O$1*1)&lt;=MAX('DB Costi-Ore YtD'!$A:$A),SUMIFS('DB Costi-Ore YtD'!$F:$F,'DB Costi-Ore YtD'!$A:$A,O$1,'DB Costi-Ore YtD'!$B:$B,$A183,'DB Costi-Ore YtD'!$E:$E,$C183)-SUM($D183:N183),0)</f>
        <v>0</v>
      </c>
    </row>
    <row r="184" spans="1:15" x14ac:dyDescent="0.3">
      <c r="A184" s="9" t="s">
        <v>384</v>
      </c>
      <c r="B184" s="9" t="s">
        <v>385</v>
      </c>
      <c r="C184" s="9" t="s">
        <v>2</v>
      </c>
      <c r="D184" s="9">
        <f>IF((D$1*1)&lt;=MAX('DB Costi-Ore YtD'!$A:$A),SUMIFS('DB Costi-Ore YtD'!$F:$F,'DB Costi-Ore YtD'!$A:$A,D$1,'DB Costi-Ore YtD'!$B:$B,$A184,'DB Costi-Ore YtD'!$E:$E,$C184),0)</f>
        <v>0</v>
      </c>
      <c r="E184" s="9">
        <f>IF((E$1*1)&lt;=MAX('DB Costi-Ore YtD'!$A:$A),SUMIFS('DB Costi-Ore YtD'!$F:$F,'DB Costi-Ore YtD'!$A:$A,E$1,'DB Costi-Ore YtD'!$B:$B,$A184,'DB Costi-Ore YtD'!$E:$E,$C184)-SUM($D184:D184),0)</f>
        <v>0</v>
      </c>
      <c r="F184" s="9">
        <f>IF((F$1*1)&lt;=MAX('DB Costi-Ore YtD'!$A:$A),SUMIFS('DB Costi-Ore YtD'!$F:$F,'DB Costi-Ore YtD'!$A:$A,F$1,'DB Costi-Ore YtD'!$B:$B,$A184,'DB Costi-Ore YtD'!$E:$E,$C184)-SUM($D184:E184),0)</f>
        <v>99</v>
      </c>
      <c r="G184" s="9">
        <f>IF((G$1*1)&lt;=MAX('DB Costi-Ore YtD'!$A:$A),SUMIFS('DB Costi-Ore YtD'!$F:$F,'DB Costi-Ore YtD'!$A:$A,G$1,'DB Costi-Ore YtD'!$B:$B,$A184,'DB Costi-Ore YtD'!$E:$E,$C184)-SUM($D184:F184),0)</f>
        <v>151.5</v>
      </c>
      <c r="H184" s="9">
        <f>IF((H$1*1)&lt;=MAX('DB Costi-Ore YtD'!$A:$A),SUMIFS('DB Costi-Ore YtD'!$F:$F,'DB Costi-Ore YtD'!$A:$A,H$1,'DB Costi-Ore YtD'!$B:$B,$A184,'DB Costi-Ore YtD'!$E:$E,$C184)-SUM($D184:G184),0)</f>
        <v>157</v>
      </c>
      <c r="I184" s="9">
        <f>IF((I$1*1)&lt;=MAX('DB Costi-Ore YtD'!$A:$A),SUMIFS('DB Costi-Ore YtD'!$F:$F,'DB Costi-Ore YtD'!$A:$A,I$1,'DB Costi-Ore YtD'!$B:$B,$A184,'DB Costi-Ore YtD'!$E:$E,$C184)-SUM($D184:H184),0)</f>
        <v>142</v>
      </c>
      <c r="J184" s="9">
        <f>IF((J$1*1)&lt;=MAX('DB Costi-Ore YtD'!$A:$A),SUMIFS('DB Costi-Ore YtD'!$F:$F,'DB Costi-Ore YtD'!$A:$A,J$1,'DB Costi-Ore YtD'!$B:$B,$A184,'DB Costi-Ore YtD'!$E:$E,$C184)-SUM($D184:I184),0)</f>
        <v>0</v>
      </c>
      <c r="K184" s="9">
        <f>IF((K$1*1)&lt;=MAX('DB Costi-Ore YtD'!$A:$A),SUMIFS('DB Costi-Ore YtD'!$F:$F,'DB Costi-Ore YtD'!$A:$A,K$1,'DB Costi-Ore YtD'!$B:$B,$A184,'DB Costi-Ore YtD'!$E:$E,$C184)-SUM($D184:J184),0)</f>
        <v>0</v>
      </c>
      <c r="L184" s="9">
        <f>IF((L$1*1)&lt;=MAX('DB Costi-Ore YtD'!$A:$A),SUMIFS('DB Costi-Ore YtD'!$F:$F,'DB Costi-Ore YtD'!$A:$A,L$1,'DB Costi-Ore YtD'!$B:$B,$A184,'DB Costi-Ore YtD'!$E:$E,$C184)-SUM($D184:K184),0)</f>
        <v>0</v>
      </c>
      <c r="M184" s="9">
        <f>IF((M$1*1)&lt;=MAX('DB Costi-Ore YtD'!$A:$A),SUMIFS('DB Costi-Ore YtD'!$F:$F,'DB Costi-Ore YtD'!$A:$A,M$1,'DB Costi-Ore YtD'!$B:$B,$A184,'DB Costi-Ore YtD'!$E:$E,$C184)-SUM($D184:L184),0)</f>
        <v>0</v>
      </c>
      <c r="N184" s="9">
        <f>IF((N$1*1)&lt;=MAX('DB Costi-Ore YtD'!$A:$A),SUMIFS('DB Costi-Ore YtD'!$F:$F,'DB Costi-Ore YtD'!$A:$A,N$1,'DB Costi-Ore YtD'!$B:$B,$A184,'DB Costi-Ore YtD'!$E:$E,$C184)-SUM($D184:M184),0)</f>
        <v>0</v>
      </c>
      <c r="O184" s="9">
        <f>IF((O$1*1)&lt;=MAX('DB Costi-Ore YtD'!$A:$A),SUMIFS('DB Costi-Ore YtD'!$F:$F,'DB Costi-Ore YtD'!$A:$A,O$1,'DB Costi-Ore YtD'!$B:$B,$A184,'DB Costi-Ore YtD'!$E:$E,$C184)-SUM($D184:N184),0)</f>
        <v>0</v>
      </c>
    </row>
    <row r="185" spans="1:15" x14ac:dyDescent="0.3">
      <c r="A185" s="9" t="s">
        <v>386</v>
      </c>
      <c r="B185" s="9" t="s">
        <v>387</v>
      </c>
      <c r="C185" s="9" t="s">
        <v>2</v>
      </c>
      <c r="D185" s="9">
        <f>IF((D$1*1)&lt;=MAX('DB Costi-Ore YtD'!$A:$A),SUMIFS('DB Costi-Ore YtD'!$F:$F,'DB Costi-Ore YtD'!$A:$A,D$1,'DB Costi-Ore YtD'!$B:$B,$A185,'DB Costi-Ore YtD'!$E:$E,$C185),0)</f>
        <v>0</v>
      </c>
      <c r="E185" s="9">
        <f>IF((E$1*1)&lt;=MAX('DB Costi-Ore YtD'!$A:$A),SUMIFS('DB Costi-Ore YtD'!$F:$F,'DB Costi-Ore YtD'!$A:$A,E$1,'DB Costi-Ore YtD'!$B:$B,$A185,'DB Costi-Ore YtD'!$E:$E,$C185)-SUM($D185:D185),0)</f>
        <v>0</v>
      </c>
      <c r="F185" s="9">
        <f>IF((F$1*1)&lt;=MAX('DB Costi-Ore YtD'!$A:$A),SUMIFS('DB Costi-Ore YtD'!$F:$F,'DB Costi-Ore YtD'!$A:$A,F$1,'DB Costi-Ore YtD'!$B:$B,$A185,'DB Costi-Ore YtD'!$E:$E,$C185)-SUM($D185:E185),0)</f>
        <v>84</v>
      </c>
      <c r="G185" s="9">
        <f>IF((G$1*1)&lt;=MAX('DB Costi-Ore YtD'!$A:$A),SUMIFS('DB Costi-Ore YtD'!$F:$F,'DB Costi-Ore YtD'!$A:$A,G$1,'DB Costi-Ore YtD'!$B:$B,$A185,'DB Costi-Ore YtD'!$E:$E,$C185)-SUM($D185:F185),0)</f>
        <v>140.5</v>
      </c>
      <c r="H185" s="9">
        <f>IF((H$1*1)&lt;=MAX('DB Costi-Ore YtD'!$A:$A),SUMIFS('DB Costi-Ore YtD'!$F:$F,'DB Costi-Ore YtD'!$A:$A,H$1,'DB Costi-Ore YtD'!$B:$B,$A185,'DB Costi-Ore YtD'!$E:$E,$C185)-SUM($D185:G185),0)</f>
        <v>153</v>
      </c>
      <c r="I185" s="9">
        <f>IF((I$1*1)&lt;=MAX('DB Costi-Ore YtD'!$A:$A),SUMIFS('DB Costi-Ore YtD'!$F:$F,'DB Costi-Ore YtD'!$A:$A,I$1,'DB Costi-Ore YtD'!$B:$B,$A185,'DB Costi-Ore YtD'!$E:$E,$C185)-SUM($D185:H185),0)</f>
        <v>152</v>
      </c>
      <c r="J185" s="9">
        <f>IF((J$1*1)&lt;=MAX('DB Costi-Ore YtD'!$A:$A),SUMIFS('DB Costi-Ore YtD'!$F:$F,'DB Costi-Ore YtD'!$A:$A,J$1,'DB Costi-Ore YtD'!$B:$B,$A185,'DB Costi-Ore YtD'!$E:$E,$C185)-SUM($D185:I185),0)</f>
        <v>0</v>
      </c>
      <c r="K185" s="9">
        <f>IF((K$1*1)&lt;=MAX('DB Costi-Ore YtD'!$A:$A),SUMIFS('DB Costi-Ore YtD'!$F:$F,'DB Costi-Ore YtD'!$A:$A,K$1,'DB Costi-Ore YtD'!$B:$B,$A185,'DB Costi-Ore YtD'!$E:$E,$C185)-SUM($D185:J185),0)</f>
        <v>0</v>
      </c>
      <c r="L185" s="9">
        <f>IF((L$1*1)&lt;=MAX('DB Costi-Ore YtD'!$A:$A),SUMIFS('DB Costi-Ore YtD'!$F:$F,'DB Costi-Ore YtD'!$A:$A,L$1,'DB Costi-Ore YtD'!$B:$B,$A185,'DB Costi-Ore YtD'!$E:$E,$C185)-SUM($D185:K185),0)</f>
        <v>0</v>
      </c>
      <c r="M185" s="9">
        <f>IF((M$1*1)&lt;=MAX('DB Costi-Ore YtD'!$A:$A),SUMIFS('DB Costi-Ore YtD'!$F:$F,'DB Costi-Ore YtD'!$A:$A,M$1,'DB Costi-Ore YtD'!$B:$B,$A185,'DB Costi-Ore YtD'!$E:$E,$C185)-SUM($D185:L185),0)</f>
        <v>0</v>
      </c>
      <c r="N185" s="9">
        <f>IF((N$1*1)&lt;=MAX('DB Costi-Ore YtD'!$A:$A),SUMIFS('DB Costi-Ore YtD'!$F:$F,'DB Costi-Ore YtD'!$A:$A,N$1,'DB Costi-Ore YtD'!$B:$B,$A185,'DB Costi-Ore YtD'!$E:$E,$C185)-SUM($D185:M185),0)</f>
        <v>0</v>
      </c>
      <c r="O185" s="9">
        <f>IF((O$1*1)&lt;=MAX('DB Costi-Ore YtD'!$A:$A),SUMIFS('DB Costi-Ore YtD'!$F:$F,'DB Costi-Ore YtD'!$A:$A,O$1,'DB Costi-Ore YtD'!$B:$B,$A185,'DB Costi-Ore YtD'!$E:$E,$C185)-SUM($D185:N185),0)</f>
        <v>0</v>
      </c>
    </row>
    <row r="186" spans="1:15" x14ac:dyDescent="0.3">
      <c r="A186" s="9" t="s">
        <v>388</v>
      </c>
      <c r="B186" s="9" t="s">
        <v>389</v>
      </c>
      <c r="C186" s="9" t="s">
        <v>2</v>
      </c>
      <c r="D186" s="9">
        <f>IF((D$1*1)&lt;=MAX('DB Costi-Ore YtD'!$A:$A),SUMIFS('DB Costi-Ore YtD'!$F:$F,'DB Costi-Ore YtD'!$A:$A,D$1,'DB Costi-Ore YtD'!$B:$B,$A186,'DB Costi-Ore YtD'!$E:$E,$C186),0)</f>
        <v>0</v>
      </c>
      <c r="E186" s="9">
        <f>IF((E$1*1)&lt;=MAX('DB Costi-Ore YtD'!$A:$A),SUMIFS('DB Costi-Ore YtD'!$F:$F,'DB Costi-Ore YtD'!$A:$A,E$1,'DB Costi-Ore YtD'!$B:$B,$A186,'DB Costi-Ore YtD'!$E:$E,$C186)-SUM($D186:D186),0)</f>
        <v>0</v>
      </c>
      <c r="F186" s="9">
        <f>IF((F$1*1)&lt;=MAX('DB Costi-Ore YtD'!$A:$A),SUMIFS('DB Costi-Ore YtD'!$F:$F,'DB Costi-Ore YtD'!$A:$A,F$1,'DB Costi-Ore YtD'!$B:$B,$A186,'DB Costi-Ore YtD'!$E:$E,$C186)-SUM($D186:E186),0)</f>
        <v>42</v>
      </c>
      <c r="G186" s="9">
        <f>IF((G$1*1)&lt;=MAX('DB Costi-Ore YtD'!$A:$A),SUMIFS('DB Costi-Ore YtD'!$F:$F,'DB Costi-Ore YtD'!$A:$A,G$1,'DB Costi-Ore YtD'!$B:$B,$A186,'DB Costi-Ore YtD'!$E:$E,$C186)-SUM($D186:F186),0)</f>
        <v>75.5</v>
      </c>
      <c r="H186" s="9">
        <f>IF((H$1*1)&lt;=MAX('DB Costi-Ore YtD'!$A:$A),SUMIFS('DB Costi-Ore YtD'!$F:$F,'DB Costi-Ore YtD'!$A:$A,H$1,'DB Costi-Ore YtD'!$B:$B,$A186,'DB Costi-Ore YtD'!$E:$E,$C186)-SUM($D186:G186),0)</f>
        <v>138.5</v>
      </c>
      <c r="I186" s="9">
        <f>IF((I$1*1)&lt;=MAX('DB Costi-Ore YtD'!$A:$A),SUMIFS('DB Costi-Ore YtD'!$F:$F,'DB Costi-Ore YtD'!$A:$A,I$1,'DB Costi-Ore YtD'!$B:$B,$A186,'DB Costi-Ore YtD'!$E:$E,$C186)-SUM($D186:H186),0)</f>
        <v>140.5</v>
      </c>
      <c r="J186" s="9">
        <f>IF((J$1*1)&lt;=MAX('DB Costi-Ore YtD'!$A:$A),SUMIFS('DB Costi-Ore YtD'!$F:$F,'DB Costi-Ore YtD'!$A:$A,J$1,'DB Costi-Ore YtD'!$B:$B,$A186,'DB Costi-Ore YtD'!$E:$E,$C186)-SUM($D186:I186),0)</f>
        <v>0</v>
      </c>
      <c r="K186" s="9">
        <f>IF((K$1*1)&lt;=MAX('DB Costi-Ore YtD'!$A:$A),SUMIFS('DB Costi-Ore YtD'!$F:$F,'DB Costi-Ore YtD'!$A:$A,K$1,'DB Costi-Ore YtD'!$B:$B,$A186,'DB Costi-Ore YtD'!$E:$E,$C186)-SUM($D186:J186),0)</f>
        <v>0</v>
      </c>
      <c r="L186" s="9">
        <f>IF((L$1*1)&lt;=MAX('DB Costi-Ore YtD'!$A:$A),SUMIFS('DB Costi-Ore YtD'!$F:$F,'DB Costi-Ore YtD'!$A:$A,L$1,'DB Costi-Ore YtD'!$B:$B,$A186,'DB Costi-Ore YtD'!$E:$E,$C186)-SUM($D186:K186),0)</f>
        <v>0</v>
      </c>
      <c r="M186" s="9">
        <f>IF((M$1*1)&lt;=MAX('DB Costi-Ore YtD'!$A:$A),SUMIFS('DB Costi-Ore YtD'!$F:$F,'DB Costi-Ore YtD'!$A:$A,M$1,'DB Costi-Ore YtD'!$B:$B,$A186,'DB Costi-Ore YtD'!$E:$E,$C186)-SUM($D186:L186),0)</f>
        <v>0</v>
      </c>
      <c r="N186" s="9">
        <f>IF((N$1*1)&lt;=MAX('DB Costi-Ore YtD'!$A:$A),SUMIFS('DB Costi-Ore YtD'!$F:$F,'DB Costi-Ore YtD'!$A:$A,N$1,'DB Costi-Ore YtD'!$B:$B,$A186,'DB Costi-Ore YtD'!$E:$E,$C186)-SUM($D186:M186),0)</f>
        <v>0</v>
      </c>
      <c r="O186" s="9">
        <f>IF((O$1*1)&lt;=MAX('DB Costi-Ore YtD'!$A:$A),SUMIFS('DB Costi-Ore YtD'!$F:$F,'DB Costi-Ore YtD'!$A:$A,O$1,'DB Costi-Ore YtD'!$B:$B,$A186,'DB Costi-Ore YtD'!$E:$E,$C186)-SUM($D186:N186),0)</f>
        <v>0</v>
      </c>
    </row>
    <row r="187" spans="1:15" x14ac:dyDescent="0.3">
      <c r="A187" s="9" t="s">
        <v>390</v>
      </c>
      <c r="B187" s="9" t="s">
        <v>391</v>
      </c>
      <c r="C187" s="9" t="s">
        <v>3</v>
      </c>
      <c r="D187" s="9">
        <f>IF((D$1*1)&lt;=MAX('DB Costi-Ore YtD'!$A:$A),SUMIFS('DB Costi-Ore YtD'!$F:$F,'DB Costi-Ore YtD'!$A:$A,D$1,'DB Costi-Ore YtD'!$B:$B,$A187,'DB Costi-Ore YtD'!$E:$E,$C187),0)</f>
        <v>0</v>
      </c>
      <c r="E187" s="9">
        <f>IF((E$1*1)&lt;=MAX('DB Costi-Ore YtD'!$A:$A),SUMIFS('DB Costi-Ore YtD'!$F:$F,'DB Costi-Ore YtD'!$A:$A,E$1,'DB Costi-Ore YtD'!$B:$B,$A187,'DB Costi-Ore YtD'!$E:$E,$C187)-SUM($D187:D187),0)</f>
        <v>0</v>
      </c>
      <c r="F187" s="9">
        <f>IF((F$1*1)&lt;=MAX('DB Costi-Ore YtD'!$A:$A),SUMIFS('DB Costi-Ore YtD'!$F:$F,'DB Costi-Ore YtD'!$A:$A,F$1,'DB Costi-Ore YtD'!$B:$B,$A187,'DB Costi-Ore YtD'!$E:$E,$C187)-SUM($D187:E187),0)</f>
        <v>31.5</v>
      </c>
      <c r="G187" s="9">
        <f>IF((G$1*1)&lt;=MAX('DB Costi-Ore YtD'!$A:$A),SUMIFS('DB Costi-Ore YtD'!$F:$F,'DB Costi-Ore YtD'!$A:$A,G$1,'DB Costi-Ore YtD'!$B:$B,$A187,'DB Costi-Ore YtD'!$E:$E,$C187)-SUM($D187:F187),0)</f>
        <v>116.25</v>
      </c>
      <c r="H187" s="9">
        <f>IF((H$1*1)&lt;=MAX('DB Costi-Ore YtD'!$A:$A),SUMIFS('DB Costi-Ore YtD'!$F:$F,'DB Costi-Ore YtD'!$A:$A,H$1,'DB Costi-Ore YtD'!$B:$B,$A187,'DB Costi-Ore YtD'!$E:$E,$C187)-SUM($D187:G187),0)</f>
        <v>144.5</v>
      </c>
      <c r="I187" s="9">
        <f>IF((I$1*1)&lt;=MAX('DB Costi-Ore YtD'!$A:$A),SUMIFS('DB Costi-Ore YtD'!$F:$F,'DB Costi-Ore YtD'!$A:$A,I$1,'DB Costi-Ore YtD'!$B:$B,$A187,'DB Costi-Ore YtD'!$E:$E,$C187)-SUM($D187:H187),0)</f>
        <v>129.5</v>
      </c>
      <c r="J187" s="9">
        <f>IF((J$1*1)&lt;=MAX('DB Costi-Ore YtD'!$A:$A),SUMIFS('DB Costi-Ore YtD'!$F:$F,'DB Costi-Ore YtD'!$A:$A,J$1,'DB Costi-Ore YtD'!$B:$B,$A187,'DB Costi-Ore YtD'!$E:$E,$C187)-SUM($D187:I187),0)</f>
        <v>0</v>
      </c>
      <c r="K187" s="9">
        <f>IF((K$1*1)&lt;=MAX('DB Costi-Ore YtD'!$A:$A),SUMIFS('DB Costi-Ore YtD'!$F:$F,'DB Costi-Ore YtD'!$A:$A,K$1,'DB Costi-Ore YtD'!$B:$B,$A187,'DB Costi-Ore YtD'!$E:$E,$C187)-SUM($D187:J187),0)</f>
        <v>0</v>
      </c>
      <c r="L187" s="9">
        <f>IF((L$1*1)&lt;=MAX('DB Costi-Ore YtD'!$A:$A),SUMIFS('DB Costi-Ore YtD'!$F:$F,'DB Costi-Ore YtD'!$A:$A,L$1,'DB Costi-Ore YtD'!$B:$B,$A187,'DB Costi-Ore YtD'!$E:$E,$C187)-SUM($D187:K187),0)</f>
        <v>0</v>
      </c>
      <c r="M187" s="9">
        <f>IF((M$1*1)&lt;=MAX('DB Costi-Ore YtD'!$A:$A),SUMIFS('DB Costi-Ore YtD'!$F:$F,'DB Costi-Ore YtD'!$A:$A,M$1,'DB Costi-Ore YtD'!$B:$B,$A187,'DB Costi-Ore YtD'!$E:$E,$C187)-SUM($D187:L187),0)</f>
        <v>0</v>
      </c>
      <c r="N187" s="9">
        <f>IF((N$1*1)&lt;=MAX('DB Costi-Ore YtD'!$A:$A),SUMIFS('DB Costi-Ore YtD'!$F:$F,'DB Costi-Ore YtD'!$A:$A,N$1,'DB Costi-Ore YtD'!$B:$B,$A187,'DB Costi-Ore YtD'!$E:$E,$C187)-SUM($D187:M187),0)</f>
        <v>0</v>
      </c>
      <c r="O187" s="9">
        <f>IF((O$1*1)&lt;=MAX('DB Costi-Ore YtD'!$A:$A),SUMIFS('DB Costi-Ore YtD'!$F:$F,'DB Costi-Ore YtD'!$A:$A,O$1,'DB Costi-Ore YtD'!$B:$B,$A187,'DB Costi-Ore YtD'!$E:$E,$C187)-SUM($D187:N187),0)</f>
        <v>0</v>
      </c>
    </row>
    <row r="188" spans="1:15" x14ac:dyDescent="0.3">
      <c r="A188" s="9" t="s">
        <v>392</v>
      </c>
      <c r="B188" s="9" t="s">
        <v>393</v>
      </c>
      <c r="C188" s="9" t="s">
        <v>2</v>
      </c>
      <c r="D188" s="9">
        <f>IF((D$1*1)&lt;=MAX('DB Costi-Ore YtD'!$A:$A),SUMIFS('DB Costi-Ore YtD'!$F:$F,'DB Costi-Ore YtD'!$A:$A,D$1,'DB Costi-Ore YtD'!$B:$B,$A188,'DB Costi-Ore YtD'!$E:$E,$C188),0)</f>
        <v>0</v>
      </c>
      <c r="E188" s="9">
        <f>IF((E$1*1)&lt;=MAX('DB Costi-Ore YtD'!$A:$A),SUMIFS('DB Costi-Ore YtD'!$F:$F,'DB Costi-Ore YtD'!$A:$A,E$1,'DB Costi-Ore YtD'!$B:$B,$A188,'DB Costi-Ore YtD'!$E:$E,$C188)-SUM($D188:D188),0)</f>
        <v>0</v>
      </c>
      <c r="F188" s="9">
        <f>IF((F$1*1)&lt;=MAX('DB Costi-Ore YtD'!$A:$A),SUMIFS('DB Costi-Ore YtD'!$F:$F,'DB Costi-Ore YtD'!$A:$A,F$1,'DB Costi-Ore YtD'!$B:$B,$A188,'DB Costi-Ore YtD'!$E:$E,$C188)-SUM($D188:E188),0)</f>
        <v>25.5</v>
      </c>
      <c r="G188" s="9">
        <f>IF((G$1*1)&lt;=MAX('DB Costi-Ore YtD'!$A:$A),SUMIFS('DB Costi-Ore YtD'!$F:$F,'DB Costi-Ore YtD'!$A:$A,G$1,'DB Costi-Ore YtD'!$B:$B,$A188,'DB Costi-Ore YtD'!$E:$E,$C188)-SUM($D188:F188),0)</f>
        <v>84</v>
      </c>
      <c r="H188" s="9">
        <f>IF((H$1*1)&lt;=MAX('DB Costi-Ore YtD'!$A:$A),SUMIFS('DB Costi-Ore YtD'!$F:$F,'DB Costi-Ore YtD'!$A:$A,H$1,'DB Costi-Ore YtD'!$B:$B,$A188,'DB Costi-Ore YtD'!$E:$E,$C188)-SUM($D188:G188),0)</f>
        <v>78</v>
      </c>
      <c r="I188" s="9">
        <f>IF((I$1*1)&lt;=MAX('DB Costi-Ore YtD'!$A:$A),SUMIFS('DB Costi-Ore YtD'!$F:$F,'DB Costi-Ore YtD'!$A:$A,I$1,'DB Costi-Ore YtD'!$B:$B,$A188,'DB Costi-Ore YtD'!$E:$E,$C188)-SUM($D188:H188),0)</f>
        <v>78</v>
      </c>
      <c r="J188" s="9">
        <f>IF((J$1*1)&lt;=MAX('DB Costi-Ore YtD'!$A:$A),SUMIFS('DB Costi-Ore YtD'!$F:$F,'DB Costi-Ore YtD'!$A:$A,J$1,'DB Costi-Ore YtD'!$B:$B,$A188,'DB Costi-Ore YtD'!$E:$E,$C188)-SUM($D188:I188),0)</f>
        <v>0</v>
      </c>
      <c r="K188" s="9">
        <f>IF((K$1*1)&lt;=MAX('DB Costi-Ore YtD'!$A:$A),SUMIFS('DB Costi-Ore YtD'!$F:$F,'DB Costi-Ore YtD'!$A:$A,K$1,'DB Costi-Ore YtD'!$B:$B,$A188,'DB Costi-Ore YtD'!$E:$E,$C188)-SUM($D188:J188),0)</f>
        <v>0</v>
      </c>
      <c r="L188" s="9">
        <f>IF((L$1*1)&lt;=MAX('DB Costi-Ore YtD'!$A:$A),SUMIFS('DB Costi-Ore YtD'!$F:$F,'DB Costi-Ore YtD'!$A:$A,L$1,'DB Costi-Ore YtD'!$B:$B,$A188,'DB Costi-Ore YtD'!$E:$E,$C188)-SUM($D188:K188),0)</f>
        <v>0</v>
      </c>
      <c r="M188" s="9">
        <f>IF((M$1*1)&lt;=MAX('DB Costi-Ore YtD'!$A:$A),SUMIFS('DB Costi-Ore YtD'!$F:$F,'DB Costi-Ore YtD'!$A:$A,M$1,'DB Costi-Ore YtD'!$B:$B,$A188,'DB Costi-Ore YtD'!$E:$E,$C188)-SUM($D188:L188),0)</f>
        <v>0</v>
      </c>
      <c r="N188" s="9">
        <f>IF((N$1*1)&lt;=MAX('DB Costi-Ore YtD'!$A:$A),SUMIFS('DB Costi-Ore YtD'!$F:$F,'DB Costi-Ore YtD'!$A:$A,N$1,'DB Costi-Ore YtD'!$B:$B,$A188,'DB Costi-Ore YtD'!$E:$E,$C188)-SUM($D188:M188),0)</f>
        <v>0</v>
      </c>
      <c r="O188" s="9">
        <f>IF((O$1*1)&lt;=MAX('DB Costi-Ore YtD'!$A:$A),SUMIFS('DB Costi-Ore YtD'!$F:$F,'DB Costi-Ore YtD'!$A:$A,O$1,'DB Costi-Ore YtD'!$B:$B,$A188,'DB Costi-Ore YtD'!$E:$E,$C188)-SUM($D188:N188),0)</f>
        <v>0</v>
      </c>
    </row>
    <row r="189" spans="1:15" x14ac:dyDescent="0.3">
      <c r="A189" s="9" t="s">
        <v>394</v>
      </c>
      <c r="B189" s="9" t="s">
        <v>395</v>
      </c>
      <c r="C189" s="9" t="s">
        <v>2</v>
      </c>
      <c r="D189" s="9">
        <f>IF((D$1*1)&lt;=MAX('DB Costi-Ore YtD'!$A:$A),SUMIFS('DB Costi-Ore YtD'!$F:$F,'DB Costi-Ore YtD'!$A:$A,D$1,'DB Costi-Ore YtD'!$B:$B,$A189,'DB Costi-Ore YtD'!$E:$E,$C189),0)</f>
        <v>0</v>
      </c>
      <c r="E189" s="9">
        <f>IF((E$1*1)&lt;=MAX('DB Costi-Ore YtD'!$A:$A),SUMIFS('DB Costi-Ore YtD'!$F:$F,'DB Costi-Ore YtD'!$A:$A,E$1,'DB Costi-Ore YtD'!$B:$B,$A189,'DB Costi-Ore YtD'!$E:$E,$C189)-SUM($D189:D189),0)</f>
        <v>0</v>
      </c>
      <c r="F189" s="9">
        <f>IF((F$1*1)&lt;=MAX('DB Costi-Ore YtD'!$A:$A),SUMIFS('DB Costi-Ore YtD'!$F:$F,'DB Costi-Ore YtD'!$A:$A,F$1,'DB Costi-Ore YtD'!$B:$B,$A189,'DB Costi-Ore YtD'!$E:$E,$C189)-SUM($D189:E189),0)</f>
        <v>26</v>
      </c>
      <c r="G189" s="9">
        <f>IF((G$1*1)&lt;=MAX('DB Costi-Ore YtD'!$A:$A),SUMIFS('DB Costi-Ore YtD'!$F:$F,'DB Costi-Ore YtD'!$A:$A,G$1,'DB Costi-Ore YtD'!$B:$B,$A189,'DB Costi-Ore YtD'!$E:$E,$C189)-SUM($D189:F189),0)</f>
        <v>125.75</v>
      </c>
      <c r="H189" s="9">
        <f>IF((H$1*1)&lt;=MAX('DB Costi-Ore YtD'!$A:$A),SUMIFS('DB Costi-Ore YtD'!$F:$F,'DB Costi-Ore YtD'!$A:$A,H$1,'DB Costi-Ore YtD'!$B:$B,$A189,'DB Costi-Ore YtD'!$E:$E,$C189)-SUM($D189:G189),0)</f>
        <v>152</v>
      </c>
      <c r="I189" s="9">
        <f>IF((I$1*1)&lt;=MAX('DB Costi-Ore YtD'!$A:$A),SUMIFS('DB Costi-Ore YtD'!$F:$F,'DB Costi-Ore YtD'!$A:$A,I$1,'DB Costi-Ore YtD'!$B:$B,$A189,'DB Costi-Ore YtD'!$E:$E,$C189)-SUM($D189:H189),0)</f>
        <v>150.5</v>
      </c>
      <c r="J189" s="9">
        <f>IF((J$1*1)&lt;=MAX('DB Costi-Ore YtD'!$A:$A),SUMIFS('DB Costi-Ore YtD'!$F:$F,'DB Costi-Ore YtD'!$A:$A,J$1,'DB Costi-Ore YtD'!$B:$B,$A189,'DB Costi-Ore YtD'!$E:$E,$C189)-SUM($D189:I189),0)</f>
        <v>0</v>
      </c>
      <c r="K189" s="9">
        <f>IF((K$1*1)&lt;=MAX('DB Costi-Ore YtD'!$A:$A),SUMIFS('DB Costi-Ore YtD'!$F:$F,'DB Costi-Ore YtD'!$A:$A,K$1,'DB Costi-Ore YtD'!$B:$B,$A189,'DB Costi-Ore YtD'!$E:$E,$C189)-SUM($D189:J189),0)</f>
        <v>0</v>
      </c>
      <c r="L189" s="9">
        <f>IF((L$1*1)&lt;=MAX('DB Costi-Ore YtD'!$A:$A),SUMIFS('DB Costi-Ore YtD'!$F:$F,'DB Costi-Ore YtD'!$A:$A,L$1,'DB Costi-Ore YtD'!$B:$B,$A189,'DB Costi-Ore YtD'!$E:$E,$C189)-SUM($D189:K189),0)</f>
        <v>0</v>
      </c>
      <c r="M189" s="9">
        <f>IF((M$1*1)&lt;=MAX('DB Costi-Ore YtD'!$A:$A),SUMIFS('DB Costi-Ore YtD'!$F:$F,'DB Costi-Ore YtD'!$A:$A,M$1,'DB Costi-Ore YtD'!$B:$B,$A189,'DB Costi-Ore YtD'!$E:$E,$C189)-SUM($D189:L189),0)</f>
        <v>0</v>
      </c>
      <c r="N189" s="9">
        <f>IF((N$1*1)&lt;=MAX('DB Costi-Ore YtD'!$A:$A),SUMIFS('DB Costi-Ore YtD'!$F:$F,'DB Costi-Ore YtD'!$A:$A,N$1,'DB Costi-Ore YtD'!$B:$B,$A189,'DB Costi-Ore YtD'!$E:$E,$C189)-SUM($D189:M189),0)</f>
        <v>0</v>
      </c>
      <c r="O189" s="9">
        <f>IF((O$1*1)&lt;=MAX('DB Costi-Ore YtD'!$A:$A),SUMIFS('DB Costi-Ore YtD'!$F:$F,'DB Costi-Ore YtD'!$A:$A,O$1,'DB Costi-Ore YtD'!$B:$B,$A189,'DB Costi-Ore YtD'!$E:$E,$C189)-SUM($D189:N189),0)</f>
        <v>0</v>
      </c>
    </row>
    <row r="190" spans="1:15" x14ac:dyDescent="0.3">
      <c r="A190" s="9" t="s">
        <v>396</v>
      </c>
      <c r="B190" s="9" t="s">
        <v>360</v>
      </c>
      <c r="C190" s="9" t="s">
        <v>3</v>
      </c>
      <c r="D190" s="9">
        <f>IF((D$1*1)&lt;=MAX('DB Costi-Ore YtD'!$A:$A),SUMIFS('DB Costi-Ore YtD'!$F:$F,'DB Costi-Ore YtD'!$A:$A,D$1,'DB Costi-Ore YtD'!$B:$B,$A190,'DB Costi-Ore YtD'!$E:$E,$C190),0)</f>
        <v>0</v>
      </c>
      <c r="E190" s="9">
        <f>IF((E$1*1)&lt;=MAX('DB Costi-Ore YtD'!$A:$A),SUMIFS('DB Costi-Ore YtD'!$F:$F,'DB Costi-Ore YtD'!$A:$A,E$1,'DB Costi-Ore YtD'!$B:$B,$A190,'DB Costi-Ore YtD'!$E:$E,$C190)-SUM($D190:D190),0)</f>
        <v>0</v>
      </c>
      <c r="F190" s="9">
        <f>IF((F$1*1)&lt;=MAX('DB Costi-Ore YtD'!$A:$A),SUMIFS('DB Costi-Ore YtD'!$F:$F,'DB Costi-Ore YtD'!$A:$A,F$1,'DB Costi-Ore YtD'!$B:$B,$A190,'DB Costi-Ore YtD'!$E:$E,$C190)-SUM($D190:E190),0)</f>
        <v>30</v>
      </c>
      <c r="G190" s="9">
        <f>IF((G$1*1)&lt;=MAX('DB Costi-Ore YtD'!$A:$A),SUMIFS('DB Costi-Ore YtD'!$F:$F,'DB Costi-Ore YtD'!$A:$A,G$1,'DB Costi-Ore YtD'!$B:$B,$A190,'DB Costi-Ore YtD'!$E:$E,$C190)-SUM($D190:F190),0)</f>
        <v>86.25</v>
      </c>
      <c r="H190" s="9">
        <f>IF((H$1*1)&lt;=MAX('DB Costi-Ore YtD'!$A:$A),SUMIFS('DB Costi-Ore YtD'!$F:$F,'DB Costi-Ore YtD'!$A:$A,H$1,'DB Costi-Ore YtD'!$B:$B,$A190,'DB Costi-Ore YtD'!$E:$E,$C190)-SUM($D190:G190),0)</f>
        <v>114</v>
      </c>
      <c r="I190" s="9">
        <f>IF((I$1*1)&lt;=MAX('DB Costi-Ore YtD'!$A:$A),SUMIFS('DB Costi-Ore YtD'!$F:$F,'DB Costi-Ore YtD'!$A:$A,I$1,'DB Costi-Ore YtD'!$B:$B,$A190,'DB Costi-Ore YtD'!$E:$E,$C190)-SUM($D190:H190),0)</f>
        <v>114</v>
      </c>
      <c r="J190" s="9">
        <f>IF((J$1*1)&lt;=MAX('DB Costi-Ore YtD'!$A:$A),SUMIFS('DB Costi-Ore YtD'!$F:$F,'DB Costi-Ore YtD'!$A:$A,J$1,'DB Costi-Ore YtD'!$B:$B,$A190,'DB Costi-Ore YtD'!$E:$E,$C190)-SUM($D190:I190),0)</f>
        <v>0</v>
      </c>
      <c r="K190" s="9">
        <f>IF((K$1*1)&lt;=MAX('DB Costi-Ore YtD'!$A:$A),SUMIFS('DB Costi-Ore YtD'!$F:$F,'DB Costi-Ore YtD'!$A:$A,K$1,'DB Costi-Ore YtD'!$B:$B,$A190,'DB Costi-Ore YtD'!$E:$E,$C190)-SUM($D190:J190),0)</f>
        <v>0</v>
      </c>
      <c r="L190" s="9">
        <f>IF((L$1*1)&lt;=MAX('DB Costi-Ore YtD'!$A:$A),SUMIFS('DB Costi-Ore YtD'!$F:$F,'DB Costi-Ore YtD'!$A:$A,L$1,'DB Costi-Ore YtD'!$B:$B,$A190,'DB Costi-Ore YtD'!$E:$E,$C190)-SUM($D190:K190),0)</f>
        <v>0</v>
      </c>
      <c r="M190" s="9">
        <f>IF((M$1*1)&lt;=MAX('DB Costi-Ore YtD'!$A:$A),SUMIFS('DB Costi-Ore YtD'!$F:$F,'DB Costi-Ore YtD'!$A:$A,M$1,'DB Costi-Ore YtD'!$B:$B,$A190,'DB Costi-Ore YtD'!$E:$E,$C190)-SUM($D190:L190),0)</f>
        <v>0</v>
      </c>
      <c r="N190" s="9">
        <f>IF((N$1*1)&lt;=MAX('DB Costi-Ore YtD'!$A:$A),SUMIFS('DB Costi-Ore YtD'!$F:$F,'DB Costi-Ore YtD'!$A:$A,N$1,'DB Costi-Ore YtD'!$B:$B,$A190,'DB Costi-Ore YtD'!$E:$E,$C190)-SUM($D190:M190),0)</f>
        <v>0</v>
      </c>
      <c r="O190" s="9">
        <f>IF((O$1*1)&lt;=MAX('DB Costi-Ore YtD'!$A:$A),SUMIFS('DB Costi-Ore YtD'!$F:$F,'DB Costi-Ore YtD'!$A:$A,O$1,'DB Costi-Ore YtD'!$B:$B,$A190,'DB Costi-Ore YtD'!$E:$E,$C190)-SUM($D190:N190),0)</f>
        <v>0</v>
      </c>
    </row>
    <row r="191" spans="1:15" x14ac:dyDescent="0.3">
      <c r="A191" s="9" t="s">
        <v>397</v>
      </c>
      <c r="B191" s="9" t="s">
        <v>398</v>
      </c>
      <c r="C191" s="9" t="s">
        <v>12</v>
      </c>
      <c r="D191" s="9">
        <f>IF((D$1*1)&lt;=MAX('DB Costi-Ore YtD'!$A:$A),SUMIFS('DB Costi-Ore YtD'!$F:$F,'DB Costi-Ore YtD'!$A:$A,D$1,'DB Costi-Ore YtD'!$B:$B,$A191,'DB Costi-Ore YtD'!$E:$E,$C191),0)</f>
        <v>0</v>
      </c>
      <c r="E191" s="9">
        <f>IF((E$1*1)&lt;=MAX('DB Costi-Ore YtD'!$A:$A),SUMIFS('DB Costi-Ore YtD'!$F:$F,'DB Costi-Ore YtD'!$A:$A,E$1,'DB Costi-Ore YtD'!$B:$B,$A191,'DB Costi-Ore YtD'!$E:$E,$C191)-SUM($D191:D191),0)</f>
        <v>0</v>
      </c>
      <c r="F191" s="9">
        <f>IF((F$1*1)&lt;=MAX('DB Costi-Ore YtD'!$A:$A),SUMIFS('DB Costi-Ore YtD'!$F:$F,'DB Costi-Ore YtD'!$A:$A,F$1,'DB Costi-Ore YtD'!$B:$B,$A191,'DB Costi-Ore YtD'!$E:$E,$C191)-SUM($D191:E191),0)</f>
        <v>0</v>
      </c>
      <c r="G191" s="9">
        <f>IF((G$1*1)&lt;=MAX('DB Costi-Ore YtD'!$A:$A),SUMIFS('DB Costi-Ore YtD'!$F:$F,'DB Costi-Ore YtD'!$A:$A,G$1,'DB Costi-Ore YtD'!$B:$B,$A191,'DB Costi-Ore YtD'!$E:$E,$C191)-SUM($D191:F191),0)</f>
        <v>0</v>
      </c>
      <c r="H191" s="9">
        <f>IF((H$1*1)&lt;=MAX('DB Costi-Ore YtD'!$A:$A),SUMIFS('DB Costi-Ore YtD'!$F:$F,'DB Costi-Ore YtD'!$A:$A,H$1,'DB Costi-Ore YtD'!$B:$B,$A191,'DB Costi-Ore YtD'!$E:$E,$C191)-SUM($D191:G191),0)</f>
        <v>0</v>
      </c>
      <c r="I191" s="9">
        <f>IF((I$1*1)&lt;=MAX('DB Costi-Ore YtD'!$A:$A),SUMIFS('DB Costi-Ore YtD'!$F:$F,'DB Costi-Ore YtD'!$A:$A,I$1,'DB Costi-Ore YtD'!$B:$B,$A191,'DB Costi-Ore YtD'!$E:$E,$C191)-SUM($D191:H191),0)</f>
        <v>0</v>
      </c>
      <c r="J191" s="9">
        <f>IF((J$1*1)&lt;=MAX('DB Costi-Ore YtD'!$A:$A),SUMIFS('DB Costi-Ore YtD'!$F:$F,'DB Costi-Ore YtD'!$A:$A,J$1,'DB Costi-Ore YtD'!$B:$B,$A191,'DB Costi-Ore YtD'!$E:$E,$C191)-SUM($D191:I191),0)</f>
        <v>0</v>
      </c>
      <c r="K191" s="9">
        <f>IF((K$1*1)&lt;=MAX('DB Costi-Ore YtD'!$A:$A),SUMIFS('DB Costi-Ore YtD'!$F:$F,'DB Costi-Ore YtD'!$A:$A,K$1,'DB Costi-Ore YtD'!$B:$B,$A191,'DB Costi-Ore YtD'!$E:$E,$C191)-SUM($D191:J191),0)</f>
        <v>0</v>
      </c>
      <c r="L191" s="9">
        <f>IF((L$1*1)&lt;=MAX('DB Costi-Ore YtD'!$A:$A),SUMIFS('DB Costi-Ore YtD'!$F:$F,'DB Costi-Ore YtD'!$A:$A,L$1,'DB Costi-Ore YtD'!$B:$B,$A191,'DB Costi-Ore YtD'!$E:$E,$C191)-SUM($D191:K191),0)</f>
        <v>0</v>
      </c>
      <c r="M191" s="9">
        <f>IF((M$1*1)&lt;=MAX('DB Costi-Ore YtD'!$A:$A),SUMIFS('DB Costi-Ore YtD'!$F:$F,'DB Costi-Ore YtD'!$A:$A,M$1,'DB Costi-Ore YtD'!$B:$B,$A191,'DB Costi-Ore YtD'!$E:$E,$C191)-SUM($D191:L191),0)</f>
        <v>0</v>
      </c>
      <c r="N191" s="9">
        <f>IF((N$1*1)&lt;=MAX('DB Costi-Ore YtD'!$A:$A),SUMIFS('DB Costi-Ore YtD'!$F:$F,'DB Costi-Ore YtD'!$A:$A,N$1,'DB Costi-Ore YtD'!$B:$B,$A191,'DB Costi-Ore YtD'!$E:$E,$C191)-SUM($D191:M191),0)</f>
        <v>0</v>
      </c>
      <c r="O191" s="9">
        <f>IF((O$1*1)&lt;=MAX('DB Costi-Ore YtD'!$A:$A),SUMIFS('DB Costi-Ore YtD'!$F:$F,'DB Costi-Ore YtD'!$A:$A,O$1,'DB Costi-Ore YtD'!$B:$B,$A191,'DB Costi-Ore YtD'!$E:$E,$C191)-SUM($D191:N191),0)</f>
        <v>0</v>
      </c>
    </row>
    <row r="192" spans="1:15" x14ac:dyDescent="0.3">
      <c r="A192" t="s">
        <v>399</v>
      </c>
      <c r="B192" t="s">
        <v>400</v>
      </c>
      <c r="C192" t="s">
        <v>12</v>
      </c>
      <c r="D192">
        <f>IF((D$1*1)&lt;=MAX('DB Costi-Ore YtD'!$A:$A),SUMIFS('DB Costi-Ore YtD'!$F:$F,'DB Costi-Ore YtD'!$A:$A,D$1,'DB Costi-Ore YtD'!$B:$B,$A192,'DB Costi-Ore YtD'!$E:$E,$C192),0)</f>
        <v>0</v>
      </c>
      <c r="E192">
        <f>IF((E$1*1)&lt;=MAX('DB Costi-Ore YtD'!$A:$A),SUMIFS('DB Costi-Ore YtD'!$F:$F,'DB Costi-Ore YtD'!$A:$A,E$1,'DB Costi-Ore YtD'!$B:$B,$A192,'DB Costi-Ore YtD'!$E:$E,$C192)-SUM($D192:D192),0)</f>
        <v>0</v>
      </c>
      <c r="F192">
        <f>IF((F$1*1)&lt;=MAX('DB Costi-Ore YtD'!$A:$A),SUMIFS('DB Costi-Ore YtD'!$F:$F,'DB Costi-Ore YtD'!$A:$A,F$1,'DB Costi-Ore YtD'!$B:$B,$A192,'DB Costi-Ore YtD'!$E:$E,$C192)-SUM($D192:E192),0)</f>
        <v>0</v>
      </c>
      <c r="G192">
        <f>IF((G$1*1)&lt;=MAX('DB Costi-Ore YtD'!$A:$A),SUMIFS('DB Costi-Ore YtD'!$F:$F,'DB Costi-Ore YtD'!$A:$A,G$1,'DB Costi-Ore YtD'!$B:$B,$A192,'DB Costi-Ore YtD'!$E:$E,$C192)-SUM($D192:F192),0)</f>
        <v>114.5</v>
      </c>
      <c r="H192">
        <f>IF((H$1*1)&lt;=MAX('DB Costi-Ore YtD'!$A:$A),SUMIFS('DB Costi-Ore YtD'!$F:$F,'DB Costi-Ore YtD'!$A:$A,H$1,'DB Costi-Ore YtD'!$B:$B,$A192,'DB Costi-Ore YtD'!$E:$E,$C192)-SUM($D192:G192),0)</f>
        <v>138</v>
      </c>
      <c r="I192">
        <f>IF((I$1*1)&lt;=MAX('DB Costi-Ore YtD'!$A:$A),SUMIFS('DB Costi-Ore YtD'!$F:$F,'DB Costi-Ore YtD'!$A:$A,I$1,'DB Costi-Ore YtD'!$B:$B,$A192,'DB Costi-Ore YtD'!$E:$E,$C192)-SUM($D192:H192),0)</f>
        <v>151.75</v>
      </c>
      <c r="J192">
        <f>IF((J$1*1)&lt;=MAX('DB Costi-Ore YtD'!$A:$A),SUMIFS('DB Costi-Ore YtD'!$F:$F,'DB Costi-Ore YtD'!$A:$A,J$1,'DB Costi-Ore YtD'!$B:$B,$A192,'DB Costi-Ore YtD'!$E:$E,$C192)-SUM($D192:I192),0)</f>
        <v>0</v>
      </c>
      <c r="K192">
        <f>IF((K$1*1)&lt;=MAX('DB Costi-Ore YtD'!$A:$A),SUMIFS('DB Costi-Ore YtD'!$F:$F,'DB Costi-Ore YtD'!$A:$A,K$1,'DB Costi-Ore YtD'!$B:$B,$A192,'DB Costi-Ore YtD'!$E:$E,$C192)-SUM($D192:J192),0)</f>
        <v>0</v>
      </c>
      <c r="L192">
        <f>IF((L$1*1)&lt;=MAX('DB Costi-Ore YtD'!$A:$A),SUMIFS('DB Costi-Ore YtD'!$F:$F,'DB Costi-Ore YtD'!$A:$A,L$1,'DB Costi-Ore YtD'!$B:$B,$A192,'DB Costi-Ore YtD'!$E:$E,$C192)-SUM($D192:K192),0)</f>
        <v>0</v>
      </c>
      <c r="M192">
        <f>IF((M$1*1)&lt;=MAX('DB Costi-Ore YtD'!$A:$A),SUMIFS('DB Costi-Ore YtD'!$F:$F,'DB Costi-Ore YtD'!$A:$A,M$1,'DB Costi-Ore YtD'!$B:$B,$A192,'DB Costi-Ore YtD'!$E:$E,$C192)-SUM($D192:L192),0)</f>
        <v>0</v>
      </c>
      <c r="N192">
        <f>IF((N$1*1)&lt;=MAX('DB Costi-Ore YtD'!$A:$A),SUMIFS('DB Costi-Ore YtD'!$F:$F,'DB Costi-Ore YtD'!$A:$A,N$1,'DB Costi-Ore YtD'!$B:$B,$A192,'DB Costi-Ore YtD'!$E:$E,$C192)-SUM($D192:M192),0)</f>
        <v>0</v>
      </c>
      <c r="O192">
        <f>IF((O$1*1)&lt;=MAX('DB Costi-Ore YtD'!$A:$A),SUMIFS('DB Costi-Ore YtD'!$F:$F,'DB Costi-Ore YtD'!$A:$A,O$1,'DB Costi-Ore YtD'!$B:$B,$A192,'DB Costi-Ore YtD'!$E:$E,$C192)-SUM($D192:N192),0)</f>
        <v>0</v>
      </c>
    </row>
    <row r="193" spans="1:15" x14ac:dyDescent="0.3">
      <c r="A193" t="s">
        <v>401</v>
      </c>
      <c r="B193" t="s">
        <v>345</v>
      </c>
      <c r="C193" t="s">
        <v>5</v>
      </c>
      <c r="D193">
        <f>IF((D$1*1)&lt;=MAX('DB Costi-Ore YtD'!$A:$A),SUMIFS('DB Costi-Ore YtD'!$F:$F,'DB Costi-Ore YtD'!$A:$A,D$1,'DB Costi-Ore YtD'!$B:$B,$A193,'DB Costi-Ore YtD'!$E:$E,$C193),0)</f>
        <v>0</v>
      </c>
      <c r="E193">
        <f>IF((E$1*1)&lt;=MAX('DB Costi-Ore YtD'!$A:$A),SUMIFS('DB Costi-Ore YtD'!$F:$F,'DB Costi-Ore YtD'!$A:$A,E$1,'DB Costi-Ore YtD'!$B:$B,$A193,'DB Costi-Ore YtD'!$E:$E,$C193)-SUM($D193:D193),0)</f>
        <v>0</v>
      </c>
      <c r="F193">
        <f>IF((F$1*1)&lt;=MAX('DB Costi-Ore YtD'!$A:$A),SUMIFS('DB Costi-Ore YtD'!$F:$F,'DB Costi-Ore YtD'!$A:$A,F$1,'DB Costi-Ore YtD'!$B:$B,$A193,'DB Costi-Ore YtD'!$E:$E,$C193)-SUM($D193:E193),0)</f>
        <v>0</v>
      </c>
      <c r="G193">
        <f>IF((G$1*1)&lt;=MAX('DB Costi-Ore YtD'!$A:$A),SUMIFS('DB Costi-Ore YtD'!$F:$F,'DB Costi-Ore YtD'!$A:$A,G$1,'DB Costi-Ore YtD'!$B:$B,$A193,'DB Costi-Ore YtD'!$E:$E,$C193)-SUM($D193:F193),0)</f>
        <v>69.5</v>
      </c>
      <c r="H193">
        <f>IF((H$1*1)&lt;=MAX('DB Costi-Ore YtD'!$A:$A),SUMIFS('DB Costi-Ore YtD'!$F:$F,'DB Costi-Ore YtD'!$A:$A,H$1,'DB Costi-Ore YtD'!$B:$B,$A193,'DB Costi-Ore YtD'!$E:$E,$C193)-SUM($D193:G193),0)</f>
        <v>0</v>
      </c>
      <c r="I193">
        <f>IF((I$1*1)&lt;=MAX('DB Costi-Ore YtD'!$A:$A),SUMIFS('DB Costi-Ore YtD'!$F:$F,'DB Costi-Ore YtD'!$A:$A,I$1,'DB Costi-Ore YtD'!$B:$B,$A193,'DB Costi-Ore YtD'!$E:$E,$C193)-SUM($D193:H193),0)</f>
        <v>0</v>
      </c>
      <c r="J193">
        <f>IF((J$1*1)&lt;=MAX('DB Costi-Ore YtD'!$A:$A),SUMIFS('DB Costi-Ore YtD'!$F:$F,'DB Costi-Ore YtD'!$A:$A,J$1,'DB Costi-Ore YtD'!$B:$B,$A193,'DB Costi-Ore YtD'!$E:$E,$C193)-SUM($D193:I193),0)</f>
        <v>0</v>
      </c>
      <c r="K193">
        <f>IF((K$1*1)&lt;=MAX('DB Costi-Ore YtD'!$A:$A),SUMIFS('DB Costi-Ore YtD'!$F:$F,'DB Costi-Ore YtD'!$A:$A,K$1,'DB Costi-Ore YtD'!$B:$B,$A193,'DB Costi-Ore YtD'!$E:$E,$C193)-SUM($D193:J193),0)</f>
        <v>0</v>
      </c>
      <c r="L193">
        <f>IF((L$1*1)&lt;=MAX('DB Costi-Ore YtD'!$A:$A),SUMIFS('DB Costi-Ore YtD'!$F:$F,'DB Costi-Ore YtD'!$A:$A,L$1,'DB Costi-Ore YtD'!$B:$B,$A193,'DB Costi-Ore YtD'!$E:$E,$C193)-SUM($D193:K193),0)</f>
        <v>0</v>
      </c>
      <c r="M193">
        <f>IF((M$1*1)&lt;=MAX('DB Costi-Ore YtD'!$A:$A),SUMIFS('DB Costi-Ore YtD'!$F:$F,'DB Costi-Ore YtD'!$A:$A,M$1,'DB Costi-Ore YtD'!$B:$B,$A193,'DB Costi-Ore YtD'!$E:$E,$C193)-SUM($D193:L193),0)</f>
        <v>0</v>
      </c>
      <c r="N193">
        <f>IF((N$1*1)&lt;=MAX('DB Costi-Ore YtD'!$A:$A),SUMIFS('DB Costi-Ore YtD'!$F:$F,'DB Costi-Ore YtD'!$A:$A,N$1,'DB Costi-Ore YtD'!$B:$B,$A193,'DB Costi-Ore YtD'!$E:$E,$C193)-SUM($D193:M193),0)</f>
        <v>0</v>
      </c>
      <c r="O193">
        <f>IF((O$1*1)&lt;=MAX('DB Costi-Ore YtD'!$A:$A),SUMIFS('DB Costi-Ore YtD'!$F:$F,'DB Costi-Ore YtD'!$A:$A,O$1,'DB Costi-Ore YtD'!$B:$B,$A193,'DB Costi-Ore YtD'!$E:$E,$C193)-SUM($D193:N193),0)</f>
        <v>0</v>
      </c>
    </row>
    <row r="194" spans="1:15" x14ac:dyDescent="0.3">
      <c r="A194" t="s">
        <v>402</v>
      </c>
      <c r="B194" t="s">
        <v>347</v>
      </c>
      <c r="C194" t="s">
        <v>5</v>
      </c>
      <c r="D194">
        <f>IF((D$1*1)&lt;=MAX('DB Costi-Ore YtD'!$A:$A),SUMIFS('DB Costi-Ore YtD'!$F:$F,'DB Costi-Ore YtD'!$A:$A,D$1,'DB Costi-Ore YtD'!$B:$B,$A194,'DB Costi-Ore YtD'!$E:$E,$C194),0)</f>
        <v>0</v>
      </c>
      <c r="E194">
        <f>IF((E$1*1)&lt;=MAX('DB Costi-Ore YtD'!$A:$A),SUMIFS('DB Costi-Ore YtD'!$F:$F,'DB Costi-Ore YtD'!$A:$A,E$1,'DB Costi-Ore YtD'!$B:$B,$A194,'DB Costi-Ore YtD'!$E:$E,$C194)-SUM($D194:D194),0)</f>
        <v>0</v>
      </c>
      <c r="F194">
        <f>IF((F$1*1)&lt;=MAX('DB Costi-Ore YtD'!$A:$A),SUMIFS('DB Costi-Ore YtD'!$F:$F,'DB Costi-Ore YtD'!$A:$A,F$1,'DB Costi-Ore YtD'!$B:$B,$A194,'DB Costi-Ore YtD'!$E:$E,$C194)-SUM($D194:E194),0)</f>
        <v>0</v>
      </c>
      <c r="G194">
        <f>IF((G$1*1)&lt;=MAX('DB Costi-Ore YtD'!$A:$A),SUMIFS('DB Costi-Ore YtD'!$F:$F,'DB Costi-Ore YtD'!$A:$A,G$1,'DB Costi-Ore YtD'!$B:$B,$A194,'DB Costi-Ore YtD'!$E:$E,$C194)-SUM($D194:F194),0)</f>
        <v>131.5</v>
      </c>
      <c r="H194">
        <f>IF((H$1*1)&lt;=MAX('DB Costi-Ore YtD'!$A:$A),SUMIFS('DB Costi-Ore YtD'!$F:$F,'DB Costi-Ore YtD'!$A:$A,H$1,'DB Costi-Ore YtD'!$B:$B,$A194,'DB Costi-Ore YtD'!$E:$E,$C194)-SUM($D194:G194),0)</f>
        <v>137</v>
      </c>
      <c r="I194">
        <f>IF((I$1*1)&lt;=MAX('DB Costi-Ore YtD'!$A:$A),SUMIFS('DB Costi-Ore YtD'!$F:$F,'DB Costi-Ore YtD'!$A:$A,I$1,'DB Costi-Ore YtD'!$B:$B,$A194,'DB Costi-Ore YtD'!$E:$E,$C194)-SUM($D194:H194),0)</f>
        <v>130.25</v>
      </c>
      <c r="J194">
        <f>IF((J$1*1)&lt;=MAX('DB Costi-Ore YtD'!$A:$A),SUMIFS('DB Costi-Ore YtD'!$F:$F,'DB Costi-Ore YtD'!$A:$A,J$1,'DB Costi-Ore YtD'!$B:$B,$A194,'DB Costi-Ore YtD'!$E:$E,$C194)-SUM($D194:I194),0)</f>
        <v>0</v>
      </c>
      <c r="K194">
        <f>IF((K$1*1)&lt;=MAX('DB Costi-Ore YtD'!$A:$A),SUMIFS('DB Costi-Ore YtD'!$F:$F,'DB Costi-Ore YtD'!$A:$A,K$1,'DB Costi-Ore YtD'!$B:$B,$A194,'DB Costi-Ore YtD'!$E:$E,$C194)-SUM($D194:J194),0)</f>
        <v>0</v>
      </c>
      <c r="L194">
        <f>IF((L$1*1)&lt;=MAX('DB Costi-Ore YtD'!$A:$A),SUMIFS('DB Costi-Ore YtD'!$F:$F,'DB Costi-Ore YtD'!$A:$A,L$1,'DB Costi-Ore YtD'!$B:$B,$A194,'DB Costi-Ore YtD'!$E:$E,$C194)-SUM($D194:K194),0)</f>
        <v>0</v>
      </c>
      <c r="M194">
        <f>IF((M$1*1)&lt;=MAX('DB Costi-Ore YtD'!$A:$A),SUMIFS('DB Costi-Ore YtD'!$F:$F,'DB Costi-Ore YtD'!$A:$A,M$1,'DB Costi-Ore YtD'!$B:$B,$A194,'DB Costi-Ore YtD'!$E:$E,$C194)-SUM($D194:L194),0)</f>
        <v>0</v>
      </c>
      <c r="N194">
        <f>IF((N$1*1)&lt;=MAX('DB Costi-Ore YtD'!$A:$A),SUMIFS('DB Costi-Ore YtD'!$F:$F,'DB Costi-Ore YtD'!$A:$A,N$1,'DB Costi-Ore YtD'!$B:$B,$A194,'DB Costi-Ore YtD'!$E:$E,$C194)-SUM($D194:M194),0)</f>
        <v>0</v>
      </c>
      <c r="O194">
        <f>IF((O$1*1)&lt;=MAX('DB Costi-Ore YtD'!$A:$A),SUMIFS('DB Costi-Ore YtD'!$F:$F,'DB Costi-Ore YtD'!$A:$A,O$1,'DB Costi-Ore YtD'!$B:$B,$A194,'DB Costi-Ore YtD'!$E:$E,$C194)-SUM($D194:N194),0)</f>
        <v>0</v>
      </c>
    </row>
    <row r="195" spans="1:15" x14ac:dyDescent="0.3">
      <c r="A195" t="s">
        <v>403</v>
      </c>
      <c r="B195" t="s">
        <v>404</v>
      </c>
      <c r="C195" t="s">
        <v>3</v>
      </c>
      <c r="D195">
        <f>IF((D$1*1)&lt;=MAX('DB Costi-Ore YtD'!$A:$A),SUMIFS('DB Costi-Ore YtD'!$F:$F,'DB Costi-Ore YtD'!$A:$A,D$1,'DB Costi-Ore YtD'!$B:$B,$A195,'DB Costi-Ore YtD'!$E:$E,$C195),0)</f>
        <v>0</v>
      </c>
      <c r="E195">
        <f>IF((E$1*1)&lt;=MAX('DB Costi-Ore YtD'!$A:$A),SUMIFS('DB Costi-Ore YtD'!$F:$F,'DB Costi-Ore YtD'!$A:$A,E$1,'DB Costi-Ore YtD'!$B:$B,$A195,'DB Costi-Ore YtD'!$E:$E,$C195)-SUM($D195:D195),0)</f>
        <v>0</v>
      </c>
      <c r="F195">
        <f>IF((F$1*1)&lt;=MAX('DB Costi-Ore YtD'!$A:$A),SUMIFS('DB Costi-Ore YtD'!$F:$F,'DB Costi-Ore YtD'!$A:$A,F$1,'DB Costi-Ore YtD'!$B:$B,$A195,'DB Costi-Ore YtD'!$E:$E,$C195)-SUM($D195:E195),0)</f>
        <v>0</v>
      </c>
      <c r="G195">
        <f>IF((G$1*1)&lt;=MAX('DB Costi-Ore YtD'!$A:$A),SUMIFS('DB Costi-Ore YtD'!$F:$F,'DB Costi-Ore YtD'!$A:$A,G$1,'DB Costi-Ore YtD'!$B:$B,$A195,'DB Costi-Ore YtD'!$E:$E,$C195)-SUM($D195:F195),0)</f>
        <v>0</v>
      </c>
      <c r="H195">
        <f>IF((H$1*1)&lt;=MAX('DB Costi-Ore YtD'!$A:$A),SUMIFS('DB Costi-Ore YtD'!$F:$F,'DB Costi-Ore YtD'!$A:$A,H$1,'DB Costi-Ore YtD'!$B:$B,$A195,'DB Costi-Ore YtD'!$E:$E,$C195)-SUM($D195:G195),0)</f>
        <v>0</v>
      </c>
      <c r="I195">
        <f>IF((I$1*1)&lt;=MAX('DB Costi-Ore YtD'!$A:$A),SUMIFS('DB Costi-Ore YtD'!$F:$F,'DB Costi-Ore YtD'!$A:$A,I$1,'DB Costi-Ore YtD'!$B:$B,$A195,'DB Costi-Ore YtD'!$E:$E,$C195)-SUM($D195:H195),0)</f>
        <v>0</v>
      </c>
      <c r="J195">
        <f>IF((J$1*1)&lt;=MAX('DB Costi-Ore YtD'!$A:$A),SUMIFS('DB Costi-Ore YtD'!$F:$F,'DB Costi-Ore YtD'!$A:$A,J$1,'DB Costi-Ore YtD'!$B:$B,$A195,'DB Costi-Ore YtD'!$E:$E,$C195)-SUM($D195:I195),0)</f>
        <v>0</v>
      </c>
      <c r="K195">
        <f>IF((K$1*1)&lt;=MAX('DB Costi-Ore YtD'!$A:$A),SUMIFS('DB Costi-Ore YtD'!$F:$F,'DB Costi-Ore YtD'!$A:$A,K$1,'DB Costi-Ore YtD'!$B:$B,$A195,'DB Costi-Ore YtD'!$E:$E,$C195)-SUM($D195:J195),0)</f>
        <v>0</v>
      </c>
      <c r="L195">
        <f>IF((L$1*1)&lt;=MAX('DB Costi-Ore YtD'!$A:$A),SUMIFS('DB Costi-Ore YtD'!$F:$F,'DB Costi-Ore YtD'!$A:$A,L$1,'DB Costi-Ore YtD'!$B:$B,$A195,'DB Costi-Ore YtD'!$E:$E,$C195)-SUM($D195:K195),0)</f>
        <v>0</v>
      </c>
      <c r="M195">
        <f>IF((M$1*1)&lt;=MAX('DB Costi-Ore YtD'!$A:$A),SUMIFS('DB Costi-Ore YtD'!$F:$F,'DB Costi-Ore YtD'!$A:$A,M$1,'DB Costi-Ore YtD'!$B:$B,$A195,'DB Costi-Ore YtD'!$E:$E,$C195)-SUM($D195:L195),0)</f>
        <v>0</v>
      </c>
      <c r="N195">
        <f>IF((N$1*1)&lt;=MAX('DB Costi-Ore YtD'!$A:$A),SUMIFS('DB Costi-Ore YtD'!$F:$F,'DB Costi-Ore YtD'!$A:$A,N$1,'DB Costi-Ore YtD'!$B:$B,$A195,'DB Costi-Ore YtD'!$E:$E,$C195)-SUM($D195:M195),0)</f>
        <v>0</v>
      </c>
      <c r="O195">
        <f>IF((O$1*1)&lt;=MAX('DB Costi-Ore YtD'!$A:$A),SUMIFS('DB Costi-Ore YtD'!$F:$F,'DB Costi-Ore YtD'!$A:$A,O$1,'DB Costi-Ore YtD'!$B:$B,$A195,'DB Costi-Ore YtD'!$E:$E,$C195)-SUM($D195:N195),0)</f>
        <v>0</v>
      </c>
    </row>
    <row r="196" spans="1:15" x14ac:dyDescent="0.3">
      <c r="A196" t="s">
        <v>405</v>
      </c>
      <c r="B196" t="s">
        <v>406</v>
      </c>
      <c r="C196" t="s">
        <v>5</v>
      </c>
      <c r="D196">
        <f>IF((D$1*1)&lt;=MAX('DB Costi-Ore YtD'!$A:$A),SUMIFS('DB Costi-Ore YtD'!$F:$F,'DB Costi-Ore YtD'!$A:$A,D$1,'DB Costi-Ore YtD'!$B:$B,$A196,'DB Costi-Ore YtD'!$E:$E,$C196),0)</f>
        <v>0</v>
      </c>
      <c r="E196">
        <f>IF((E$1*1)&lt;=MAX('DB Costi-Ore YtD'!$A:$A),SUMIFS('DB Costi-Ore YtD'!$F:$F,'DB Costi-Ore YtD'!$A:$A,E$1,'DB Costi-Ore YtD'!$B:$B,$A196,'DB Costi-Ore YtD'!$E:$E,$C196)-SUM($D196:D196),0)</f>
        <v>0</v>
      </c>
      <c r="F196">
        <f>IF((F$1*1)&lt;=MAX('DB Costi-Ore YtD'!$A:$A),SUMIFS('DB Costi-Ore YtD'!$F:$F,'DB Costi-Ore YtD'!$A:$A,F$1,'DB Costi-Ore YtD'!$B:$B,$A196,'DB Costi-Ore YtD'!$E:$E,$C196)-SUM($D196:E196),0)</f>
        <v>0</v>
      </c>
      <c r="G196">
        <f>IF((G$1*1)&lt;=MAX('DB Costi-Ore YtD'!$A:$A),SUMIFS('DB Costi-Ore YtD'!$F:$F,'DB Costi-Ore YtD'!$A:$A,G$1,'DB Costi-Ore YtD'!$B:$B,$A196,'DB Costi-Ore YtD'!$E:$E,$C196)-SUM($D196:F196),0)</f>
        <v>0</v>
      </c>
      <c r="H196">
        <f>IF((H$1*1)&lt;=MAX('DB Costi-Ore YtD'!$A:$A),SUMIFS('DB Costi-Ore YtD'!$F:$F,'DB Costi-Ore YtD'!$A:$A,H$1,'DB Costi-Ore YtD'!$B:$B,$A196,'DB Costi-Ore YtD'!$E:$E,$C196)-SUM($D196:G196),0)</f>
        <v>0</v>
      </c>
      <c r="I196">
        <f>IF((I$1*1)&lt;=MAX('DB Costi-Ore YtD'!$A:$A),SUMIFS('DB Costi-Ore YtD'!$F:$F,'DB Costi-Ore YtD'!$A:$A,I$1,'DB Costi-Ore YtD'!$B:$B,$A196,'DB Costi-Ore YtD'!$E:$E,$C196)-SUM($D196:H196),0)</f>
        <v>0</v>
      </c>
      <c r="J196">
        <f>IF((J$1*1)&lt;=MAX('DB Costi-Ore YtD'!$A:$A),SUMIFS('DB Costi-Ore YtD'!$F:$F,'DB Costi-Ore YtD'!$A:$A,J$1,'DB Costi-Ore YtD'!$B:$B,$A196,'DB Costi-Ore YtD'!$E:$E,$C196)-SUM($D196:I196),0)</f>
        <v>0</v>
      </c>
      <c r="K196">
        <f>IF((K$1*1)&lt;=MAX('DB Costi-Ore YtD'!$A:$A),SUMIFS('DB Costi-Ore YtD'!$F:$F,'DB Costi-Ore YtD'!$A:$A,K$1,'DB Costi-Ore YtD'!$B:$B,$A196,'DB Costi-Ore YtD'!$E:$E,$C196)-SUM($D196:J196),0)</f>
        <v>0</v>
      </c>
      <c r="L196">
        <f>IF((L$1*1)&lt;=MAX('DB Costi-Ore YtD'!$A:$A),SUMIFS('DB Costi-Ore YtD'!$F:$F,'DB Costi-Ore YtD'!$A:$A,L$1,'DB Costi-Ore YtD'!$B:$B,$A196,'DB Costi-Ore YtD'!$E:$E,$C196)-SUM($D196:K196),0)</f>
        <v>0</v>
      </c>
      <c r="M196">
        <f>IF((M$1*1)&lt;=MAX('DB Costi-Ore YtD'!$A:$A),SUMIFS('DB Costi-Ore YtD'!$F:$F,'DB Costi-Ore YtD'!$A:$A,M$1,'DB Costi-Ore YtD'!$B:$B,$A196,'DB Costi-Ore YtD'!$E:$E,$C196)-SUM($D196:L196),0)</f>
        <v>0</v>
      </c>
      <c r="N196">
        <f>IF((N$1*1)&lt;=MAX('DB Costi-Ore YtD'!$A:$A),SUMIFS('DB Costi-Ore YtD'!$F:$F,'DB Costi-Ore YtD'!$A:$A,N$1,'DB Costi-Ore YtD'!$B:$B,$A196,'DB Costi-Ore YtD'!$E:$E,$C196)-SUM($D196:M196),0)</f>
        <v>0</v>
      </c>
      <c r="O196">
        <f>IF((O$1*1)&lt;=MAX('DB Costi-Ore YtD'!$A:$A),SUMIFS('DB Costi-Ore YtD'!$F:$F,'DB Costi-Ore YtD'!$A:$A,O$1,'DB Costi-Ore YtD'!$B:$B,$A196,'DB Costi-Ore YtD'!$E:$E,$C196)-SUM($D196:N196),0)</f>
        <v>0</v>
      </c>
    </row>
    <row r="197" spans="1:15" x14ac:dyDescent="0.3">
      <c r="A197" t="s">
        <v>407</v>
      </c>
      <c r="B197" t="s">
        <v>408</v>
      </c>
      <c r="C197" t="s">
        <v>5</v>
      </c>
      <c r="D197">
        <f>IF((D$1*1)&lt;=MAX('DB Costi-Ore YtD'!$A:$A),SUMIFS('DB Costi-Ore YtD'!$F:$F,'DB Costi-Ore YtD'!$A:$A,D$1,'DB Costi-Ore YtD'!$B:$B,$A197,'DB Costi-Ore YtD'!$E:$E,$C197),0)</f>
        <v>0</v>
      </c>
      <c r="E197">
        <f>IF((E$1*1)&lt;=MAX('DB Costi-Ore YtD'!$A:$A),SUMIFS('DB Costi-Ore YtD'!$F:$F,'DB Costi-Ore YtD'!$A:$A,E$1,'DB Costi-Ore YtD'!$B:$B,$A197,'DB Costi-Ore YtD'!$E:$E,$C197)-SUM($D197:D197),0)</f>
        <v>0</v>
      </c>
      <c r="F197">
        <f>IF((F$1*1)&lt;=MAX('DB Costi-Ore YtD'!$A:$A),SUMIFS('DB Costi-Ore YtD'!$F:$F,'DB Costi-Ore YtD'!$A:$A,F$1,'DB Costi-Ore YtD'!$B:$B,$A197,'DB Costi-Ore YtD'!$E:$E,$C197)-SUM($D197:E197),0)</f>
        <v>0</v>
      </c>
      <c r="G197">
        <f>IF((G$1*1)&lt;=MAX('DB Costi-Ore YtD'!$A:$A),SUMIFS('DB Costi-Ore YtD'!$F:$F,'DB Costi-Ore YtD'!$A:$A,G$1,'DB Costi-Ore YtD'!$B:$B,$A197,'DB Costi-Ore YtD'!$E:$E,$C197)-SUM($D197:F197),0)</f>
        <v>0</v>
      </c>
      <c r="H197">
        <f>IF((H$1*1)&lt;=MAX('DB Costi-Ore YtD'!$A:$A),SUMIFS('DB Costi-Ore YtD'!$F:$F,'DB Costi-Ore YtD'!$A:$A,H$1,'DB Costi-Ore YtD'!$B:$B,$A197,'DB Costi-Ore YtD'!$E:$E,$C197)-SUM($D197:G197),0)</f>
        <v>0</v>
      </c>
      <c r="I197">
        <f>IF((I$1*1)&lt;=MAX('DB Costi-Ore YtD'!$A:$A),SUMIFS('DB Costi-Ore YtD'!$F:$F,'DB Costi-Ore YtD'!$A:$A,I$1,'DB Costi-Ore YtD'!$B:$B,$A197,'DB Costi-Ore YtD'!$E:$E,$C197)-SUM($D197:H197),0)</f>
        <v>0</v>
      </c>
      <c r="J197">
        <f>IF((J$1*1)&lt;=MAX('DB Costi-Ore YtD'!$A:$A),SUMIFS('DB Costi-Ore YtD'!$F:$F,'DB Costi-Ore YtD'!$A:$A,J$1,'DB Costi-Ore YtD'!$B:$B,$A197,'DB Costi-Ore YtD'!$E:$E,$C197)-SUM($D197:I197),0)</f>
        <v>0</v>
      </c>
      <c r="K197">
        <f>IF((K$1*1)&lt;=MAX('DB Costi-Ore YtD'!$A:$A),SUMIFS('DB Costi-Ore YtD'!$F:$F,'DB Costi-Ore YtD'!$A:$A,K$1,'DB Costi-Ore YtD'!$B:$B,$A197,'DB Costi-Ore YtD'!$E:$E,$C197)-SUM($D197:J197),0)</f>
        <v>0</v>
      </c>
      <c r="L197">
        <f>IF((L$1*1)&lt;=MAX('DB Costi-Ore YtD'!$A:$A),SUMIFS('DB Costi-Ore YtD'!$F:$F,'DB Costi-Ore YtD'!$A:$A,L$1,'DB Costi-Ore YtD'!$B:$B,$A197,'DB Costi-Ore YtD'!$E:$E,$C197)-SUM($D197:K197),0)</f>
        <v>0</v>
      </c>
      <c r="M197">
        <f>IF((M$1*1)&lt;=MAX('DB Costi-Ore YtD'!$A:$A),SUMIFS('DB Costi-Ore YtD'!$F:$F,'DB Costi-Ore YtD'!$A:$A,M$1,'DB Costi-Ore YtD'!$B:$B,$A197,'DB Costi-Ore YtD'!$E:$E,$C197)-SUM($D197:L197),0)</f>
        <v>0</v>
      </c>
      <c r="N197">
        <f>IF((N$1*1)&lt;=MAX('DB Costi-Ore YtD'!$A:$A),SUMIFS('DB Costi-Ore YtD'!$F:$F,'DB Costi-Ore YtD'!$A:$A,N$1,'DB Costi-Ore YtD'!$B:$B,$A197,'DB Costi-Ore YtD'!$E:$E,$C197)-SUM($D197:M197),0)</f>
        <v>0</v>
      </c>
      <c r="O197">
        <f>IF((O$1*1)&lt;=MAX('DB Costi-Ore YtD'!$A:$A),SUMIFS('DB Costi-Ore YtD'!$F:$F,'DB Costi-Ore YtD'!$A:$A,O$1,'DB Costi-Ore YtD'!$B:$B,$A197,'DB Costi-Ore YtD'!$E:$E,$C197)-SUM($D197:N197),0)</f>
        <v>0</v>
      </c>
    </row>
    <row r="198" spans="1:15" x14ac:dyDescent="0.3">
      <c r="A198" t="s">
        <v>409</v>
      </c>
      <c r="B198" t="s">
        <v>410</v>
      </c>
      <c r="C198" t="s">
        <v>5</v>
      </c>
      <c r="D198">
        <f>IF((D$1*1)&lt;=MAX('DB Costi-Ore YtD'!$A:$A),SUMIFS('DB Costi-Ore YtD'!$F:$F,'DB Costi-Ore YtD'!$A:$A,D$1,'DB Costi-Ore YtD'!$B:$B,$A198,'DB Costi-Ore YtD'!$E:$E,$C198),0)</f>
        <v>0</v>
      </c>
      <c r="E198">
        <f>IF((E$1*1)&lt;=MAX('DB Costi-Ore YtD'!$A:$A),SUMIFS('DB Costi-Ore YtD'!$F:$F,'DB Costi-Ore YtD'!$A:$A,E$1,'DB Costi-Ore YtD'!$B:$B,$A198,'DB Costi-Ore YtD'!$E:$E,$C198)-SUM($D198:D198),0)</f>
        <v>0</v>
      </c>
      <c r="F198">
        <f>IF((F$1*1)&lt;=MAX('DB Costi-Ore YtD'!$A:$A),SUMIFS('DB Costi-Ore YtD'!$F:$F,'DB Costi-Ore YtD'!$A:$A,F$1,'DB Costi-Ore YtD'!$B:$B,$A198,'DB Costi-Ore YtD'!$E:$E,$C198)-SUM($D198:E198),0)</f>
        <v>0</v>
      </c>
      <c r="G198">
        <f>IF((G$1*1)&lt;=MAX('DB Costi-Ore YtD'!$A:$A),SUMIFS('DB Costi-Ore YtD'!$F:$F,'DB Costi-Ore YtD'!$A:$A,G$1,'DB Costi-Ore YtD'!$B:$B,$A198,'DB Costi-Ore YtD'!$E:$E,$C198)-SUM($D198:F198),0)</f>
        <v>0</v>
      </c>
      <c r="H198">
        <f>IF((H$1*1)&lt;=MAX('DB Costi-Ore YtD'!$A:$A),SUMIFS('DB Costi-Ore YtD'!$F:$F,'DB Costi-Ore YtD'!$A:$A,H$1,'DB Costi-Ore YtD'!$B:$B,$A198,'DB Costi-Ore YtD'!$E:$E,$C198)-SUM($D198:G198),0)</f>
        <v>0</v>
      </c>
      <c r="I198">
        <f>IF((I$1*1)&lt;=MAX('DB Costi-Ore YtD'!$A:$A),SUMIFS('DB Costi-Ore YtD'!$F:$F,'DB Costi-Ore YtD'!$A:$A,I$1,'DB Costi-Ore YtD'!$B:$B,$A198,'DB Costi-Ore YtD'!$E:$E,$C198)-SUM($D198:H198),0)</f>
        <v>0</v>
      </c>
      <c r="J198">
        <f>IF((J$1*1)&lt;=MAX('DB Costi-Ore YtD'!$A:$A),SUMIFS('DB Costi-Ore YtD'!$F:$F,'DB Costi-Ore YtD'!$A:$A,J$1,'DB Costi-Ore YtD'!$B:$B,$A198,'DB Costi-Ore YtD'!$E:$E,$C198)-SUM($D198:I198),0)</f>
        <v>0</v>
      </c>
      <c r="K198">
        <f>IF((K$1*1)&lt;=MAX('DB Costi-Ore YtD'!$A:$A),SUMIFS('DB Costi-Ore YtD'!$F:$F,'DB Costi-Ore YtD'!$A:$A,K$1,'DB Costi-Ore YtD'!$B:$B,$A198,'DB Costi-Ore YtD'!$E:$E,$C198)-SUM($D198:J198),0)</f>
        <v>0</v>
      </c>
      <c r="L198">
        <f>IF((L$1*1)&lt;=MAX('DB Costi-Ore YtD'!$A:$A),SUMIFS('DB Costi-Ore YtD'!$F:$F,'DB Costi-Ore YtD'!$A:$A,L$1,'DB Costi-Ore YtD'!$B:$B,$A198,'DB Costi-Ore YtD'!$E:$E,$C198)-SUM($D198:K198),0)</f>
        <v>0</v>
      </c>
      <c r="M198">
        <f>IF((M$1*1)&lt;=MAX('DB Costi-Ore YtD'!$A:$A),SUMIFS('DB Costi-Ore YtD'!$F:$F,'DB Costi-Ore YtD'!$A:$A,M$1,'DB Costi-Ore YtD'!$B:$B,$A198,'DB Costi-Ore YtD'!$E:$E,$C198)-SUM($D198:L198),0)</f>
        <v>0</v>
      </c>
      <c r="N198">
        <f>IF((N$1*1)&lt;=MAX('DB Costi-Ore YtD'!$A:$A),SUMIFS('DB Costi-Ore YtD'!$F:$F,'DB Costi-Ore YtD'!$A:$A,N$1,'DB Costi-Ore YtD'!$B:$B,$A198,'DB Costi-Ore YtD'!$E:$E,$C198)-SUM($D198:M198),0)</f>
        <v>0</v>
      </c>
      <c r="O198">
        <f>IF((O$1*1)&lt;=MAX('DB Costi-Ore YtD'!$A:$A),SUMIFS('DB Costi-Ore YtD'!$F:$F,'DB Costi-Ore YtD'!$A:$A,O$1,'DB Costi-Ore YtD'!$B:$B,$A198,'DB Costi-Ore YtD'!$E:$E,$C198)-SUM($D198:N198),0)</f>
        <v>0</v>
      </c>
    </row>
    <row r="199" spans="1:15" x14ac:dyDescent="0.3">
      <c r="A199" t="s">
        <v>411</v>
      </c>
      <c r="B199" t="s">
        <v>412</v>
      </c>
      <c r="C199" t="s">
        <v>5</v>
      </c>
      <c r="D199">
        <f>IF((D$1*1)&lt;=MAX('DB Costi-Ore YtD'!$A:$A),SUMIFS('DB Costi-Ore YtD'!$F:$F,'DB Costi-Ore YtD'!$A:$A,D$1,'DB Costi-Ore YtD'!$B:$B,$A199,'DB Costi-Ore YtD'!$E:$E,$C199),0)</f>
        <v>0</v>
      </c>
      <c r="E199">
        <f>IF((E$1*1)&lt;=MAX('DB Costi-Ore YtD'!$A:$A),SUMIFS('DB Costi-Ore YtD'!$F:$F,'DB Costi-Ore YtD'!$A:$A,E$1,'DB Costi-Ore YtD'!$B:$B,$A199,'DB Costi-Ore YtD'!$E:$E,$C199)-SUM($D199:D199),0)</f>
        <v>0</v>
      </c>
      <c r="F199">
        <f>IF((F$1*1)&lt;=MAX('DB Costi-Ore YtD'!$A:$A),SUMIFS('DB Costi-Ore YtD'!$F:$F,'DB Costi-Ore YtD'!$A:$A,F$1,'DB Costi-Ore YtD'!$B:$B,$A199,'DB Costi-Ore YtD'!$E:$E,$C199)-SUM($D199:E199),0)</f>
        <v>0</v>
      </c>
      <c r="G199">
        <f>IF((G$1*1)&lt;=MAX('DB Costi-Ore YtD'!$A:$A),SUMIFS('DB Costi-Ore YtD'!$F:$F,'DB Costi-Ore YtD'!$A:$A,G$1,'DB Costi-Ore YtD'!$B:$B,$A199,'DB Costi-Ore YtD'!$E:$E,$C199)-SUM($D199:F199),0)</f>
        <v>0</v>
      </c>
      <c r="H199">
        <f>IF((H$1*1)&lt;=MAX('DB Costi-Ore YtD'!$A:$A),SUMIFS('DB Costi-Ore YtD'!$F:$F,'DB Costi-Ore YtD'!$A:$A,H$1,'DB Costi-Ore YtD'!$B:$B,$A199,'DB Costi-Ore YtD'!$E:$E,$C199)-SUM($D199:G199),0)</f>
        <v>0</v>
      </c>
      <c r="I199">
        <f>IF((I$1*1)&lt;=MAX('DB Costi-Ore YtD'!$A:$A),SUMIFS('DB Costi-Ore YtD'!$F:$F,'DB Costi-Ore YtD'!$A:$A,I$1,'DB Costi-Ore YtD'!$B:$B,$A199,'DB Costi-Ore YtD'!$E:$E,$C199)-SUM($D199:H199),0)</f>
        <v>0</v>
      </c>
      <c r="J199">
        <f>IF((J$1*1)&lt;=MAX('DB Costi-Ore YtD'!$A:$A),SUMIFS('DB Costi-Ore YtD'!$F:$F,'DB Costi-Ore YtD'!$A:$A,J$1,'DB Costi-Ore YtD'!$B:$B,$A199,'DB Costi-Ore YtD'!$E:$E,$C199)-SUM($D199:I199),0)</f>
        <v>0</v>
      </c>
      <c r="K199">
        <f>IF((K$1*1)&lt;=MAX('DB Costi-Ore YtD'!$A:$A),SUMIFS('DB Costi-Ore YtD'!$F:$F,'DB Costi-Ore YtD'!$A:$A,K$1,'DB Costi-Ore YtD'!$B:$B,$A199,'DB Costi-Ore YtD'!$E:$E,$C199)-SUM($D199:J199),0)</f>
        <v>0</v>
      </c>
      <c r="L199">
        <f>IF((L$1*1)&lt;=MAX('DB Costi-Ore YtD'!$A:$A),SUMIFS('DB Costi-Ore YtD'!$F:$F,'DB Costi-Ore YtD'!$A:$A,L$1,'DB Costi-Ore YtD'!$B:$B,$A199,'DB Costi-Ore YtD'!$E:$E,$C199)-SUM($D199:K199),0)</f>
        <v>0</v>
      </c>
      <c r="M199">
        <f>IF((M$1*1)&lt;=MAX('DB Costi-Ore YtD'!$A:$A),SUMIFS('DB Costi-Ore YtD'!$F:$F,'DB Costi-Ore YtD'!$A:$A,M$1,'DB Costi-Ore YtD'!$B:$B,$A199,'DB Costi-Ore YtD'!$E:$E,$C199)-SUM($D199:L199),0)</f>
        <v>0</v>
      </c>
      <c r="N199">
        <f>IF((N$1*1)&lt;=MAX('DB Costi-Ore YtD'!$A:$A),SUMIFS('DB Costi-Ore YtD'!$F:$F,'DB Costi-Ore YtD'!$A:$A,N$1,'DB Costi-Ore YtD'!$B:$B,$A199,'DB Costi-Ore YtD'!$E:$E,$C199)-SUM($D199:M199),0)</f>
        <v>0</v>
      </c>
      <c r="O199">
        <f>IF((O$1*1)&lt;=MAX('DB Costi-Ore YtD'!$A:$A),SUMIFS('DB Costi-Ore YtD'!$F:$F,'DB Costi-Ore YtD'!$A:$A,O$1,'DB Costi-Ore YtD'!$B:$B,$A199,'DB Costi-Ore YtD'!$E:$E,$C199)-SUM($D199:N199),0)</f>
        <v>0</v>
      </c>
    </row>
    <row r="200" spans="1:15" x14ac:dyDescent="0.3">
      <c r="A200" t="s">
        <v>413</v>
      </c>
      <c r="B200" t="s">
        <v>414</v>
      </c>
      <c r="C200" t="s">
        <v>5</v>
      </c>
      <c r="D200">
        <f>IF((D$1*1)&lt;=MAX('DB Costi-Ore YtD'!$A:$A),SUMIFS('DB Costi-Ore YtD'!$F:$F,'DB Costi-Ore YtD'!$A:$A,D$1,'DB Costi-Ore YtD'!$B:$B,$A200,'DB Costi-Ore YtD'!$E:$E,$C200),0)</f>
        <v>0</v>
      </c>
      <c r="E200">
        <f>IF((E$1*1)&lt;=MAX('DB Costi-Ore YtD'!$A:$A),SUMIFS('DB Costi-Ore YtD'!$F:$F,'DB Costi-Ore YtD'!$A:$A,E$1,'DB Costi-Ore YtD'!$B:$B,$A200,'DB Costi-Ore YtD'!$E:$E,$C200)-SUM($D200:D200),0)</f>
        <v>0</v>
      </c>
      <c r="F200">
        <f>IF((F$1*1)&lt;=MAX('DB Costi-Ore YtD'!$A:$A),SUMIFS('DB Costi-Ore YtD'!$F:$F,'DB Costi-Ore YtD'!$A:$A,F$1,'DB Costi-Ore YtD'!$B:$B,$A200,'DB Costi-Ore YtD'!$E:$E,$C200)-SUM($D200:E200),0)</f>
        <v>0</v>
      </c>
      <c r="G200">
        <f>IF((G$1*1)&lt;=MAX('DB Costi-Ore YtD'!$A:$A),SUMIFS('DB Costi-Ore YtD'!$F:$F,'DB Costi-Ore YtD'!$A:$A,G$1,'DB Costi-Ore YtD'!$B:$B,$A200,'DB Costi-Ore YtD'!$E:$E,$C200)-SUM($D200:F200),0)</f>
        <v>0</v>
      </c>
      <c r="H200">
        <f>IF((H$1*1)&lt;=MAX('DB Costi-Ore YtD'!$A:$A),SUMIFS('DB Costi-Ore YtD'!$F:$F,'DB Costi-Ore YtD'!$A:$A,H$1,'DB Costi-Ore YtD'!$B:$B,$A200,'DB Costi-Ore YtD'!$E:$E,$C200)-SUM($D200:G200),0)</f>
        <v>0</v>
      </c>
      <c r="I200">
        <f>IF((I$1*1)&lt;=MAX('DB Costi-Ore YtD'!$A:$A),SUMIFS('DB Costi-Ore YtD'!$F:$F,'DB Costi-Ore YtD'!$A:$A,I$1,'DB Costi-Ore YtD'!$B:$B,$A200,'DB Costi-Ore YtD'!$E:$E,$C200)-SUM($D200:H200),0)</f>
        <v>0</v>
      </c>
      <c r="J200">
        <f>IF((J$1*1)&lt;=MAX('DB Costi-Ore YtD'!$A:$A),SUMIFS('DB Costi-Ore YtD'!$F:$F,'DB Costi-Ore YtD'!$A:$A,J$1,'DB Costi-Ore YtD'!$B:$B,$A200,'DB Costi-Ore YtD'!$E:$E,$C200)-SUM($D200:I200),0)</f>
        <v>0</v>
      </c>
      <c r="K200">
        <f>IF((K$1*1)&lt;=MAX('DB Costi-Ore YtD'!$A:$A),SUMIFS('DB Costi-Ore YtD'!$F:$F,'DB Costi-Ore YtD'!$A:$A,K$1,'DB Costi-Ore YtD'!$B:$B,$A200,'DB Costi-Ore YtD'!$E:$E,$C200)-SUM($D200:J200),0)</f>
        <v>0</v>
      </c>
      <c r="L200">
        <f>IF((L$1*1)&lt;=MAX('DB Costi-Ore YtD'!$A:$A),SUMIFS('DB Costi-Ore YtD'!$F:$F,'DB Costi-Ore YtD'!$A:$A,L$1,'DB Costi-Ore YtD'!$B:$B,$A200,'DB Costi-Ore YtD'!$E:$E,$C200)-SUM($D200:K200),0)</f>
        <v>0</v>
      </c>
      <c r="M200">
        <f>IF((M$1*1)&lt;=MAX('DB Costi-Ore YtD'!$A:$A),SUMIFS('DB Costi-Ore YtD'!$F:$F,'DB Costi-Ore YtD'!$A:$A,M$1,'DB Costi-Ore YtD'!$B:$B,$A200,'DB Costi-Ore YtD'!$E:$E,$C200)-SUM($D200:L200),0)</f>
        <v>0</v>
      </c>
      <c r="N200">
        <f>IF((N$1*1)&lt;=MAX('DB Costi-Ore YtD'!$A:$A),SUMIFS('DB Costi-Ore YtD'!$F:$F,'DB Costi-Ore YtD'!$A:$A,N$1,'DB Costi-Ore YtD'!$B:$B,$A200,'DB Costi-Ore YtD'!$E:$E,$C200)-SUM($D200:M200),0)</f>
        <v>0</v>
      </c>
      <c r="O200">
        <f>IF((O$1*1)&lt;=MAX('DB Costi-Ore YtD'!$A:$A),SUMIFS('DB Costi-Ore YtD'!$F:$F,'DB Costi-Ore YtD'!$A:$A,O$1,'DB Costi-Ore YtD'!$B:$B,$A200,'DB Costi-Ore YtD'!$E:$E,$C200)-SUM($D200:N200),0)</f>
        <v>0</v>
      </c>
    </row>
    <row r="201" spans="1:15" x14ac:dyDescent="0.3">
      <c r="A201" t="s">
        <v>415</v>
      </c>
      <c r="B201" t="s">
        <v>416</v>
      </c>
      <c r="C201" t="s">
        <v>5</v>
      </c>
      <c r="D201">
        <f>IF((D$1*1)&lt;=MAX('DB Costi-Ore YtD'!$A:$A),SUMIFS('DB Costi-Ore YtD'!$F:$F,'DB Costi-Ore YtD'!$A:$A,D$1,'DB Costi-Ore YtD'!$B:$B,$A201,'DB Costi-Ore YtD'!$E:$E,$C201),0)</f>
        <v>0</v>
      </c>
      <c r="E201">
        <f>IF((E$1*1)&lt;=MAX('DB Costi-Ore YtD'!$A:$A),SUMIFS('DB Costi-Ore YtD'!$F:$F,'DB Costi-Ore YtD'!$A:$A,E$1,'DB Costi-Ore YtD'!$B:$B,$A201,'DB Costi-Ore YtD'!$E:$E,$C201)-SUM($D201:D201),0)</f>
        <v>0</v>
      </c>
      <c r="F201">
        <f>IF((F$1*1)&lt;=MAX('DB Costi-Ore YtD'!$A:$A),SUMIFS('DB Costi-Ore YtD'!$F:$F,'DB Costi-Ore YtD'!$A:$A,F$1,'DB Costi-Ore YtD'!$B:$B,$A201,'DB Costi-Ore YtD'!$E:$E,$C201)-SUM($D201:E201),0)</f>
        <v>0</v>
      </c>
      <c r="G201">
        <f>IF((G$1*1)&lt;=MAX('DB Costi-Ore YtD'!$A:$A),SUMIFS('DB Costi-Ore YtD'!$F:$F,'DB Costi-Ore YtD'!$A:$A,G$1,'DB Costi-Ore YtD'!$B:$B,$A201,'DB Costi-Ore YtD'!$E:$E,$C201)-SUM($D201:F201),0)</f>
        <v>0</v>
      </c>
      <c r="H201">
        <f>IF((H$1*1)&lt;=MAX('DB Costi-Ore YtD'!$A:$A),SUMIFS('DB Costi-Ore YtD'!$F:$F,'DB Costi-Ore YtD'!$A:$A,H$1,'DB Costi-Ore YtD'!$B:$B,$A201,'DB Costi-Ore YtD'!$E:$E,$C201)-SUM($D201:G201),0)</f>
        <v>0</v>
      </c>
      <c r="I201">
        <f>IF((I$1*1)&lt;=MAX('DB Costi-Ore YtD'!$A:$A),SUMIFS('DB Costi-Ore YtD'!$F:$F,'DB Costi-Ore YtD'!$A:$A,I$1,'DB Costi-Ore YtD'!$B:$B,$A201,'DB Costi-Ore YtD'!$E:$E,$C201)-SUM($D201:H201),0)</f>
        <v>0</v>
      </c>
      <c r="J201">
        <f>IF((J$1*1)&lt;=MAX('DB Costi-Ore YtD'!$A:$A),SUMIFS('DB Costi-Ore YtD'!$F:$F,'DB Costi-Ore YtD'!$A:$A,J$1,'DB Costi-Ore YtD'!$B:$B,$A201,'DB Costi-Ore YtD'!$E:$E,$C201)-SUM($D201:I201),0)</f>
        <v>0</v>
      </c>
      <c r="K201">
        <f>IF((K$1*1)&lt;=MAX('DB Costi-Ore YtD'!$A:$A),SUMIFS('DB Costi-Ore YtD'!$F:$F,'DB Costi-Ore YtD'!$A:$A,K$1,'DB Costi-Ore YtD'!$B:$B,$A201,'DB Costi-Ore YtD'!$E:$E,$C201)-SUM($D201:J201),0)</f>
        <v>0</v>
      </c>
      <c r="L201">
        <f>IF((L$1*1)&lt;=MAX('DB Costi-Ore YtD'!$A:$A),SUMIFS('DB Costi-Ore YtD'!$F:$F,'DB Costi-Ore YtD'!$A:$A,L$1,'DB Costi-Ore YtD'!$B:$B,$A201,'DB Costi-Ore YtD'!$E:$E,$C201)-SUM($D201:K201),0)</f>
        <v>0</v>
      </c>
      <c r="M201">
        <f>IF((M$1*1)&lt;=MAX('DB Costi-Ore YtD'!$A:$A),SUMIFS('DB Costi-Ore YtD'!$F:$F,'DB Costi-Ore YtD'!$A:$A,M$1,'DB Costi-Ore YtD'!$B:$B,$A201,'DB Costi-Ore YtD'!$E:$E,$C201)-SUM($D201:L201),0)</f>
        <v>0</v>
      </c>
      <c r="N201">
        <f>IF((N$1*1)&lt;=MAX('DB Costi-Ore YtD'!$A:$A),SUMIFS('DB Costi-Ore YtD'!$F:$F,'DB Costi-Ore YtD'!$A:$A,N$1,'DB Costi-Ore YtD'!$B:$B,$A201,'DB Costi-Ore YtD'!$E:$E,$C201)-SUM($D201:M201),0)</f>
        <v>0</v>
      </c>
      <c r="O201">
        <f>IF((O$1*1)&lt;=MAX('DB Costi-Ore YtD'!$A:$A),SUMIFS('DB Costi-Ore YtD'!$F:$F,'DB Costi-Ore YtD'!$A:$A,O$1,'DB Costi-Ore YtD'!$B:$B,$A201,'DB Costi-Ore YtD'!$E:$E,$C201)-SUM($D201:N201),0)</f>
        <v>0</v>
      </c>
    </row>
    <row r="202" spans="1:15" x14ac:dyDescent="0.3">
      <c r="A202" t="s">
        <v>31</v>
      </c>
      <c r="B202" t="s">
        <v>32</v>
      </c>
      <c r="C202" t="s">
        <v>7</v>
      </c>
      <c r="D202">
        <f>IF((D$1*1)&lt;=MAX('DB Costi-Ore YtD'!$A:$A),SUMIFS('DB Costi-Ore YtD'!$F:$F,'DB Costi-Ore YtD'!$A:$A,D$1,'DB Costi-Ore YtD'!$B:$B,$A202,'DB Costi-Ore YtD'!$E:$E,$C202),0)</f>
        <v>0</v>
      </c>
      <c r="E202">
        <f>IF((E$1*1)&lt;=MAX('DB Costi-Ore YtD'!$A:$A),SUMIFS('DB Costi-Ore YtD'!$F:$F,'DB Costi-Ore YtD'!$A:$A,E$1,'DB Costi-Ore YtD'!$B:$B,$A202,'DB Costi-Ore YtD'!$E:$E,$C202)-SUM($D202:D202),0)</f>
        <v>0</v>
      </c>
      <c r="F202">
        <f>IF((F$1*1)&lt;=MAX('DB Costi-Ore YtD'!$A:$A),SUMIFS('DB Costi-Ore YtD'!$F:$F,'DB Costi-Ore YtD'!$A:$A,F$1,'DB Costi-Ore YtD'!$B:$B,$A202,'DB Costi-Ore YtD'!$E:$E,$C202)-SUM($D202:E202),0)</f>
        <v>0</v>
      </c>
      <c r="G202">
        <f>IF((G$1*1)&lt;=MAX('DB Costi-Ore YtD'!$A:$A),SUMIFS('DB Costi-Ore YtD'!$F:$F,'DB Costi-Ore YtD'!$A:$A,G$1,'DB Costi-Ore YtD'!$B:$B,$A202,'DB Costi-Ore YtD'!$E:$E,$C202)-SUM($D202:F202),0)</f>
        <v>0</v>
      </c>
      <c r="H202">
        <f>IF((H$1*1)&lt;=MAX('DB Costi-Ore YtD'!$A:$A),SUMIFS('DB Costi-Ore YtD'!$F:$F,'DB Costi-Ore YtD'!$A:$A,H$1,'DB Costi-Ore YtD'!$B:$B,$A202,'DB Costi-Ore YtD'!$E:$E,$C202)-SUM($D202:G202),0)</f>
        <v>161.75</v>
      </c>
      <c r="I202">
        <f>IF((I$1*1)&lt;=MAX('DB Costi-Ore YtD'!$A:$A),SUMIFS('DB Costi-Ore YtD'!$F:$F,'DB Costi-Ore YtD'!$A:$A,I$1,'DB Costi-Ore YtD'!$B:$B,$A202,'DB Costi-Ore YtD'!$E:$E,$C202)-SUM($D202:H202),0)</f>
        <v>0</v>
      </c>
      <c r="J202">
        <f>IF((J$1*1)&lt;=MAX('DB Costi-Ore YtD'!$A:$A),SUMIFS('DB Costi-Ore YtD'!$F:$F,'DB Costi-Ore YtD'!$A:$A,J$1,'DB Costi-Ore YtD'!$B:$B,$A202,'DB Costi-Ore YtD'!$E:$E,$C202)-SUM($D202:I202),0)</f>
        <v>0</v>
      </c>
      <c r="K202">
        <f>IF((K$1*1)&lt;=MAX('DB Costi-Ore YtD'!$A:$A),SUMIFS('DB Costi-Ore YtD'!$F:$F,'DB Costi-Ore YtD'!$A:$A,K$1,'DB Costi-Ore YtD'!$B:$B,$A202,'DB Costi-Ore YtD'!$E:$E,$C202)-SUM($D202:J202),0)</f>
        <v>0</v>
      </c>
      <c r="L202">
        <f>IF((L$1*1)&lt;=MAX('DB Costi-Ore YtD'!$A:$A),SUMIFS('DB Costi-Ore YtD'!$F:$F,'DB Costi-Ore YtD'!$A:$A,L$1,'DB Costi-Ore YtD'!$B:$B,$A202,'DB Costi-Ore YtD'!$E:$E,$C202)-SUM($D202:K202),0)</f>
        <v>0</v>
      </c>
      <c r="M202">
        <f>IF((M$1*1)&lt;=MAX('DB Costi-Ore YtD'!$A:$A),SUMIFS('DB Costi-Ore YtD'!$F:$F,'DB Costi-Ore YtD'!$A:$A,M$1,'DB Costi-Ore YtD'!$B:$B,$A202,'DB Costi-Ore YtD'!$E:$E,$C202)-SUM($D202:L202),0)</f>
        <v>0</v>
      </c>
      <c r="N202">
        <f>IF((N$1*1)&lt;=MAX('DB Costi-Ore YtD'!$A:$A),SUMIFS('DB Costi-Ore YtD'!$F:$F,'DB Costi-Ore YtD'!$A:$A,N$1,'DB Costi-Ore YtD'!$B:$B,$A202,'DB Costi-Ore YtD'!$E:$E,$C202)-SUM($D202:M202),0)</f>
        <v>0</v>
      </c>
      <c r="O202">
        <f>IF((O$1*1)&lt;=MAX('DB Costi-Ore YtD'!$A:$A),SUMIFS('DB Costi-Ore YtD'!$F:$F,'DB Costi-Ore YtD'!$A:$A,O$1,'DB Costi-Ore YtD'!$B:$B,$A202,'DB Costi-Ore YtD'!$E:$E,$C202)-SUM($D202:N202),0)</f>
        <v>0</v>
      </c>
    </row>
    <row r="203" spans="1:15" x14ac:dyDescent="0.3">
      <c r="A203" t="s">
        <v>55</v>
      </c>
      <c r="B203" t="s">
        <v>56</v>
      </c>
      <c r="C203" t="s">
        <v>12</v>
      </c>
      <c r="D203">
        <f>IF((D$1*1)&lt;=MAX('DB Costi-Ore YtD'!$A:$A),SUMIFS('DB Costi-Ore YtD'!$F:$F,'DB Costi-Ore YtD'!$A:$A,D$1,'DB Costi-Ore YtD'!$B:$B,$A203,'DB Costi-Ore YtD'!$E:$E,$C203),0)</f>
        <v>0</v>
      </c>
      <c r="E203">
        <f>IF((E$1*1)&lt;=MAX('DB Costi-Ore YtD'!$A:$A),SUMIFS('DB Costi-Ore YtD'!$F:$F,'DB Costi-Ore YtD'!$A:$A,E$1,'DB Costi-Ore YtD'!$B:$B,$A203,'DB Costi-Ore YtD'!$E:$E,$C203)-SUM($D203:D203),0)</f>
        <v>0</v>
      </c>
      <c r="F203">
        <f>IF((F$1*1)&lt;=MAX('DB Costi-Ore YtD'!$A:$A),SUMIFS('DB Costi-Ore YtD'!$F:$F,'DB Costi-Ore YtD'!$A:$A,F$1,'DB Costi-Ore YtD'!$B:$B,$A203,'DB Costi-Ore YtD'!$E:$E,$C203)-SUM($D203:E203),0)</f>
        <v>0</v>
      </c>
      <c r="G203">
        <f>IF((G$1*1)&lt;=MAX('DB Costi-Ore YtD'!$A:$A),SUMIFS('DB Costi-Ore YtD'!$F:$F,'DB Costi-Ore YtD'!$A:$A,G$1,'DB Costi-Ore YtD'!$B:$B,$A203,'DB Costi-Ore YtD'!$E:$E,$C203)-SUM($D203:F203),0)</f>
        <v>0</v>
      </c>
      <c r="H203">
        <f>IF((H$1*1)&lt;=MAX('DB Costi-Ore YtD'!$A:$A),SUMIFS('DB Costi-Ore YtD'!$F:$F,'DB Costi-Ore YtD'!$A:$A,H$1,'DB Costi-Ore YtD'!$B:$B,$A203,'DB Costi-Ore YtD'!$E:$E,$C203)-SUM($D203:G203),0)</f>
        <v>660.75</v>
      </c>
      <c r="I203">
        <f>IF((I$1*1)&lt;=MAX('DB Costi-Ore YtD'!$A:$A),SUMIFS('DB Costi-Ore YtD'!$F:$F,'DB Costi-Ore YtD'!$A:$A,I$1,'DB Costi-Ore YtD'!$B:$B,$A203,'DB Costi-Ore YtD'!$E:$E,$C203)-SUM($D203:H203),0)</f>
        <v>99.75</v>
      </c>
      <c r="J203">
        <f>IF((J$1*1)&lt;=MAX('DB Costi-Ore YtD'!$A:$A),SUMIFS('DB Costi-Ore YtD'!$F:$F,'DB Costi-Ore YtD'!$A:$A,J$1,'DB Costi-Ore YtD'!$B:$B,$A203,'DB Costi-Ore YtD'!$E:$E,$C203)-SUM($D203:I203),0)</f>
        <v>0</v>
      </c>
      <c r="K203">
        <f>IF((K$1*1)&lt;=MAX('DB Costi-Ore YtD'!$A:$A),SUMIFS('DB Costi-Ore YtD'!$F:$F,'DB Costi-Ore YtD'!$A:$A,K$1,'DB Costi-Ore YtD'!$B:$B,$A203,'DB Costi-Ore YtD'!$E:$E,$C203)-SUM($D203:J203),0)</f>
        <v>0</v>
      </c>
      <c r="L203">
        <f>IF((L$1*1)&lt;=MAX('DB Costi-Ore YtD'!$A:$A),SUMIFS('DB Costi-Ore YtD'!$F:$F,'DB Costi-Ore YtD'!$A:$A,L$1,'DB Costi-Ore YtD'!$B:$B,$A203,'DB Costi-Ore YtD'!$E:$E,$C203)-SUM($D203:K203),0)</f>
        <v>0</v>
      </c>
      <c r="M203">
        <f>IF((M$1*1)&lt;=MAX('DB Costi-Ore YtD'!$A:$A),SUMIFS('DB Costi-Ore YtD'!$F:$F,'DB Costi-Ore YtD'!$A:$A,M$1,'DB Costi-Ore YtD'!$B:$B,$A203,'DB Costi-Ore YtD'!$E:$E,$C203)-SUM($D203:L203),0)</f>
        <v>0</v>
      </c>
      <c r="N203">
        <f>IF((N$1*1)&lt;=MAX('DB Costi-Ore YtD'!$A:$A),SUMIFS('DB Costi-Ore YtD'!$F:$F,'DB Costi-Ore YtD'!$A:$A,N$1,'DB Costi-Ore YtD'!$B:$B,$A203,'DB Costi-Ore YtD'!$E:$E,$C203)-SUM($D203:M203),0)</f>
        <v>0</v>
      </c>
      <c r="O203">
        <f>IF((O$1*1)&lt;=MAX('DB Costi-Ore YtD'!$A:$A),SUMIFS('DB Costi-Ore YtD'!$F:$F,'DB Costi-Ore YtD'!$A:$A,O$1,'DB Costi-Ore YtD'!$B:$B,$A203,'DB Costi-Ore YtD'!$E:$E,$C203)-SUM($D203:N203),0)</f>
        <v>0</v>
      </c>
    </row>
    <row r="204" spans="1:15" x14ac:dyDescent="0.3">
      <c r="A204" t="s">
        <v>103</v>
      </c>
      <c r="B204" t="s">
        <v>104</v>
      </c>
      <c r="C204" t="s">
        <v>3</v>
      </c>
      <c r="D204">
        <f>IF((D$1*1)&lt;=MAX('DB Costi-Ore YtD'!$A:$A),SUMIFS('DB Costi-Ore YtD'!$F:$F,'DB Costi-Ore YtD'!$A:$A,D$1,'DB Costi-Ore YtD'!$B:$B,$A204,'DB Costi-Ore YtD'!$E:$E,$C204),0)</f>
        <v>0</v>
      </c>
      <c r="E204">
        <f>IF((E$1*1)&lt;=MAX('DB Costi-Ore YtD'!$A:$A),SUMIFS('DB Costi-Ore YtD'!$F:$F,'DB Costi-Ore YtD'!$A:$A,E$1,'DB Costi-Ore YtD'!$B:$B,$A204,'DB Costi-Ore YtD'!$E:$E,$C204)-SUM($D204:D204),0)</f>
        <v>0</v>
      </c>
      <c r="F204">
        <f>IF((F$1*1)&lt;=MAX('DB Costi-Ore YtD'!$A:$A),SUMIFS('DB Costi-Ore YtD'!$F:$F,'DB Costi-Ore YtD'!$A:$A,F$1,'DB Costi-Ore YtD'!$B:$B,$A204,'DB Costi-Ore YtD'!$E:$E,$C204)-SUM($D204:E204),0)</f>
        <v>0</v>
      </c>
      <c r="G204">
        <f>IF((G$1*1)&lt;=MAX('DB Costi-Ore YtD'!$A:$A),SUMIFS('DB Costi-Ore YtD'!$F:$F,'DB Costi-Ore YtD'!$A:$A,G$1,'DB Costi-Ore YtD'!$B:$B,$A204,'DB Costi-Ore YtD'!$E:$E,$C204)-SUM($D204:F204),0)</f>
        <v>0</v>
      </c>
      <c r="H204">
        <f>IF((H$1*1)&lt;=MAX('DB Costi-Ore YtD'!$A:$A),SUMIFS('DB Costi-Ore YtD'!$F:$F,'DB Costi-Ore YtD'!$A:$A,H$1,'DB Costi-Ore YtD'!$B:$B,$A204,'DB Costi-Ore YtD'!$E:$E,$C204)-SUM($D204:G204),0)</f>
        <v>341.75</v>
      </c>
      <c r="I204">
        <f>IF((I$1*1)&lt;=MAX('DB Costi-Ore YtD'!$A:$A),SUMIFS('DB Costi-Ore YtD'!$F:$F,'DB Costi-Ore YtD'!$A:$A,I$1,'DB Costi-Ore YtD'!$B:$B,$A204,'DB Costi-Ore YtD'!$E:$E,$C204)-SUM($D204:H204),0)</f>
        <v>80</v>
      </c>
      <c r="J204">
        <f>IF((J$1*1)&lt;=MAX('DB Costi-Ore YtD'!$A:$A),SUMIFS('DB Costi-Ore YtD'!$F:$F,'DB Costi-Ore YtD'!$A:$A,J$1,'DB Costi-Ore YtD'!$B:$B,$A204,'DB Costi-Ore YtD'!$E:$E,$C204)-SUM($D204:I204),0)</f>
        <v>0</v>
      </c>
      <c r="K204">
        <f>IF((K$1*1)&lt;=MAX('DB Costi-Ore YtD'!$A:$A),SUMIFS('DB Costi-Ore YtD'!$F:$F,'DB Costi-Ore YtD'!$A:$A,K$1,'DB Costi-Ore YtD'!$B:$B,$A204,'DB Costi-Ore YtD'!$E:$E,$C204)-SUM($D204:J204),0)</f>
        <v>0</v>
      </c>
      <c r="L204">
        <f>IF((L$1*1)&lt;=MAX('DB Costi-Ore YtD'!$A:$A),SUMIFS('DB Costi-Ore YtD'!$F:$F,'DB Costi-Ore YtD'!$A:$A,L$1,'DB Costi-Ore YtD'!$B:$B,$A204,'DB Costi-Ore YtD'!$E:$E,$C204)-SUM($D204:K204),0)</f>
        <v>0</v>
      </c>
      <c r="M204">
        <f>IF((M$1*1)&lt;=MAX('DB Costi-Ore YtD'!$A:$A),SUMIFS('DB Costi-Ore YtD'!$F:$F,'DB Costi-Ore YtD'!$A:$A,M$1,'DB Costi-Ore YtD'!$B:$B,$A204,'DB Costi-Ore YtD'!$E:$E,$C204)-SUM($D204:L204),0)</f>
        <v>0</v>
      </c>
      <c r="N204">
        <f>IF((N$1*1)&lt;=MAX('DB Costi-Ore YtD'!$A:$A),SUMIFS('DB Costi-Ore YtD'!$F:$F,'DB Costi-Ore YtD'!$A:$A,N$1,'DB Costi-Ore YtD'!$B:$B,$A204,'DB Costi-Ore YtD'!$E:$E,$C204)-SUM($D204:M204),0)</f>
        <v>0</v>
      </c>
      <c r="O204">
        <f>IF((O$1*1)&lt;=MAX('DB Costi-Ore YtD'!$A:$A),SUMIFS('DB Costi-Ore YtD'!$F:$F,'DB Costi-Ore YtD'!$A:$A,O$1,'DB Costi-Ore YtD'!$B:$B,$A204,'DB Costi-Ore YtD'!$E:$E,$C204)-SUM($D204:N204),0)</f>
        <v>0</v>
      </c>
    </row>
    <row r="205" spans="1:15" x14ac:dyDescent="0.3">
      <c r="A205" t="s">
        <v>157</v>
      </c>
      <c r="B205" t="s">
        <v>158</v>
      </c>
      <c r="C205" t="s">
        <v>2</v>
      </c>
      <c r="D205">
        <f>IF((D$1*1)&lt;=MAX('DB Costi-Ore YtD'!$A:$A),SUMIFS('DB Costi-Ore YtD'!$F:$F,'DB Costi-Ore YtD'!$A:$A,D$1,'DB Costi-Ore YtD'!$B:$B,$A205,'DB Costi-Ore YtD'!$E:$E,$C205),0)</f>
        <v>0</v>
      </c>
      <c r="E205">
        <f>IF((E$1*1)&lt;=MAX('DB Costi-Ore YtD'!$A:$A),SUMIFS('DB Costi-Ore YtD'!$F:$F,'DB Costi-Ore YtD'!$A:$A,E$1,'DB Costi-Ore YtD'!$B:$B,$A205,'DB Costi-Ore YtD'!$E:$E,$C205)-SUM($D205:D205),0)</f>
        <v>0</v>
      </c>
      <c r="F205">
        <f>IF((F$1*1)&lt;=MAX('DB Costi-Ore YtD'!$A:$A),SUMIFS('DB Costi-Ore YtD'!$F:$F,'DB Costi-Ore YtD'!$A:$A,F$1,'DB Costi-Ore YtD'!$B:$B,$A205,'DB Costi-Ore YtD'!$E:$E,$C205)-SUM($D205:E205),0)</f>
        <v>0</v>
      </c>
      <c r="G205">
        <f>IF((G$1*1)&lt;=MAX('DB Costi-Ore YtD'!$A:$A),SUMIFS('DB Costi-Ore YtD'!$F:$F,'DB Costi-Ore YtD'!$A:$A,G$1,'DB Costi-Ore YtD'!$B:$B,$A205,'DB Costi-Ore YtD'!$E:$E,$C205)-SUM($D205:F205),0)</f>
        <v>0</v>
      </c>
      <c r="H205">
        <f>IF((H$1*1)&lt;=MAX('DB Costi-Ore YtD'!$A:$A),SUMIFS('DB Costi-Ore YtD'!$F:$F,'DB Costi-Ore YtD'!$A:$A,H$1,'DB Costi-Ore YtD'!$B:$B,$A205,'DB Costi-Ore YtD'!$E:$E,$C205)-SUM($D205:G205),0)</f>
        <v>613.5</v>
      </c>
      <c r="I205">
        <f>IF((I$1*1)&lt;=MAX('DB Costi-Ore YtD'!$A:$A),SUMIFS('DB Costi-Ore YtD'!$F:$F,'DB Costi-Ore YtD'!$A:$A,I$1,'DB Costi-Ore YtD'!$B:$B,$A205,'DB Costi-Ore YtD'!$E:$E,$C205)-SUM($D205:H205),0)</f>
        <v>114</v>
      </c>
      <c r="J205">
        <f>IF((J$1*1)&lt;=MAX('DB Costi-Ore YtD'!$A:$A),SUMIFS('DB Costi-Ore YtD'!$F:$F,'DB Costi-Ore YtD'!$A:$A,J$1,'DB Costi-Ore YtD'!$B:$B,$A205,'DB Costi-Ore YtD'!$E:$E,$C205)-SUM($D205:I205),0)</f>
        <v>0</v>
      </c>
      <c r="K205">
        <f>IF((K$1*1)&lt;=MAX('DB Costi-Ore YtD'!$A:$A),SUMIFS('DB Costi-Ore YtD'!$F:$F,'DB Costi-Ore YtD'!$A:$A,K$1,'DB Costi-Ore YtD'!$B:$B,$A205,'DB Costi-Ore YtD'!$E:$E,$C205)-SUM($D205:J205),0)</f>
        <v>0</v>
      </c>
      <c r="L205">
        <f>IF((L$1*1)&lt;=MAX('DB Costi-Ore YtD'!$A:$A),SUMIFS('DB Costi-Ore YtD'!$F:$F,'DB Costi-Ore YtD'!$A:$A,L$1,'DB Costi-Ore YtD'!$B:$B,$A205,'DB Costi-Ore YtD'!$E:$E,$C205)-SUM($D205:K205),0)</f>
        <v>0</v>
      </c>
      <c r="M205">
        <f>IF((M$1*1)&lt;=MAX('DB Costi-Ore YtD'!$A:$A),SUMIFS('DB Costi-Ore YtD'!$F:$F,'DB Costi-Ore YtD'!$A:$A,M$1,'DB Costi-Ore YtD'!$B:$B,$A205,'DB Costi-Ore YtD'!$E:$E,$C205)-SUM($D205:L205),0)</f>
        <v>0</v>
      </c>
      <c r="N205">
        <f>IF((N$1*1)&lt;=MAX('DB Costi-Ore YtD'!$A:$A),SUMIFS('DB Costi-Ore YtD'!$F:$F,'DB Costi-Ore YtD'!$A:$A,N$1,'DB Costi-Ore YtD'!$B:$B,$A205,'DB Costi-Ore YtD'!$E:$E,$C205)-SUM($D205:M205),0)</f>
        <v>0</v>
      </c>
      <c r="O205">
        <f>IF((O$1*1)&lt;=MAX('DB Costi-Ore YtD'!$A:$A),SUMIFS('DB Costi-Ore YtD'!$F:$F,'DB Costi-Ore YtD'!$A:$A,O$1,'DB Costi-Ore YtD'!$B:$B,$A205,'DB Costi-Ore YtD'!$E:$E,$C205)-SUM($D205:N205),0)</f>
        <v>0</v>
      </c>
    </row>
    <row r="206" spans="1:15" x14ac:dyDescent="0.3">
      <c r="A206" t="s">
        <v>193</v>
      </c>
      <c r="B206" t="s">
        <v>194</v>
      </c>
      <c r="C206" t="s">
        <v>2</v>
      </c>
      <c r="D206">
        <f>IF((D$1*1)&lt;=MAX('DB Costi-Ore YtD'!$A:$A),SUMIFS('DB Costi-Ore YtD'!$F:$F,'DB Costi-Ore YtD'!$A:$A,D$1,'DB Costi-Ore YtD'!$B:$B,$A206,'DB Costi-Ore YtD'!$E:$E,$C206),0)</f>
        <v>0</v>
      </c>
      <c r="E206">
        <f>IF((E$1*1)&lt;=MAX('DB Costi-Ore YtD'!$A:$A),SUMIFS('DB Costi-Ore YtD'!$F:$F,'DB Costi-Ore YtD'!$A:$A,E$1,'DB Costi-Ore YtD'!$B:$B,$A206,'DB Costi-Ore YtD'!$E:$E,$C206)-SUM($D206:D206),0)</f>
        <v>0</v>
      </c>
      <c r="F206">
        <f>IF((F$1*1)&lt;=MAX('DB Costi-Ore YtD'!$A:$A),SUMIFS('DB Costi-Ore YtD'!$F:$F,'DB Costi-Ore YtD'!$A:$A,F$1,'DB Costi-Ore YtD'!$B:$B,$A206,'DB Costi-Ore YtD'!$E:$E,$C206)-SUM($D206:E206),0)</f>
        <v>0</v>
      </c>
      <c r="G206">
        <f>IF((G$1*1)&lt;=MAX('DB Costi-Ore YtD'!$A:$A),SUMIFS('DB Costi-Ore YtD'!$F:$F,'DB Costi-Ore YtD'!$A:$A,G$1,'DB Costi-Ore YtD'!$B:$B,$A206,'DB Costi-Ore YtD'!$E:$E,$C206)-SUM($D206:F206),0)</f>
        <v>0</v>
      </c>
      <c r="H206">
        <f>IF((H$1*1)&lt;=MAX('DB Costi-Ore YtD'!$A:$A),SUMIFS('DB Costi-Ore YtD'!$F:$F,'DB Costi-Ore YtD'!$A:$A,H$1,'DB Costi-Ore YtD'!$B:$B,$A206,'DB Costi-Ore YtD'!$E:$E,$C206)-SUM($D206:G206),0)</f>
        <v>529.75</v>
      </c>
      <c r="I206">
        <f>IF((I$1*1)&lt;=MAX('DB Costi-Ore YtD'!$A:$A),SUMIFS('DB Costi-Ore YtD'!$F:$F,'DB Costi-Ore YtD'!$A:$A,I$1,'DB Costi-Ore YtD'!$B:$B,$A206,'DB Costi-Ore YtD'!$E:$E,$C206)-SUM($D206:H206),0)</f>
        <v>129</v>
      </c>
      <c r="J206">
        <f>IF((J$1*1)&lt;=MAX('DB Costi-Ore YtD'!$A:$A),SUMIFS('DB Costi-Ore YtD'!$F:$F,'DB Costi-Ore YtD'!$A:$A,J$1,'DB Costi-Ore YtD'!$B:$B,$A206,'DB Costi-Ore YtD'!$E:$E,$C206)-SUM($D206:I206),0)</f>
        <v>0</v>
      </c>
      <c r="K206">
        <f>IF((K$1*1)&lt;=MAX('DB Costi-Ore YtD'!$A:$A),SUMIFS('DB Costi-Ore YtD'!$F:$F,'DB Costi-Ore YtD'!$A:$A,K$1,'DB Costi-Ore YtD'!$B:$B,$A206,'DB Costi-Ore YtD'!$E:$E,$C206)-SUM($D206:J206),0)</f>
        <v>0</v>
      </c>
      <c r="L206">
        <f>IF((L$1*1)&lt;=MAX('DB Costi-Ore YtD'!$A:$A),SUMIFS('DB Costi-Ore YtD'!$F:$F,'DB Costi-Ore YtD'!$A:$A,L$1,'DB Costi-Ore YtD'!$B:$B,$A206,'DB Costi-Ore YtD'!$E:$E,$C206)-SUM($D206:K206),0)</f>
        <v>0</v>
      </c>
      <c r="M206">
        <f>IF((M$1*1)&lt;=MAX('DB Costi-Ore YtD'!$A:$A),SUMIFS('DB Costi-Ore YtD'!$F:$F,'DB Costi-Ore YtD'!$A:$A,M$1,'DB Costi-Ore YtD'!$B:$B,$A206,'DB Costi-Ore YtD'!$E:$E,$C206)-SUM($D206:L206),0)</f>
        <v>0</v>
      </c>
      <c r="N206">
        <f>IF((N$1*1)&lt;=MAX('DB Costi-Ore YtD'!$A:$A),SUMIFS('DB Costi-Ore YtD'!$F:$F,'DB Costi-Ore YtD'!$A:$A,N$1,'DB Costi-Ore YtD'!$B:$B,$A206,'DB Costi-Ore YtD'!$E:$E,$C206)-SUM($D206:M206),0)</f>
        <v>0</v>
      </c>
      <c r="O206">
        <f>IF((O$1*1)&lt;=MAX('DB Costi-Ore YtD'!$A:$A),SUMIFS('DB Costi-Ore YtD'!$F:$F,'DB Costi-Ore YtD'!$A:$A,O$1,'DB Costi-Ore YtD'!$B:$B,$A206,'DB Costi-Ore YtD'!$E:$E,$C206)-SUM($D206:N206),0)</f>
        <v>0</v>
      </c>
    </row>
    <row r="207" spans="1:15" x14ac:dyDescent="0.3">
      <c r="A207" t="s">
        <v>227</v>
      </c>
      <c r="B207" t="s">
        <v>228</v>
      </c>
      <c r="C207" t="s">
        <v>12</v>
      </c>
      <c r="D207">
        <f>IF((D$1*1)&lt;=MAX('DB Costi-Ore YtD'!$A:$A),SUMIFS('DB Costi-Ore YtD'!$F:$F,'DB Costi-Ore YtD'!$A:$A,D$1,'DB Costi-Ore YtD'!$B:$B,$A207,'DB Costi-Ore YtD'!$E:$E,$C207),0)</f>
        <v>0</v>
      </c>
      <c r="E207">
        <f>IF((E$1*1)&lt;=MAX('DB Costi-Ore YtD'!$A:$A),SUMIFS('DB Costi-Ore YtD'!$F:$F,'DB Costi-Ore YtD'!$A:$A,E$1,'DB Costi-Ore YtD'!$B:$B,$A207,'DB Costi-Ore YtD'!$E:$E,$C207)-SUM($D207:D207),0)</f>
        <v>0</v>
      </c>
      <c r="F207">
        <f>IF((F$1*1)&lt;=MAX('DB Costi-Ore YtD'!$A:$A),SUMIFS('DB Costi-Ore YtD'!$F:$F,'DB Costi-Ore YtD'!$A:$A,F$1,'DB Costi-Ore YtD'!$B:$B,$A207,'DB Costi-Ore YtD'!$E:$E,$C207)-SUM($D207:E207),0)</f>
        <v>0</v>
      </c>
      <c r="G207">
        <f>IF((G$1*1)&lt;=MAX('DB Costi-Ore YtD'!$A:$A),SUMIFS('DB Costi-Ore YtD'!$F:$F,'DB Costi-Ore YtD'!$A:$A,G$1,'DB Costi-Ore YtD'!$B:$B,$A207,'DB Costi-Ore YtD'!$E:$E,$C207)-SUM($D207:F207),0)</f>
        <v>0</v>
      </c>
      <c r="H207">
        <f>IF((H$1*1)&lt;=MAX('DB Costi-Ore YtD'!$A:$A),SUMIFS('DB Costi-Ore YtD'!$F:$F,'DB Costi-Ore YtD'!$A:$A,H$1,'DB Costi-Ore YtD'!$B:$B,$A207,'DB Costi-Ore YtD'!$E:$E,$C207)-SUM($D207:G207),0)</f>
        <v>601.25</v>
      </c>
      <c r="I207">
        <f>IF((I$1*1)&lt;=MAX('DB Costi-Ore YtD'!$A:$A),SUMIFS('DB Costi-Ore YtD'!$F:$F,'DB Costi-Ore YtD'!$A:$A,I$1,'DB Costi-Ore YtD'!$B:$B,$A207,'DB Costi-Ore YtD'!$E:$E,$C207)-SUM($D207:H207),0)</f>
        <v>91.5</v>
      </c>
      <c r="J207">
        <f>IF((J$1*1)&lt;=MAX('DB Costi-Ore YtD'!$A:$A),SUMIFS('DB Costi-Ore YtD'!$F:$F,'DB Costi-Ore YtD'!$A:$A,J$1,'DB Costi-Ore YtD'!$B:$B,$A207,'DB Costi-Ore YtD'!$E:$E,$C207)-SUM($D207:I207),0)</f>
        <v>0</v>
      </c>
      <c r="K207">
        <f>IF((K$1*1)&lt;=MAX('DB Costi-Ore YtD'!$A:$A),SUMIFS('DB Costi-Ore YtD'!$F:$F,'DB Costi-Ore YtD'!$A:$A,K$1,'DB Costi-Ore YtD'!$B:$B,$A207,'DB Costi-Ore YtD'!$E:$E,$C207)-SUM($D207:J207),0)</f>
        <v>0</v>
      </c>
      <c r="L207">
        <f>IF((L$1*1)&lt;=MAX('DB Costi-Ore YtD'!$A:$A),SUMIFS('DB Costi-Ore YtD'!$F:$F,'DB Costi-Ore YtD'!$A:$A,L$1,'DB Costi-Ore YtD'!$B:$B,$A207,'DB Costi-Ore YtD'!$E:$E,$C207)-SUM($D207:K207),0)</f>
        <v>0</v>
      </c>
      <c r="M207">
        <f>IF((M$1*1)&lt;=MAX('DB Costi-Ore YtD'!$A:$A),SUMIFS('DB Costi-Ore YtD'!$F:$F,'DB Costi-Ore YtD'!$A:$A,M$1,'DB Costi-Ore YtD'!$B:$B,$A207,'DB Costi-Ore YtD'!$E:$E,$C207)-SUM($D207:L207),0)</f>
        <v>0</v>
      </c>
      <c r="N207">
        <f>IF((N$1*1)&lt;=MAX('DB Costi-Ore YtD'!$A:$A),SUMIFS('DB Costi-Ore YtD'!$F:$F,'DB Costi-Ore YtD'!$A:$A,N$1,'DB Costi-Ore YtD'!$B:$B,$A207,'DB Costi-Ore YtD'!$E:$E,$C207)-SUM($D207:M207),0)</f>
        <v>0</v>
      </c>
      <c r="O207">
        <f>IF((O$1*1)&lt;=MAX('DB Costi-Ore YtD'!$A:$A),SUMIFS('DB Costi-Ore YtD'!$F:$F,'DB Costi-Ore YtD'!$A:$A,O$1,'DB Costi-Ore YtD'!$B:$B,$A207,'DB Costi-Ore YtD'!$E:$E,$C207)-SUM($D207:N207),0)</f>
        <v>0</v>
      </c>
    </row>
    <row r="208" spans="1:15" x14ac:dyDescent="0.3">
      <c r="A208" t="s">
        <v>417</v>
      </c>
      <c r="B208" t="s">
        <v>232</v>
      </c>
      <c r="C208" t="s">
        <v>2</v>
      </c>
      <c r="D208">
        <f>IF((D$1*1)&lt;=MAX('DB Costi-Ore YtD'!$A:$A),SUMIFS('DB Costi-Ore YtD'!$F:$F,'DB Costi-Ore YtD'!$A:$A,D$1,'DB Costi-Ore YtD'!$B:$B,$A208,'DB Costi-Ore YtD'!$E:$E,$C208),0)</f>
        <v>0</v>
      </c>
      <c r="E208">
        <f>IF((E$1*1)&lt;=MAX('DB Costi-Ore YtD'!$A:$A),SUMIFS('DB Costi-Ore YtD'!$F:$F,'DB Costi-Ore YtD'!$A:$A,E$1,'DB Costi-Ore YtD'!$B:$B,$A208,'DB Costi-Ore YtD'!$E:$E,$C208)-SUM($D208:D208),0)</f>
        <v>0</v>
      </c>
      <c r="F208">
        <f>IF((F$1*1)&lt;=MAX('DB Costi-Ore YtD'!$A:$A),SUMIFS('DB Costi-Ore YtD'!$F:$F,'DB Costi-Ore YtD'!$A:$A,F$1,'DB Costi-Ore YtD'!$B:$B,$A208,'DB Costi-Ore YtD'!$E:$E,$C208)-SUM($D208:E208),0)</f>
        <v>0</v>
      </c>
      <c r="G208">
        <f>IF((G$1*1)&lt;=MAX('DB Costi-Ore YtD'!$A:$A),SUMIFS('DB Costi-Ore YtD'!$F:$F,'DB Costi-Ore YtD'!$A:$A,G$1,'DB Costi-Ore YtD'!$B:$B,$A208,'DB Costi-Ore YtD'!$E:$E,$C208)-SUM($D208:F208),0)</f>
        <v>0</v>
      </c>
      <c r="H208">
        <f>IF((H$1*1)&lt;=MAX('DB Costi-Ore YtD'!$A:$A),SUMIFS('DB Costi-Ore YtD'!$F:$F,'DB Costi-Ore YtD'!$A:$A,H$1,'DB Costi-Ore YtD'!$B:$B,$A208,'DB Costi-Ore YtD'!$E:$E,$C208)-SUM($D208:G208),0)</f>
        <v>101.75</v>
      </c>
      <c r="I208">
        <f>IF((I$1*1)&lt;=MAX('DB Costi-Ore YtD'!$A:$A),SUMIFS('DB Costi-Ore YtD'!$F:$F,'DB Costi-Ore YtD'!$A:$A,I$1,'DB Costi-Ore YtD'!$B:$B,$A208,'DB Costi-Ore YtD'!$E:$E,$C208)-SUM($D208:H208),0)</f>
        <v>-101.75</v>
      </c>
      <c r="J208">
        <f>IF((J$1*1)&lt;=MAX('DB Costi-Ore YtD'!$A:$A),SUMIFS('DB Costi-Ore YtD'!$F:$F,'DB Costi-Ore YtD'!$A:$A,J$1,'DB Costi-Ore YtD'!$B:$B,$A208,'DB Costi-Ore YtD'!$E:$E,$C208)-SUM($D208:I208),0)</f>
        <v>0</v>
      </c>
      <c r="K208">
        <f>IF((K$1*1)&lt;=MAX('DB Costi-Ore YtD'!$A:$A),SUMIFS('DB Costi-Ore YtD'!$F:$F,'DB Costi-Ore YtD'!$A:$A,K$1,'DB Costi-Ore YtD'!$B:$B,$A208,'DB Costi-Ore YtD'!$E:$E,$C208)-SUM($D208:J208),0)</f>
        <v>0</v>
      </c>
      <c r="L208">
        <f>IF((L$1*1)&lt;=MAX('DB Costi-Ore YtD'!$A:$A),SUMIFS('DB Costi-Ore YtD'!$F:$F,'DB Costi-Ore YtD'!$A:$A,L$1,'DB Costi-Ore YtD'!$B:$B,$A208,'DB Costi-Ore YtD'!$E:$E,$C208)-SUM($D208:K208),0)</f>
        <v>0</v>
      </c>
      <c r="M208">
        <f>IF((M$1*1)&lt;=MAX('DB Costi-Ore YtD'!$A:$A),SUMIFS('DB Costi-Ore YtD'!$F:$F,'DB Costi-Ore YtD'!$A:$A,M$1,'DB Costi-Ore YtD'!$B:$B,$A208,'DB Costi-Ore YtD'!$E:$E,$C208)-SUM($D208:L208),0)</f>
        <v>0</v>
      </c>
      <c r="N208">
        <f>IF((N$1*1)&lt;=MAX('DB Costi-Ore YtD'!$A:$A),SUMIFS('DB Costi-Ore YtD'!$F:$F,'DB Costi-Ore YtD'!$A:$A,N$1,'DB Costi-Ore YtD'!$B:$B,$A208,'DB Costi-Ore YtD'!$E:$E,$C208)-SUM($D208:M208),0)</f>
        <v>0</v>
      </c>
      <c r="O208">
        <f>IF((O$1*1)&lt;=MAX('DB Costi-Ore YtD'!$A:$A),SUMIFS('DB Costi-Ore YtD'!$F:$F,'DB Costi-Ore YtD'!$A:$A,O$1,'DB Costi-Ore YtD'!$B:$B,$A208,'DB Costi-Ore YtD'!$E:$E,$C208)-SUM($D208:N208),0)</f>
        <v>0</v>
      </c>
    </row>
    <row r="209" spans="1:15" x14ac:dyDescent="0.3">
      <c r="A209" t="s">
        <v>233</v>
      </c>
      <c r="B209" t="s">
        <v>234</v>
      </c>
      <c r="C209" t="s">
        <v>3</v>
      </c>
      <c r="D209">
        <f>IF((D$1*1)&lt;=MAX('DB Costi-Ore YtD'!$A:$A),SUMIFS('DB Costi-Ore YtD'!$F:$F,'DB Costi-Ore YtD'!$A:$A,D$1,'DB Costi-Ore YtD'!$B:$B,$A209,'DB Costi-Ore YtD'!$E:$E,$C209),0)</f>
        <v>0</v>
      </c>
      <c r="E209">
        <f>IF((E$1*1)&lt;=MAX('DB Costi-Ore YtD'!$A:$A),SUMIFS('DB Costi-Ore YtD'!$F:$F,'DB Costi-Ore YtD'!$A:$A,E$1,'DB Costi-Ore YtD'!$B:$B,$A209,'DB Costi-Ore YtD'!$E:$E,$C209)-SUM($D209:D209),0)</f>
        <v>0</v>
      </c>
      <c r="F209">
        <f>IF((F$1*1)&lt;=MAX('DB Costi-Ore YtD'!$A:$A),SUMIFS('DB Costi-Ore YtD'!$F:$F,'DB Costi-Ore YtD'!$A:$A,F$1,'DB Costi-Ore YtD'!$B:$B,$A209,'DB Costi-Ore YtD'!$E:$E,$C209)-SUM($D209:E209),0)</f>
        <v>0</v>
      </c>
      <c r="G209">
        <f>IF((G$1*1)&lt;=MAX('DB Costi-Ore YtD'!$A:$A),SUMIFS('DB Costi-Ore YtD'!$F:$F,'DB Costi-Ore YtD'!$A:$A,G$1,'DB Costi-Ore YtD'!$B:$B,$A209,'DB Costi-Ore YtD'!$E:$E,$C209)-SUM($D209:F209),0)</f>
        <v>0</v>
      </c>
      <c r="H209">
        <f>IF((H$1*1)&lt;=MAX('DB Costi-Ore YtD'!$A:$A),SUMIFS('DB Costi-Ore YtD'!$F:$F,'DB Costi-Ore YtD'!$A:$A,H$1,'DB Costi-Ore YtD'!$B:$B,$A209,'DB Costi-Ore YtD'!$E:$E,$C209)-SUM($D209:G209),0)</f>
        <v>475.25</v>
      </c>
      <c r="I209">
        <f>IF((I$1*1)&lt;=MAX('DB Costi-Ore YtD'!$A:$A),SUMIFS('DB Costi-Ore YtD'!$F:$F,'DB Costi-Ore YtD'!$A:$A,I$1,'DB Costi-Ore YtD'!$B:$B,$A209,'DB Costi-Ore YtD'!$E:$E,$C209)-SUM($D209:H209),0)</f>
        <v>70.25</v>
      </c>
      <c r="J209">
        <f>IF((J$1*1)&lt;=MAX('DB Costi-Ore YtD'!$A:$A),SUMIFS('DB Costi-Ore YtD'!$F:$F,'DB Costi-Ore YtD'!$A:$A,J$1,'DB Costi-Ore YtD'!$B:$B,$A209,'DB Costi-Ore YtD'!$E:$E,$C209)-SUM($D209:I209),0)</f>
        <v>0</v>
      </c>
      <c r="K209">
        <f>IF((K$1*1)&lt;=MAX('DB Costi-Ore YtD'!$A:$A),SUMIFS('DB Costi-Ore YtD'!$F:$F,'DB Costi-Ore YtD'!$A:$A,K$1,'DB Costi-Ore YtD'!$B:$B,$A209,'DB Costi-Ore YtD'!$E:$E,$C209)-SUM($D209:J209),0)</f>
        <v>0</v>
      </c>
      <c r="L209">
        <f>IF((L$1*1)&lt;=MAX('DB Costi-Ore YtD'!$A:$A),SUMIFS('DB Costi-Ore YtD'!$F:$F,'DB Costi-Ore YtD'!$A:$A,L$1,'DB Costi-Ore YtD'!$B:$B,$A209,'DB Costi-Ore YtD'!$E:$E,$C209)-SUM($D209:K209),0)</f>
        <v>0</v>
      </c>
      <c r="M209">
        <f>IF((M$1*1)&lt;=MAX('DB Costi-Ore YtD'!$A:$A),SUMIFS('DB Costi-Ore YtD'!$F:$F,'DB Costi-Ore YtD'!$A:$A,M$1,'DB Costi-Ore YtD'!$B:$B,$A209,'DB Costi-Ore YtD'!$E:$E,$C209)-SUM($D209:L209),0)</f>
        <v>0</v>
      </c>
      <c r="N209">
        <f>IF((N$1*1)&lt;=MAX('DB Costi-Ore YtD'!$A:$A),SUMIFS('DB Costi-Ore YtD'!$F:$F,'DB Costi-Ore YtD'!$A:$A,N$1,'DB Costi-Ore YtD'!$B:$B,$A209,'DB Costi-Ore YtD'!$E:$E,$C209)-SUM($D209:M209),0)</f>
        <v>0</v>
      </c>
      <c r="O209">
        <f>IF((O$1*1)&lt;=MAX('DB Costi-Ore YtD'!$A:$A),SUMIFS('DB Costi-Ore YtD'!$F:$F,'DB Costi-Ore YtD'!$A:$A,O$1,'DB Costi-Ore YtD'!$B:$B,$A209,'DB Costi-Ore YtD'!$E:$E,$C209)-SUM($D209:N209),0)</f>
        <v>0</v>
      </c>
    </row>
    <row r="210" spans="1:15" x14ac:dyDescent="0.3">
      <c r="A210" t="s">
        <v>279</v>
      </c>
      <c r="B210" t="s">
        <v>280</v>
      </c>
      <c r="C210" t="s">
        <v>8</v>
      </c>
      <c r="D210">
        <f>IF((D$1*1)&lt;=MAX('DB Costi-Ore YtD'!$A:$A),SUMIFS('DB Costi-Ore YtD'!$F:$F,'DB Costi-Ore YtD'!$A:$A,D$1,'DB Costi-Ore YtD'!$B:$B,$A210,'DB Costi-Ore YtD'!$E:$E,$C210),0)</f>
        <v>0</v>
      </c>
      <c r="E210">
        <f>IF((E$1*1)&lt;=MAX('DB Costi-Ore YtD'!$A:$A),SUMIFS('DB Costi-Ore YtD'!$F:$F,'DB Costi-Ore YtD'!$A:$A,E$1,'DB Costi-Ore YtD'!$B:$B,$A210,'DB Costi-Ore YtD'!$E:$E,$C210)-SUM($D210:D210),0)</f>
        <v>0</v>
      </c>
      <c r="F210">
        <f>IF((F$1*1)&lt;=MAX('DB Costi-Ore YtD'!$A:$A),SUMIFS('DB Costi-Ore YtD'!$F:$F,'DB Costi-Ore YtD'!$A:$A,F$1,'DB Costi-Ore YtD'!$B:$B,$A210,'DB Costi-Ore YtD'!$E:$E,$C210)-SUM($D210:E210),0)</f>
        <v>0</v>
      </c>
      <c r="G210">
        <f>IF((G$1*1)&lt;=MAX('DB Costi-Ore YtD'!$A:$A),SUMIFS('DB Costi-Ore YtD'!$F:$F,'DB Costi-Ore YtD'!$A:$A,G$1,'DB Costi-Ore YtD'!$B:$B,$A210,'DB Costi-Ore YtD'!$E:$E,$C210)-SUM($D210:F210),0)</f>
        <v>0</v>
      </c>
      <c r="H210">
        <f>IF((H$1*1)&lt;=MAX('DB Costi-Ore YtD'!$A:$A),SUMIFS('DB Costi-Ore YtD'!$F:$F,'DB Costi-Ore YtD'!$A:$A,H$1,'DB Costi-Ore YtD'!$B:$B,$A210,'DB Costi-Ore YtD'!$E:$E,$C210)-SUM($D210:G210),0)</f>
        <v>693</v>
      </c>
      <c r="I210">
        <f>IF((I$1*1)&lt;=MAX('DB Costi-Ore YtD'!$A:$A),SUMIFS('DB Costi-Ore YtD'!$F:$F,'DB Costi-Ore YtD'!$A:$A,I$1,'DB Costi-Ore YtD'!$B:$B,$A210,'DB Costi-Ore YtD'!$E:$E,$C210)-SUM($D210:H210),0)</f>
        <v>149.75</v>
      </c>
      <c r="J210">
        <f>IF((J$1*1)&lt;=MAX('DB Costi-Ore YtD'!$A:$A),SUMIFS('DB Costi-Ore YtD'!$F:$F,'DB Costi-Ore YtD'!$A:$A,J$1,'DB Costi-Ore YtD'!$B:$B,$A210,'DB Costi-Ore YtD'!$E:$E,$C210)-SUM($D210:I210),0)</f>
        <v>0</v>
      </c>
      <c r="K210">
        <f>IF((K$1*1)&lt;=MAX('DB Costi-Ore YtD'!$A:$A),SUMIFS('DB Costi-Ore YtD'!$F:$F,'DB Costi-Ore YtD'!$A:$A,K$1,'DB Costi-Ore YtD'!$B:$B,$A210,'DB Costi-Ore YtD'!$E:$E,$C210)-SUM($D210:J210),0)</f>
        <v>0</v>
      </c>
      <c r="L210">
        <f>IF((L$1*1)&lt;=MAX('DB Costi-Ore YtD'!$A:$A),SUMIFS('DB Costi-Ore YtD'!$F:$F,'DB Costi-Ore YtD'!$A:$A,L$1,'DB Costi-Ore YtD'!$B:$B,$A210,'DB Costi-Ore YtD'!$E:$E,$C210)-SUM($D210:K210),0)</f>
        <v>0</v>
      </c>
      <c r="M210">
        <f>IF((M$1*1)&lt;=MAX('DB Costi-Ore YtD'!$A:$A),SUMIFS('DB Costi-Ore YtD'!$F:$F,'DB Costi-Ore YtD'!$A:$A,M$1,'DB Costi-Ore YtD'!$B:$B,$A210,'DB Costi-Ore YtD'!$E:$E,$C210)-SUM($D210:L210),0)</f>
        <v>0</v>
      </c>
      <c r="N210">
        <f>IF((N$1*1)&lt;=MAX('DB Costi-Ore YtD'!$A:$A),SUMIFS('DB Costi-Ore YtD'!$F:$F,'DB Costi-Ore YtD'!$A:$A,N$1,'DB Costi-Ore YtD'!$B:$B,$A210,'DB Costi-Ore YtD'!$E:$E,$C210)-SUM($D210:M210),0)</f>
        <v>0</v>
      </c>
      <c r="O210">
        <f>IF((O$1*1)&lt;=MAX('DB Costi-Ore YtD'!$A:$A),SUMIFS('DB Costi-Ore YtD'!$F:$F,'DB Costi-Ore YtD'!$A:$A,O$1,'DB Costi-Ore YtD'!$B:$B,$A210,'DB Costi-Ore YtD'!$E:$E,$C210)-SUM($D210:N210),0)</f>
        <v>0</v>
      </c>
    </row>
    <row r="211" spans="1:15" x14ac:dyDescent="0.3">
      <c r="A211" t="s">
        <v>418</v>
      </c>
      <c r="B211" t="s">
        <v>238</v>
      </c>
      <c r="C211" t="s">
        <v>5</v>
      </c>
      <c r="D211">
        <f>IF((D$1*1)&lt;=MAX('DB Costi-Ore YtD'!$A:$A),SUMIFS('DB Costi-Ore YtD'!$F:$F,'DB Costi-Ore YtD'!$A:$A,D$1,'DB Costi-Ore YtD'!$B:$B,$A211,'DB Costi-Ore YtD'!$E:$E,$C211),0)</f>
        <v>0</v>
      </c>
      <c r="E211">
        <f>IF((E$1*1)&lt;=MAX('DB Costi-Ore YtD'!$A:$A),SUMIFS('DB Costi-Ore YtD'!$F:$F,'DB Costi-Ore YtD'!$A:$A,E$1,'DB Costi-Ore YtD'!$B:$B,$A211,'DB Costi-Ore YtD'!$E:$E,$C211)-SUM($D211:D211),0)</f>
        <v>0</v>
      </c>
      <c r="F211">
        <f>IF((F$1*1)&lt;=MAX('DB Costi-Ore YtD'!$A:$A),SUMIFS('DB Costi-Ore YtD'!$F:$F,'DB Costi-Ore YtD'!$A:$A,F$1,'DB Costi-Ore YtD'!$B:$B,$A211,'DB Costi-Ore YtD'!$E:$E,$C211)-SUM($D211:E211),0)</f>
        <v>0</v>
      </c>
      <c r="G211">
        <f>IF((G$1*1)&lt;=MAX('DB Costi-Ore YtD'!$A:$A),SUMIFS('DB Costi-Ore YtD'!$F:$F,'DB Costi-Ore YtD'!$A:$A,G$1,'DB Costi-Ore YtD'!$B:$B,$A211,'DB Costi-Ore YtD'!$E:$E,$C211)-SUM($D211:F211),0)</f>
        <v>0</v>
      </c>
      <c r="H211">
        <f>IF((H$1*1)&lt;=MAX('DB Costi-Ore YtD'!$A:$A),SUMIFS('DB Costi-Ore YtD'!$F:$F,'DB Costi-Ore YtD'!$A:$A,H$1,'DB Costi-Ore YtD'!$B:$B,$A211,'DB Costi-Ore YtD'!$E:$E,$C211)-SUM($D211:G211),0)</f>
        <v>91</v>
      </c>
      <c r="I211">
        <f>IF((I$1*1)&lt;=MAX('DB Costi-Ore YtD'!$A:$A),SUMIFS('DB Costi-Ore YtD'!$F:$F,'DB Costi-Ore YtD'!$A:$A,I$1,'DB Costi-Ore YtD'!$B:$B,$A211,'DB Costi-Ore YtD'!$E:$E,$C211)-SUM($D211:H211),0)</f>
        <v>152</v>
      </c>
      <c r="J211">
        <f>IF((J$1*1)&lt;=MAX('DB Costi-Ore YtD'!$A:$A),SUMIFS('DB Costi-Ore YtD'!$F:$F,'DB Costi-Ore YtD'!$A:$A,J$1,'DB Costi-Ore YtD'!$B:$B,$A211,'DB Costi-Ore YtD'!$E:$E,$C211)-SUM($D211:I211),0)</f>
        <v>0</v>
      </c>
      <c r="K211">
        <f>IF((K$1*1)&lt;=MAX('DB Costi-Ore YtD'!$A:$A),SUMIFS('DB Costi-Ore YtD'!$F:$F,'DB Costi-Ore YtD'!$A:$A,K$1,'DB Costi-Ore YtD'!$B:$B,$A211,'DB Costi-Ore YtD'!$E:$E,$C211)-SUM($D211:J211),0)</f>
        <v>0</v>
      </c>
      <c r="L211">
        <f>IF((L$1*1)&lt;=MAX('DB Costi-Ore YtD'!$A:$A),SUMIFS('DB Costi-Ore YtD'!$F:$F,'DB Costi-Ore YtD'!$A:$A,L$1,'DB Costi-Ore YtD'!$B:$B,$A211,'DB Costi-Ore YtD'!$E:$E,$C211)-SUM($D211:K211),0)</f>
        <v>0</v>
      </c>
      <c r="M211">
        <f>IF((M$1*1)&lt;=MAX('DB Costi-Ore YtD'!$A:$A),SUMIFS('DB Costi-Ore YtD'!$F:$F,'DB Costi-Ore YtD'!$A:$A,M$1,'DB Costi-Ore YtD'!$B:$B,$A211,'DB Costi-Ore YtD'!$E:$E,$C211)-SUM($D211:L211),0)</f>
        <v>0</v>
      </c>
      <c r="N211">
        <f>IF((N$1*1)&lt;=MAX('DB Costi-Ore YtD'!$A:$A),SUMIFS('DB Costi-Ore YtD'!$F:$F,'DB Costi-Ore YtD'!$A:$A,N$1,'DB Costi-Ore YtD'!$B:$B,$A211,'DB Costi-Ore YtD'!$E:$E,$C211)-SUM($D211:M211),0)</f>
        <v>0</v>
      </c>
      <c r="O211">
        <f>IF((O$1*1)&lt;=MAX('DB Costi-Ore YtD'!$A:$A),SUMIFS('DB Costi-Ore YtD'!$F:$F,'DB Costi-Ore YtD'!$A:$A,O$1,'DB Costi-Ore YtD'!$B:$B,$A211,'DB Costi-Ore YtD'!$E:$E,$C211)-SUM($D211:N211),0)</f>
        <v>0</v>
      </c>
    </row>
    <row r="212" spans="1:15" x14ac:dyDescent="0.3">
      <c r="A212" t="s">
        <v>419</v>
      </c>
      <c r="B212" t="s">
        <v>420</v>
      </c>
      <c r="C212" t="s">
        <v>5</v>
      </c>
      <c r="D212">
        <f>IF((D$1*1)&lt;=MAX('DB Costi-Ore YtD'!$A:$A),SUMIFS('DB Costi-Ore YtD'!$F:$F,'DB Costi-Ore YtD'!$A:$A,D$1,'DB Costi-Ore YtD'!$B:$B,$A212,'DB Costi-Ore YtD'!$E:$E,$C212),0)</f>
        <v>0</v>
      </c>
      <c r="E212">
        <f>IF((E$1*1)&lt;=MAX('DB Costi-Ore YtD'!$A:$A),SUMIFS('DB Costi-Ore YtD'!$F:$F,'DB Costi-Ore YtD'!$A:$A,E$1,'DB Costi-Ore YtD'!$B:$B,$A212,'DB Costi-Ore YtD'!$E:$E,$C212)-SUM($D212:D212),0)</f>
        <v>0</v>
      </c>
      <c r="F212">
        <f>IF((F$1*1)&lt;=MAX('DB Costi-Ore YtD'!$A:$A),SUMIFS('DB Costi-Ore YtD'!$F:$F,'DB Costi-Ore YtD'!$A:$A,F$1,'DB Costi-Ore YtD'!$B:$B,$A212,'DB Costi-Ore YtD'!$E:$E,$C212)-SUM($D212:E212),0)</f>
        <v>0</v>
      </c>
      <c r="G212">
        <f>IF((G$1*1)&lt;=MAX('DB Costi-Ore YtD'!$A:$A),SUMIFS('DB Costi-Ore YtD'!$F:$F,'DB Costi-Ore YtD'!$A:$A,G$1,'DB Costi-Ore YtD'!$B:$B,$A212,'DB Costi-Ore YtD'!$E:$E,$C212)-SUM($D212:F212),0)</f>
        <v>0</v>
      </c>
      <c r="H212">
        <f>IF((H$1*1)&lt;=MAX('DB Costi-Ore YtD'!$A:$A),SUMIFS('DB Costi-Ore YtD'!$F:$F,'DB Costi-Ore YtD'!$A:$A,H$1,'DB Costi-Ore YtD'!$B:$B,$A212,'DB Costi-Ore YtD'!$E:$E,$C212)-SUM($D212:G212),0)</f>
        <v>0</v>
      </c>
      <c r="I212">
        <f>IF((I$1*1)&lt;=MAX('DB Costi-Ore YtD'!$A:$A),SUMIFS('DB Costi-Ore YtD'!$F:$F,'DB Costi-Ore YtD'!$A:$A,I$1,'DB Costi-Ore YtD'!$B:$B,$A212,'DB Costi-Ore YtD'!$E:$E,$C212)-SUM($D212:H212),0)</f>
        <v>0</v>
      </c>
      <c r="J212">
        <f>IF((J$1*1)&lt;=MAX('DB Costi-Ore YtD'!$A:$A),SUMIFS('DB Costi-Ore YtD'!$F:$F,'DB Costi-Ore YtD'!$A:$A,J$1,'DB Costi-Ore YtD'!$B:$B,$A212,'DB Costi-Ore YtD'!$E:$E,$C212)-SUM($D212:I212),0)</f>
        <v>0</v>
      </c>
      <c r="K212">
        <f>IF((K$1*1)&lt;=MAX('DB Costi-Ore YtD'!$A:$A),SUMIFS('DB Costi-Ore YtD'!$F:$F,'DB Costi-Ore YtD'!$A:$A,K$1,'DB Costi-Ore YtD'!$B:$B,$A212,'DB Costi-Ore YtD'!$E:$E,$C212)-SUM($D212:J212),0)</f>
        <v>0</v>
      </c>
      <c r="L212">
        <f>IF((L$1*1)&lt;=MAX('DB Costi-Ore YtD'!$A:$A),SUMIFS('DB Costi-Ore YtD'!$F:$F,'DB Costi-Ore YtD'!$A:$A,L$1,'DB Costi-Ore YtD'!$B:$B,$A212,'DB Costi-Ore YtD'!$E:$E,$C212)-SUM($D212:K212),0)</f>
        <v>0</v>
      </c>
      <c r="M212">
        <f>IF((M$1*1)&lt;=MAX('DB Costi-Ore YtD'!$A:$A),SUMIFS('DB Costi-Ore YtD'!$F:$F,'DB Costi-Ore YtD'!$A:$A,M$1,'DB Costi-Ore YtD'!$B:$B,$A212,'DB Costi-Ore YtD'!$E:$E,$C212)-SUM($D212:L212),0)</f>
        <v>0</v>
      </c>
      <c r="N212">
        <f>IF((N$1*1)&lt;=MAX('DB Costi-Ore YtD'!$A:$A),SUMIFS('DB Costi-Ore YtD'!$F:$F,'DB Costi-Ore YtD'!$A:$A,N$1,'DB Costi-Ore YtD'!$B:$B,$A212,'DB Costi-Ore YtD'!$E:$E,$C212)-SUM($D212:M212),0)</f>
        <v>0</v>
      </c>
      <c r="O212">
        <f>IF((O$1*1)&lt;=MAX('DB Costi-Ore YtD'!$A:$A),SUMIFS('DB Costi-Ore YtD'!$F:$F,'DB Costi-Ore YtD'!$A:$A,O$1,'DB Costi-Ore YtD'!$B:$B,$A212,'DB Costi-Ore YtD'!$E:$E,$C212)-SUM($D212:N212),0)</f>
        <v>0</v>
      </c>
    </row>
    <row r="213" spans="1:15" x14ac:dyDescent="0.3">
      <c r="A213" t="s">
        <v>421</v>
      </c>
      <c r="B213" t="s">
        <v>422</v>
      </c>
      <c r="C213" t="s">
        <v>5</v>
      </c>
      <c r="D213">
        <f>IF((D$1*1)&lt;=MAX('DB Costi-Ore YtD'!$A:$A),SUMIFS('DB Costi-Ore YtD'!$F:$F,'DB Costi-Ore YtD'!$A:$A,D$1,'DB Costi-Ore YtD'!$B:$B,$A213,'DB Costi-Ore YtD'!$E:$E,$C213),0)</f>
        <v>0</v>
      </c>
      <c r="E213">
        <f>IF((E$1*1)&lt;=MAX('DB Costi-Ore YtD'!$A:$A),SUMIFS('DB Costi-Ore YtD'!$F:$F,'DB Costi-Ore YtD'!$A:$A,E$1,'DB Costi-Ore YtD'!$B:$B,$A213,'DB Costi-Ore YtD'!$E:$E,$C213)-SUM($D213:D213),0)</f>
        <v>0</v>
      </c>
      <c r="F213">
        <f>IF((F$1*1)&lt;=MAX('DB Costi-Ore YtD'!$A:$A),SUMIFS('DB Costi-Ore YtD'!$F:$F,'DB Costi-Ore YtD'!$A:$A,F$1,'DB Costi-Ore YtD'!$B:$B,$A213,'DB Costi-Ore YtD'!$E:$E,$C213)-SUM($D213:E213),0)</f>
        <v>0</v>
      </c>
      <c r="G213">
        <f>IF((G$1*1)&lt;=MAX('DB Costi-Ore YtD'!$A:$A),SUMIFS('DB Costi-Ore YtD'!$F:$F,'DB Costi-Ore YtD'!$A:$A,G$1,'DB Costi-Ore YtD'!$B:$B,$A213,'DB Costi-Ore YtD'!$E:$E,$C213)-SUM($D213:F213),0)</f>
        <v>0</v>
      </c>
      <c r="H213">
        <f>IF((H$1*1)&lt;=MAX('DB Costi-Ore YtD'!$A:$A),SUMIFS('DB Costi-Ore YtD'!$F:$F,'DB Costi-Ore YtD'!$A:$A,H$1,'DB Costi-Ore YtD'!$B:$B,$A213,'DB Costi-Ore YtD'!$E:$E,$C213)-SUM($D213:G213),0)</f>
        <v>0</v>
      </c>
      <c r="I213">
        <f>IF((I$1*1)&lt;=MAX('DB Costi-Ore YtD'!$A:$A),SUMIFS('DB Costi-Ore YtD'!$F:$F,'DB Costi-Ore YtD'!$A:$A,I$1,'DB Costi-Ore YtD'!$B:$B,$A213,'DB Costi-Ore YtD'!$E:$E,$C213)-SUM($D213:H213),0)</f>
        <v>0</v>
      </c>
      <c r="J213">
        <f>IF((J$1*1)&lt;=MAX('DB Costi-Ore YtD'!$A:$A),SUMIFS('DB Costi-Ore YtD'!$F:$F,'DB Costi-Ore YtD'!$A:$A,J$1,'DB Costi-Ore YtD'!$B:$B,$A213,'DB Costi-Ore YtD'!$E:$E,$C213)-SUM($D213:I213),0)</f>
        <v>0</v>
      </c>
      <c r="K213">
        <f>IF((K$1*1)&lt;=MAX('DB Costi-Ore YtD'!$A:$A),SUMIFS('DB Costi-Ore YtD'!$F:$F,'DB Costi-Ore YtD'!$A:$A,K$1,'DB Costi-Ore YtD'!$B:$B,$A213,'DB Costi-Ore YtD'!$E:$E,$C213)-SUM($D213:J213),0)</f>
        <v>0</v>
      </c>
      <c r="L213">
        <f>IF((L$1*1)&lt;=MAX('DB Costi-Ore YtD'!$A:$A),SUMIFS('DB Costi-Ore YtD'!$F:$F,'DB Costi-Ore YtD'!$A:$A,L$1,'DB Costi-Ore YtD'!$B:$B,$A213,'DB Costi-Ore YtD'!$E:$E,$C213)-SUM($D213:K213),0)</f>
        <v>0</v>
      </c>
      <c r="M213">
        <f>IF((M$1*1)&lt;=MAX('DB Costi-Ore YtD'!$A:$A),SUMIFS('DB Costi-Ore YtD'!$F:$F,'DB Costi-Ore YtD'!$A:$A,M$1,'DB Costi-Ore YtD'!$B:$B,$A213,'DB Costi-Ore YtD'!$E:$E,$C213)-SUM($D213:L213),0)</f>
        <v>0</v>
      </c>
      <c r="N213">
        <f>IF((N$1*1)&lt;=MAX('DB Costi-Ore YtD'!$A:$A),SUMIFS('DB Costi-Ore YtD'!$F:$F,'DB Costi-Ore YtD'!$A:$A,N$1,'DB Costi-Ore YtD'!$B:$B,$A213,'DB Costi-Ore YtD'!$E:$E,$C213)-SUM($D213:M213),0)</f>
        <v>0</v>
      </c>
      <c r="O213">
        <f>IF((O$1*1)&lt;=MAX('DB Costi-Ore YtD'!$A:$A),SUMIFS('DB Costi-Ore YtD'!$F:$F,'DB Costi-Ore YtD'!$A:$A,O$1,'DB Costi-Ore YtD'!$B:$B,$A213,'DB Costi-Ore YtD'!$E:$E,$C213)-SUM($D213:N213),0)</f>
        <v>0</v>
      </c>
    </row>
    <row r="214" spans="1:15" x14ac:dyDescent="0.3">
      <c r="A214" t="s">
        <v>423</v>
      </c>
      <c r="B214" t="s">
        <v>424</v>
      </c>
      <c r="C214" t="s">
        <v>5</v>
      </c>
      <c r="D214">
        <f>IF((D$1*1)&lt;=MAX('DB Costi-Ore YtD'!$A:$A),SUMIFS('DB Costi-Ore YtD'!$F:$F,'DB Costi-Ore YtD'!$A:$A,D$1,'DB Costi-Ore YtD'!$B:$B,$A214,'DB Costi-Ore YtD'!$E:$E,$C214),0)</f>
        <v>0</v>
      </c>
      <c r="E214">
        <f>IF((E$1*1)&lt;=MAX('DB Costi-Ore YtD'!$A:$A),SUMIFS('DB Costi-Ore YtD'!$F:$F,'DB Costi-Ore YtD'!$A:$A,E$1,'DB Costi-Ore YtD'!$B:$B,$A214,'DB Costi-Ore YtD'!$E:$E,$C214)-SUM($D214:D214),0)</f>
        <v>0</v>
      </c>
      <c r="F214">
        <f>IF((F$1*1)&lt;=MAX('DB Costi-Ore YtD'!$A:$A),SUMIFS('DB Costi-Ore YtD'!$F:$F,'DB Costi-Ore YtD'!$A:$A,F$1,'DB Costi-Ore YtD'!$B:$B,$A214,'DB Costi-Ore YtD'!$E:$E,$C214)-SUM($D214:E214),0)</f>
        <v>0</v>
      </c>
      <c r="G214">
        <f>IF((G$1*1)&lt;=MAX('DB Costi-Ore YtD'!$A:$A),SUMIFS('DB Costi-Ore YtD'!$F:$F,'DB Costi-Ore YtD'!$A:$A,G$1,'DB Costi-Ore YtD'!$B:$B,$A214,'DB Costi-Ore YtD'!$E:$E,$C214)-SUM($D214:F214),0)</f>
        <v>0</v>
      </c>
      <c r="H214">
        <f>IF((H$1*1)&lt;=MAX('DB Costi-Ore YtD'!$A:$A),SUMIFS('DB Costi-Ore YtD'!$F:$F,'DB Costi-Ore YtD'!$A:$A,H$1,'DB Costi-Ore YtD'!$B:$B,$A214,'DB Costi-Ore YtD'!$E:$E,$C214)-SUM($D214:G214),0)</f>
        <v>0</v>
      </c>
      <c r="I214">
        <f>IF((I$1*1)&lt;=MAX('DB Costi-Ore YtD'!$A:$A),SUMIFS('DB Costi-Ore YtD'!$F:$F,'DB Costi-Ore YtD'!$A:$A,I$1,'DB Costi-Ore YtD'!$B:$B,$A214,'DB Costi-Ore YtD'!$E:$E,$C214)-SUM($D214:H214),0)</f>
        <v>0</v>
      </c>
      <c r="J214">
        <f>IF((J$1*1)&lt;=MAX('DB Costi-Ore YtD'!$A:$A),SUMIFS('DB Costi-Ore YtD'!$F:$F,'DB Costi-Ore YtD'!$A:$A,J$1,'DB Costi-Ore YtD'!$B:$B,$A214,'DB Costi-Ore YtD'!$E:$E,$C214)-SUM($D214:I214),0)</f>
        <v>0</v>
      </c>
      <c r="K214">
        <f>IF((K$1*1)&lt;=MAX('DB Costi-Ore YtD'!$A:$A),SUMIFS('DB Costi-Ore YtD'!$F:$F,'DB Costi-Ore YtD'!$A:$A,K$1,'DB Costi-Ore YtD'!$B:$B,$A214,'DB Costi-Ore YtD'!$E:$E,$C214)-SUM($D214:J214),0)</f>
        <v>0</v>
      </c>
      <c r="L214">
        <f>IF((L$1*1)&lt;=MAX('DB Costi-Ore YtD'!$A:$A),SUMIFS('DB Costi-Ore YtD'!$F:$F,'DB Costi-Ore YtD'!$A:$A,L$1,'DB Costi-Ore YtD'!$B:$B,$A214,'DB Costi-Ore YtD'!$E:$E,$C214)-SUM($D214:K214),0)</f>
        <v>0</v>
      </c>
      <c r="M214">
        <f>IF((M$1*1)&lt;=MAX('DB Costi-Ore YtD'!$A:$A),SUMIFS('DB Costi-Ore YtD'!$F:$F,'DB Costi-Ore YtD'!$A:$A,M$1,'DB Costi-Ore YtD'!$B:$B,$A214,'DB Costi-Ore YtD'!$E:$E,$C214)-SUM($D214:L214),0)</f>
        <v>0</v>
      </c>
      <c r="N214">
        <f>IF((N$1*1)&lt;=MAX('DB Costi-Ore YtD'!$A:$A),SUMIFS('DB Costi-Ore YtD'!$F:$F,'DB Costi-Ore YtD'!$A:$A,N$1,'DB Costi-Ore YtD'!$B:$B,$A214,'DB Costi-Ore YtD'!$E:$E,$C214)-SUM($D214:M214),0)</f>
        <v>0</v>
      </c>
      <c r="O214">
        <f>IF((O$1*1)&lt;=MAX('DB Costi-Ore YtD'!$A:$A),SUMIFS('DB Costi-Ore YtD'!$F:$F,'DB Costi-Ore YtD'!$A:$A,O$1,'DB Costi-Ore YtD'!$B:$B,$A214,'DB Costi-Ore YtD'!$E:$E,$C214)-SUM($D214:N214),0)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1410BC82C0F6419A70804B64EB8458" ma:contentTypeVersion="10" ma:contentTypeDescription="Creare un nuovo documento." ma:contentTypeScope="" ma:versionID="dde8711be36e96850d5ffe6f2747d219">
  <xsd:schema xmlns:xsd="http://www.w3.org/2001/XMLSchema" xmlns:xs="http://www.w3.org/2001/XMLSchema" xmlns:p="http://schemas.microsoft.com/office/2006/metadata/properties" xmlns:ns2="8ece1749-21ed-430f-abcd-b12fb8673a96" xmlns:ns3="96ca274f-de30-4bc8-8ef6-6249e65cde7c" targetNamespace="http://schemas.microsoft.com/office/2006/metadata/properties" ma:root="true" ma:fieldsID="5ef935412751a5f9a550975e18e2d12e" ns2:_="" ns3:_="">
    <xsd:import namespace="8ece1749-21ed-430f-abcd-b12fb8673a96"/>
    <xsd:import namespace="96ca274f-de30-4bc8-8ef6-6249e65cde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e1749-21ed-430f-abcd-b12fb8673a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ae608134-5df1-4be4-bf76-fad8efa0ff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a274f-de30-4bc8-8ef6-6249e65cde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775554-2d74-4c33-b0da-7619bbcbe4a2}" ma:internalName="TaxCatchAll" ma:showField="CatchAllData" ma:web="96ca274f-de30-4bc8-8ef6-6249e65cd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Props1.xml><?xml version="1.0" encoding="utf-8"?>
<ds:datastoreItem xmlns:ds="http://schemas.openxmlformats.org/officeDocument/2006/customXml" ds:itemID="{486AE48F-FAB8-4CD2-A6CD-886D485616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ce1749-21ed-430f-abcd-b12fb8673a96"/>
    <ds:schemaRef ds:uri="96ca274f-de30-4bc8-8ef6-6249e65cde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07E493-2A71-4CE9-8CC7-BC53CE8029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53F87C-84AF-4C86-B059-271F4A6211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LuT_CdC</vt:lpstr>
      <vt:lpstr>Pivot_MoM</vt:lpstr>
      <vt:lpstr>Pivot_Scostamento</vt:lpstr>
      <vt:lpstr>DB_Varianza BdgAct</vt:lpstr>
      <vt:lpstr>DB Costi-Ore YtD</vt:lpstr>
      <vt:lpstr>DB Costo Mese</vt:lpstr>
      <vt:lpstr>DB Ore Mese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Gazzonis</dc:creator>
  <cp:keywords/>
  <dc:description/>
  <cp:lastModifiedBy>Roberto Gazzonis</cp:lastModifiedBy>
  <cp:revision/>
  <dcterms:created xsi:type="dcterms:W3CDTF">2015-06-05T18:17:20Z</dcterms:created>
  <dcterms:modified xsi:type="dcterms:W3CDTF">2025-10-02T13:11:02Z</dcterms:modified>
  <cp:category/>
  <cp:contentStatus/>
</cp:coreProperties>
</file>