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mc:AlternateContent xmlns:mc="http://schemas.openxmlformats.org/markup-compatibility/2006">
    <mc:Choice Requires="x15">
      <x15ac:absPath xmlns:x15ac="http://schemas.microsoft.com/office/spreadsheetml/2010/11/ac" url="https://quidonlus.sharepoint.com/sites/ControllodiGestione/Documenti condivisi/Report mensile/02.REPORT MENSILE/2025/06.2025/Dati Ricevuti/"/>
    </mc:Choice>
  </mc:AlternateContent>
  <xr:revisionPtr revIDLastSave="18" documentId="11_C1649BF73CE474A899E083FDEE9C27C31624DD24" xr6:coauthVersionLast="47" xr6:coauthVersionMax="47" xr10:uidLastSave="{A0CC20F7-5F1B-4B15-AAD6-251F6232D0A5}"/>
  <bookViews>
    <workbookView xWindow="-108" yWindow="-108" windowWidth="23256" windowHeight="12456" tabRatio="500" activeTab="1" xr2:uid="{00000000-000D-0000-FFFF-FFFF00000000}"/>
  </bookViews>
  <sheets>
    <sheet name="Foglio1" sheetId="1" r:id="rId1"/>
    <sheet name="Foglio2" sheetId="2" r:id="rId2"/>
  </sheets>
  <definedNames>
    <definedName name="__Elenco__">Foglio1!$2:$2</definedName>
    <definedName name="_xlnm._FilterDatabase" localSheetId="0" hidden="1">Foglio1!$A$1:$AZ$205</definedName>
  </definedNames>
  <calcPr calcId="191028"/>
  <pivotCaches>
    <pivotCache cacheId="9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19" i="2" l="1"/>
</calcChain>
</file>

<file path=xl/sharedStrings.xml><?xml version="1.0" encoding="utf-8"?>
<sst xmlns="http://schemas.openxmlformats.org/spreadsheetml/2006/main" count="1549" uniqueCount="789">
  <si>
    <t>Riferimento</t>
  </si>
  <si>
    <t>Ditta</t>
  </si>
  <si>
    <t>Matricola</t>
  </si>
  <si>
    <t>Cognome</t>
  </si>
  <si>
    <t>Nome</t>
  </si>
  <si>
    <t>Non Ha Movimenti</t>
  </si>
  <si>
    <t>Data Assunzione</t>
  </si>
  <si>
    <t>Data Cessazione</t>
  </si>
  <si>
    <t xml:space="preserve">Paga </t>
  </si>
  <si>
    <t>Stabilimento</t>
  </si>
  <si>
    <t>Centro di Costo</t>
  </si>
  <si>
    <t>Reparto</t>
  </si>
  <si>
    <t>Qualifica</t>
  </si>
  <si>
    <t>Dipartimento</t>
  </si>
  <si>
    <t>Lordo Corr. PRG</t>
  </si>
  <si>
    <t>Contr.Mese PRG</t>
  </si>
  <si>
    <t>(di cui Welfare) PRG</t>
  </si>
  <si>
    <t>TFR PR.C PRG</t>
  </si>
  <si>
    <t>TFR INPS PRG</t>
  </si>
  <si>
    <t>Rat.Ferie PRG</t>
  </si>
  <si>
    <t>Cont.Rat.Ferie PRG</t>
  </si>
  <si>
    <t>Rat.13/14/P PRG</t>
  </si>
  <si>
    <t>Cont.Rat.13/14/P PRG</t>
  </si>
  <si>
    <t>Fles/B.O. PRG</t>
  </si>
  <si>
    <t>Cont.Fles/B.O. PRG</t>
  </si>
  <si>
    <t>INAIL Retr. PRG</t>
  </si>
  <si>
    <t>Ratei INAIL PRG</t>
  </si>
  <si>
    <t>T.F.R. RET. PRG</t>
  </si>
  <si>
    <t>Ratei T.F.R. PRG</t>
  </si>
  <si>
    <t>Totale PRG</t>
  </si>
  <si>
    <t>Ore Lavorate PRG</t>
  </si>
  <si>
    <t>Costo Ora PRG</t>
  </si>
  <si>
    <t>Costo Min. PRG</t>
  </si>
  <si>
    <t>Totale A.C. PRG</t>
  </si>
  <si>
    <t>Incentivo Economico</t>
  </si>
  <si>
    <t>Lordo Corr. A.P.</t>
  </si>
  <si>
    <t>Contr.Mese A.P.</t>
  </si>
  <si>
    <t>(di cui Welfare) A.P.</t>
  </si>
  <si>
    <t>TFR PR.C A.P.</t>
  </si>
  <si>
    <t>TFR INPS A.P.</t>
  </si>
  <si>
    <t>Rat.Ferie A.P.</t>
  </si>
  <si>
    <t>Cont.Rat.Ferie A.P.</t>
  </si>
  <si>
    <t>Rat.13/14/P A.P.</t>
  </si>
  <si>
    <t>Cont.Rat.13/14/P A.P.</t>
  </si>
  <si>
    <t>Fles/B.O. A.P.</t>
  </si>
  <si>
    <t>Cont.Fles/B.O. A.P.</t>
  </si>
  <si>
    <t>INAIL Retr. A.P.</t>
  </si>
  <si>
    <t>Ratei INAIL A.P.</t>
  </si>
  <si>
    <t>T.F.R. RET. A.P.</t>
  </si>
  <si>
    <t>Ratei T.F.R. A.P.</t>
  </si>
  <si>
    <t>Totale A.P.</t>
  </si>
  <si>
    <t>Codice Fiscale</t>
  </si>
  <si>
    <t>TC1</t>
  </si>
  <si>
    <t>0100</t>
  </si>
  <si>
    <t>FENG</t>
  </si>
  <si>
    <t>XIUHUA</t>
  </si>
  <si>
    <t>02/10/2014</t>
  </si>
  <si>
    <t>OPERAIO</t>
  </si>
  <si>
    <t>FNGXHI63T69Z210Y</t>
  </si>
  <si>
    <t>ENGUIX GRIMALTOS</t>
  </si>
  <si>
    <t>GEMA MARIA</t>
  </si>
  <si>
    <t>02/01/2015</t>
  </si>
  <si>
    <t>NGXGMR84T50Z131H</t>
  </si>
  <si>
    <t>VALBUSA</t>
  </si>
  <si>
    <t>VALERIA</t>
  </si>
  <si>
    <t>26/10/2015</t>
  </si>
  <si>
    <t>IMPIEGATO</t>
  </si>
  <si>
    <t>VLBVLR83S45L781U</t>
  </si>
  <si>
    <t>AVESANI</t>
  </si>
  <si>
    <t>SILVIA</t>
  </si>
  <si>
    <t>04/10/2013</t>
  </si>
  <si>
    <t>VSNSLV80A42L781A</t>
  </si>
  <si>
    <t>FISCALE</t>
  </si>
  <si>
    <t>ANNA</t>
  </si>
  <si>
    <t>03/06/2014</t>
  </si>
  <si>
    <t>QUADRO</t>
  </si>
  <si>
    <t>FSCNNA88A55L781V</t>
  </si>
  <si>
    <t>ALDEGHERI</t>
  </si>
  <si>
    <t>MARA</t>
  </si>
  <si>
    <t>01/12/2015</t>
  </si>
  <si>
    <t>LDGMRA71M63L781X</t>
  </si>
  <si>
    <t>CAMERARIA</t>
  </si>
  <si>
    <t>GIORGIA</t>
  </si>
  <si>
    <t>07/01/2016</t>
  </si>
  <si>
    <t>CMRGRG79E69L781N</t>
  </si>
  <si>
    <t>LUCACI</t>
  </si>
  <si>
    <t>ANGELICA</t>
  </si>
  <si>
    <t>09/05/2016</t>
  </si>
  <si>
    <t>LCCNLC82T64Z129Y</t>
  </si>
  <si>
    <t>BIGHINATI</t>
  </si>
  <si>
    <t>GIADA</t>
  </si>
  <si>
    <t>**</t>
  </si>
  <si>
    <t>24/05/2016</t>
  </si>
  <si>
    <t>28/02/2025</t>
  </si>
  <si>
    <t>BGHGDI83E71E349O</t>
  </si>
  <si>
    <t>LOTTI</t>
  </si>
  <si>
    <t>FABIO</t>
  </si>
  <si>
    <t>05/07/2016</t>
  </si>
  <si>
    <t>30/06/2025</t>
  </si>
  <si>
    <t>LTTFBA87T20L840Q</t>
  </si>
  <si>
    <t>ZANARDO</t>
  </si>
  <si>
    <t>FABIANA</t>
  </si>
  <si>
    <t>10/10/2016</t>
  </si>
  <si>
    <t>ZNRFBN74P47E512A</t>
  </si>
  <si>
    <t>RIGHETTI</t>
  </si>
  <si>
    <t>FLAVIA</t>
  </si>
  <si>
    <t>09/11/2016</t>
  </si>
  <si>
    <t>RGHFLV66E56F861L</t>
  </si>
  <si>
    <t>MOLINARI</t>
  </si>
  <si>
    <t>LAURA</t>
  </si>
  <si>
    <t>MLNLRA67R57L781A</t>
  </si>
  <si>
    <t>ANSELMI</t>
  </si>
  <si>
    <t>IVA</t>
  </si>
  <si>
    <t>05/12/2016</t>
  </si>
  <si>
    <t>NSLVIA72B52L781R</t>
  </si>
  <si>
    <t>DEDAJ</t>
  </si>
  <si>
    <t>EGLANTINA</t>
  </si>
  <si>
    <t>13/12/2016</t>
  </si>
  <si>
    <t>DDJGNT82C46Z100R</t>
  </si>
  <si>
    <t>GIANCRISTOFARO</t>
  </si>
  <si>
    <t>SIMONA</t>
  </si>
  <si>
    <t>24/03/2017</t>
  </si>
  <si>
    <t>GNCSMN88T60E435D</t>
  </si>
  <si>
    <t>MADUEKE</t>
  </si>
  <si>
    <t>IJEOMA</t>
  </si>
  <si>
    <t>MDKJMI68B68Z335Y</t>
  </si>
  <si>
    <t>MEZOUEL</t>
  </si>
  <si>
    <t>ONS</t>
  </si>
  <si>
    <t>MZLNSO76C70Z352I</t>
  </si>
  <si>
    <t>XIA</t>
  </si>
  <si>
    <t>RONGJUN</t>
  </si>
  <si>
    <t>15/12/2016</t>
  </si>
  <si>
    <t>XIARGJ76D21Z210J</t>
  </si>
  <si>
    <t>SANNEH</t>
  </si>
  <si>
    <t>SHERIFO</t>
  </si>
  <si>
    <t>19/12/2016</t>
  </si>
  <si>
    <t>09/03/2025</t>
  </si>
  <si>
    <t>SNNSRF95C27Z317U</t>
  </si>
  <si>
    <t>SAAD</t>
  </si>
  <si>
    <t>NAJAT</t>
  </si>
  <si>
    <t>20/12/2016</t>
  </si>
  <si>
    <t>SDANJT82P51Z330E</t>
  </si>
  <si>
    <t>MIA</t>
  </si>
  <si>
    <t>ELIAS</t>
  </si>
  <si>
    <t>11/01/2017</t>
  </si>
  <si>
    <t>MIALSE94E05Z249A</t>
  </si>
  <si>
    <t>ZEID</t>
  </si>
  <si>
    <t>GHANIA</t>
  </si>
  <si>
    <t>04/04/2017</t>
  </si>
  <si>
    <t>ZDEGHN67A41Z330E</t>
  </si>
  <si>
    <t>HASSAN</t>
  </si>
  <si>
    <t>MD RASHED</t>
  </si>
  <si>
    <t>08/06/2017</t>
  </si>
  <si>
    <t>HSSMRS81C03Z249Q</t>
  </si>
  <si>
    <t>MICHELE</t>
  </si>
  <si>
    <t>13/06/2017</t>
  </si>
  <si>
    <t>RGHMHL62B23L781D</t>
  </si>
  <si>
    <t>PARRELLA</t>
  </si>
  <si>
    <t>MARIA CRISTINA</t>
  </si>
  <si>
    <t>28/08/2017</t>
  </si>
  <si>
    <t>PRRMCR75D41L781B</t>
  </si>
  <si>
    <t>ILIE</t>
  </si>
  <si>
    <t>FLORENTINA</t>
  </si>
  <si>
    <t>18/09/2017</t>
  </si>
  <si>
    <t>LIIFRN75R62Z129Q</t>
  </si>
  <si>
    <t>VALOTTO</t>
  </si>
  <si>
    <t>02/10/2017</t>
  </si>
  <si>
    <t>VLTVLR86A63L781W</t>
  </si>
  <si>
    <t>SAKA</t>
  </si>
  <si>
    <t>EDMUND OFORI</t>
  </si>
  <si>
    <t>SKADND63T26Z318U</t>
  </si>
  <si>
    <t>DAL CORTIVO</t>
  </si>
  <si>
    <t>EMMA</t>
  </si>
  <si>
    <t>16/10/2017</t>
  </si>
  <si>
    <t>DLCMME86R55L781O</t>
  </si>
  <si>
    <t>PENAZZI</t>
  </si>
  <si>
    <t>MARCO</t>
  </si>
  <si>
    <t>09/01/2018</t>
  </si>
  <si>
    <t>PNZMRC88H29E730X</t>
  </si>
  <si>
    <t>BUSETTO</t>
  </si>
  <si>
    <t>MONICA</t>
  </si>
  <si>
    <t>20/03/2018</t>
  </si>
  <si>
    <t>BSTMNC62H47L736L</t>
  </si>
  <si>
    <t>DOBRE</t>
  </si>
  <si>
    <t>ANICA</t>
  </si>
  <si>
    <t>20/04/2018</t>
  </si>
  <si>
    <t>DBRNCA63L61Z129G</t>
  </si>
  <si>
    <t>BOITAN</t>
  </si>
  <si>
    <t>MIHAELA</t>
  </si>
  <si>
    <t>23/04/2018</t>
  </si>
  <si>
    <t>BTNMHL67S54Z129T</t>
  </si>
  <si>
    <t>ZULLO</t>
  </si>
  <si>
    <t>STEFANIA</t>
  </si>
  <si>
    <t>ZLLSFN68S58L781V</t>
  </si>
  <si>
    <t>CAMPARA</t>
  </si>
  <si>
    <t>ELISABETTA</t>
  </si>
  <si>
    <t>CMPLBT66P65I775I</t>
  </si>
  <si>
    <t>TAMIMOUNT</t>
  </si>
  <si>
    <t>MOHAMED LAMINE</t>
  </si>
  <si>
    <t>27/04/2018</t>
  </si>
  <si>
    <t>TMMMMD89H11Z301Z</t>
  </si>
  <si>
    <t>LIZZARI</t>
  </si>
  <si>
    <t>MARISA</t>
  </si>
  <si>
    <t>02/05/2018</t>
  </si>
  <si>
    <t>LZZMRS62H59L781E</t>
  </si>
  <si>
    <t>PUNGA</t>
  </si>
  <si>
    <t>FILOFTEIA NICOLETA</t>
  </si>
  <si>
    <t>PNGFFT72B60Z129M</t>
  </si>
  <si>
    <t>IONEL</t>
  </si>
  <si>
    <t>RAMONA MARIA</t>
  </si>
  <si>
    <t>NLIRNM87B63Z129E</t>
  </si>
  <si>
    <t>PINALI</t>
  </si>
  <si>
    <t>ENRICO</t>
  </si>
  <si>
    <t>07/05/2018</t>
  </si>
  <si>
    <t>PNLNRC80P22B296Y</t>
  </si>
  <si>
    <t>ANDREOLI</t>
  </si>
  <si>
    <t>04/06/2018</t>
  </si>
  <si>
    <t>NDRMRC88T02L781F</t>
  </si>
  <si>
    <t>MENEGHELLO</t>
  </si>
  <si>
    <t>SARA</t>
  </si>
  <si>
    <t>18/06/2018</t>
  </si>
  <si>
    <t>MNGSRA87C52L781T</t>
  </si>
  <si>
    <t>RASHA</t>
  </si>
  <si>
    <t>LEONORE</t>
  </si>
  <si>
    <t>03/09/2018</t>
  </si>
  <si>
    <t>RSHLNR74D50Z100V</t>
  </si>
  <si>
    <t>NATALE</t>
  </si>
  <si>
    <t>GIOVANNA</t>
  </si>
  <si>
    <t>06/09/2018</t>
  </si>
  <si>
    <t>NTLGNN71S62B872Z</t>
  </si>
  <si>
    <t>SINATRA</t>
  </si>
  <si>
    <t>FLORA</t>
  </si>
  <si>
    <t>24/09/2018</t>
  </si>
  <si>
    <t>SNTFLR64S56Z133V</t>
  </si>
  <si>
    <t>OALA</t>
  </si>
  <si>
    <t>MARICELA</t>
  </si>
  <si>
    <t>26/09/2018</t>
  </si>
  <si>
    <t>LOAMCL90P69Z129Q</t>
  </si>
  <si>
    <t>FALCHETTO</t>
  </si>
  <si>
    <t>JEAN LUCA</t>
  </si>
  <si>
    <t>22/10/2018</t>
  </si>
  <si>
    <t>01/06/2025</t>
  </si>
  <si>
    <t>FLCJLC63L12Z133D</t>
  </si>
  <si>
    <t>OLARIU</t>
  </si>
  <si>
    <t>22/11/2018</t>
  </si>
  <si>
    <t>LROMHL80T62Z129I</t>
  </si>
  <si>
    <t>TESINI</t>
  </si>
  <si>
    <t>MARINA</t>
  </si>
  <si>
    <t>24/10/2018</t>
  </si>
  <si>
    <t>TSNMRN63P70L781U</t>
  </si>
  <si>
    <t>BARBAGALLO</t>
  </si>
  <si>
    <t>VALENTINA</t>
  </si>
  <si>
    <t>14/01/2019</t>
  </si>
  <si>
    <t>BRBVNT82M60L781D</t>
  </si>
  <si>
    <t>FRACASSO</t>
  </si>
  <si>
    <t>BARBARA</t>
  </si>
  <si>
    <t>12/01/2019</t>
  </si>
  <si>
    <t>FRCBBR69P55M172S</t>
  </si>
  <si>
    <t>EVANS</t>
  </si>
  <si>
    <t>QUEEN</t>
  </si>
  <si>
    <t>11/04/2019</t>
  </si>
  <si>
    <t>VNSQNU91C42Z335T</t>
  </si>
  <si>
    <t>AKPOYIBO</t>
  </si>
  <si>
    <t>BRIDGET</t>
  </si>
  <si>
    <t>19/07/2019</t>
  </si>
  <si>
    <t>KPYBDG92T60Z335R</t>
  </si>
  <si>
    <t>USMAN</t>
  </si>
  <si>
    <t>AMINA</t>
  </si>
  <si>
    <t>23/09/2019</t>
  </si>
  <si>
    <t>SMNMNA95P60Z335E</t>
  </si>
  <si>
    <t>TOSCO</t>
  </si>
  <si>
    <t>ALFRIANA FRANCHESCA</t>
  </si>
  <si>
    <t>30/12/2019</t>
  </si>
  <si>
    <t>TSCLRN91H50Z614I</t>
  </si>
  <si>
    <t>GINA RAMONA</t>
  </si>
  <si>
    <t>DBRGRM87P67Z129M</t>
  </si>
  <si>
    <t>CUSTURA'</t>
  </si>
  <si>
    <t>ELENA LAURA</t>
  </si>
  <si>
    <t>CSTLLR72L48Z129H</t>
  </si>
  <si>
    <t>GATTO</t>
  </si>
  <si>
    <t>STEFANO</t>
  </si>
  <si>
    <t>22/06/2020</t>
  </si>
  <si>
    <t>GTTSFN89L07M172J</t>
  </si>
  <si>
    <t>PASQUALI</t>
  </si>
  <si>
    <t>GIULIA</t>
  </si>
  <si>
    <t>05/10/2020</t>
  </si>
  <si>
    <t>PSQGLI98S67F861J</t>
  </si>
  <si>
    <t>CORCHERO REDONDO</t>
  </si>
  <si>
    <t>CANDELA</t>
  </si>
  <si>
    <t>01/02/2021</t>
  </si>
  <si>
    <t>10/02/2025</t>
  </si>
  <si>
    <t>CRCCDL89R62Z131S</t>
  </si>
  <si>
    <t>BOSIO</t>
  </si>
  <si>
    <t>STELLA</t>
  </si>
  <si>
    <t>02/02/2021</t>
  </si>
  <si>
    <t>BSOSLL59L56L219Q</t>
  </si>
  <si>
    <t>WAHAB AHMED</t>
  </si>
  <si>
    <t>KERYA</t>
  </si>
  <si>
    <t>04/01/2021</t>
  </si>
  <si>
    <t>WHBKRY90A41Z368Y</t>
  </si>
  <si>
    <t>MARIAN</t>
  </si>
  <si>
    <t>03/05/2021</t>
  </si>
  <si>
    <t>CSTMRN73R14Z129A</t>
  </si>
  <si>
    <t>BERDICA</t>
  </si>
  <si>
    <t>ARDIANA</t>
  </si>
  <si>
    <t>25/05/2021</t>
  </si>
  <si>
    <t>BRDRDN70L63Z100R</t>
  </si>
  <si>
    <t>OBINNA</t>
  </si>
  <si>
    <t>GIFT</t>
  </si>
  <si>
    <t>14/06/2021</t>
  </si>
  <si>
    <t>BNNGFT96P59Z335T</t>
  </si>
  <si>
    <t>CENTO</t>
  </si>
  <si>
    <t>VANESSA</t>
  </si>
  <si>
    <t>01/07/2021</t>
  </si>
  <si>
    <t>CNTVSS89L64F158D</t>
  </si>
  <si>
    <t>BERTOLDI</t>
  </si>
  <si>
    <t>ALESSANDRA</t>
  </si>
  <si>
    <t>19/07/2021</t>
  </si>
  <si>
    <t>BRTLSN95P42E512Y</t>
  </si>
  <si>
    <t>EMENE</t>
  </si>
  <si>
    <t>BLESSING</t>
  </si>
  <si>
    <t>03/01/2022</t>
  </si>
  <si>
    <t>MNEBSS94A44Z335C</t>
  </si>
  <si>
    <t>OROGUN</t>
  </si>
  <si>
    <t>SONIA ONOME</t>
  </si>
  <si>
    <t>RGNSNM92T44Z335A</t>
  </si>
  <si>
    <t>EKWE</t>
  </si>
  <si>
    <t>RUTH</t>
  </si>
  <si>
    <t>KWERTH96D44Z335K</t>
  </si>
  <si>
    <t>COLAVECCHIA</t>
  </si>
  <si>
    <t>CINZIA</t>
  </si>
  <si>
    <t>21/02/2022</t>
  </si>
  <si>
    <t>CLVCNZ91H45L113S</t>
  </si>
  <si>
    <t>BORGATTI</t>
  </si>
  <si>
    <t>ROBERTA</t>
  </si>
  <si>
    <t>22/02/2022</t>
  </si>
  <si>
    <t>BRGRRT72S70L781V</t>
  </si>
  <si>
    <t>RUBIO AREVALO</t>
  </si>
  <si>
    <t>CATALINA</t>
  </si>
  <si>
    <t>15/03/2022</t>
  </si>
  <si>
    <t>RBRCLN85T55Z604L</t>
  </si>
  <si>
    <t>DHIF</t>
  </si>
  <si>
    <t>FAOUZIA</t>
  </si>
  <si>
    <t>25/03/2022</t>
  </si>
  <si>
    <t>DHFFZA62P70Z352V</t>
  </si>
  <si>
    <t>ELENA</t>
  </si>
  <si>
    <t>14/03/2022</t>
  </si>
  <si>
    <t>PSQLNE68T55L781X</t>
  </si>
  <si>
    <t>FRONTERA</t>
  </si>
  <si>
    <t>GIUSIANA</t>
  </si>
  <si>
    <t>21/04/2022</t>
  </si>
  <si>
    <t>FRNGSN94C51L781W</t>
  </si>
  <si>
    <t>KHONDOKAR</t>
  </si>
  <si>
    <t>SURUJ</t>
  </si>
  <si>
    <t>11/05/2022</t>
  </si>
  <si>
    <t>KHNSRJ89E01Z249A</t>
  </si>
  <si>
    <t>ARAUJO</t>
  </si>
  <si>
    <t>ARLETE</t>
  </si>
  <si>
    <t>24/05/2022</t>
  </si>
  <si>
    <t>RJARLT69D45Z602V</t>
  </si>
  <si>
    <t>MAESTRELLO</t>
  </si>
  <si>
    <t>FRANCO</t>
  </si>
  <si>
    <t>20/06/2022</t>
  </si>
  <si>
    <t>MSTFNC76R05L781B</t>
  </si>
  <si>
    <t>HUSSAIN</t>
  </si>
  <si>
    <t>SYED ALTAF</t>
  </si>
  <si>
    <t>13/06/2022</t>
  </si>
  <si>
    <t>HSSSDL68A01Z236Z</t>
  </si>
  <si>
    <t>MUNTEANU</t>
  </si>
  <si>
    <t>NATALIA</t>
  </si>
  <si>
    <t>09/06/2022</t>
  </si>
  <si>
    <t>MNTNTL77T45Z140M</t>
  </si>
  <si>
    <t>VINCO</t>
  </si>
  <si>
    <t>CATERINA EMANUELA</t>
  </si>
  <si>
    <t>02/07/2022</t>
  </si>
  <si>
    <t>VNCCRN63B54C538Q</t>
  </si>
  <si>
    <t>MARINARO</t>
  </si>
  <si>
    <t>LIDIA</t>
  </si>
  <si>
    <t>04/07/2022</t>
  </si>
  <si>
    <t>MRNLDI70T58D754O</t>
  </si>
  <si>
    <t>QUARSHIE</t>
  </si>
  <si>
    <t>EMELIA KOMECHOE</t>
  </si>
  <si>
    <t>21/09/2022</t>
  </si>
  <si>
    <t>QRSMKM64R65Z318D</t>
  </si>
  <si>
    <t>GIULIANO</t>
  </si>
  <si>
    <t>FRANCESCA</t>
  </si>
  <si>
    <t>01/12/2022</t>
  </si>
  <si>
    <t>15/06/2025</t>
  </si>
  <si>
    <t>APPRENDISTA IMPIEGATO</t>
  </si>
  <si>
    <t>GLNFNC96E48C357H</t>
  </si>
  <si>
    <t>TORNIERI</t>
  </si>
  <si>
    <t>RITA</t>
  </si>
  <si>
    <t>TRNRTI67R54L781O</t>
  </si>
  <si>
    <t>ATMAOUI</t>
  </si>
  <si>
    <t>AZIZA</t>
  </si>
  <si>
    <t>19/12/2022</t>
  </si>
  <si>
    <t>TMAZZA61E61Z330M</t>
  </si>
  <si>
    <t>ZUCCHETTI</t>
  </si>
  <si>
    <t>ROSANNA</t>
  </si>
  <si>
    <t>09/01/2023</t>
  </si>
  <si>
    <t>ZCCRNN66C55L781E</t>
  </si>
  <si>
    <t>ANONGBO</t>
  </si>
  <si>
    <t>EBBAH CHRISTINE</t>
  </si>
  <si>
    <t>NNGBHC87M56Z313Q</t>
  </si>
  <si>
    <t>ZANOLLI</t>
  </si>
  <si>
    <t>01/02/2023</t>
  </si>
  <si>
    <t>ZNLBBR70E62L781B</t>
  </si>
  <si>
    <t>BORLOVAN</t>
  </si>
  <si>
    <t>ALINA</t>
  </si>
  <si>
    <t>06/02/2023</t>
  </si>
  <si>
    <t>BRLLNA78H58Z129K</t>
  </si>
  <si>
    <t>DELLEDONNE</t>
  </si>
  <si>
    <t>ISABELLA</t>
  </si>
  <si>
    <t>01/04/2023</t>
  </si>
  <si>
    <t>DLLSLL93M54D611A</t>
  </si>
  <si>
    <t>MILENA</t>
  </si>
  <si>
    <t>MLNMLN95H60I775R</t>
  </si>
  <si>
    <t>PETRACHE</t>
  </si>
  <si>
    <t>GEORGIANA</t>
  </si>
  <si>
    <t>06/04/2023</t>
  </si>
  <si>
    <t>PTRGGN81S41Z129S</t>
  </si>
  <si>
    <t>HOSSAIN</t>
  </si>
  <si>
    <t>SHAMEM</t>
  </si>
  <si>
    <t>21/04/2023</t>
  </si>
  <si>
    <t>HSSSMM97C23Z249K</t>
  </si>
  <si>
    <t>AKL</t>
  </si>
  <si>
    <t>MOSTAFA EL BASSIOUNI</t>
  </si>
  <si>
    <t>02/05/2023</t>
  </si>
  <si>
    <t>KLAMTF91M11Z336G</t>
  </si>
  <si>
    <t>MEATTINI</t>
  </si>
  <si>
    <t>CLARA</t>
  </si>
  <si>
    <t>16/05/2023</t>
  </si>
  <si>
    <t>MTTCLR90M50I726F</t>
  </si>
  <si>
    <t>GYAMBRAH</t>
  </si>
  <si>
    <t>GEORGE KIGSLEY</t>
  </si>
  <si>
    <t>03/07/2023</t>
  </si>
  <si>
    <t>GYMGGK78S15Z318J</t>
  </si>
  <si>
    <t>MAZZON</t>
  </si>
  <si>
    <t>LEONORA</t>
  </si>
  <si>
    <t>17/07/2023</t>
  </si>
  <si>
    <t>MZZLNR92P63L736R</t>
  </si>
  <si>
    <t>CHIARINI</t>
  </si>
  <si>
    <t>LORENZA</t>
  </si>
  <si>
    <t>02/11/2023</t>
  </si>
  <si>
    <t>CHRLNZ63A54L219R</t>
  </si>
  <si>
    <t>GHAFOOR</t>
  </si>
  <si>
    <t>HAROON</t>
  </si>
  <si>
    <t>22/11/2023</t>
  </si>
  <si>
    <t>GHFHRN00S10Z236W</t>
  </si>
  <si>
    <t>SPANACHI</t>
  </si>
  <si>
    <t>ALINA ANDREEA</t>
  </si>
  <si>
    <t>01/12/2023</t>
  </si>
  <si>
    <t>SPNLND86D59Z129F</t>
  </si>
  <si>
    <t>CHARFI</t>
  </si>
  <si>
    <t>BOUCHRA</t>
  </si>
  <si>
    <t>CHRBHR77L57Z330L</t>
  </si>
  <si>
    <t>FERREIRA</t>
  </si>
  <si>
    <t>EDLAINE</t>
  </si>
  <si>
    <t>13/02/2025</t>
  </si>
  <si>
    <t>FRRDLN86C57Z602Z</t>
  </si>
  <si>
    <t>PATRIGNANI</t>
  </si>
  <si>
    <t>LEA</t>
  </si>
  <si>
    <t>16/01/2024</t>
  </si>
  <si>
    <t>\</t>
  </si>
  <si>
    <t>PTRLEA97D52C357W</t>
  </si>
  <si>
    <t>LIVIERO</t>
  </si>
  <si>
    <t>MARTINA</t>
  </si>
  <si>
    <t>22/01/2024</t>
  </si>
  <si>
    <t>LVRMTN92M51D442J</t>
  </si>
  <si>
    <t>GUARNIERI</t>
  </si>
  <si>
    <t>ANNALISA</t>
  </si>
  <si>
    <t>24/01/2024</t>
  </si>
  <si>
    <t>GRNNLS94H54A059O</t>
  </si>
  <si>
    <t>AGHAHOWA</t>
  </si>
  <si>
    <t>01/02/2024</t>
  </si>
  <si>
    <t>GHHSLL76H50Z335K</t>
  </si>
  <si>
    <t>MARANGONI</t>
  </si>
  <si>
    <t>ALESSANDRO</t>
  </si>
  <si>
    <t>12/02/2024</t>
  </si>
  <si>
    <t>APPRENDISTA OPERAIO</t>
  </si>
  <si>
    <t>MRNLSN01C20L781H</t>
  </si>
  <si>
    <t>QASIM</t>
  </si>
  <si>
    <t>MUHAMMAD</t>
  </si>
  <si>
    <t>QSMMMM04P22Z236R</t>
  </si>
  <si>
    <t>CERPELLONI</t>
  </si>
  <si>
    <t>19/02/2024</t>
  </si>
  <si>
    <t>CRPNNA90R42L781C</t>
  </si>
  <si>
    <t>OWOLABI</t>
  </si>
  <si>
    <t>FELIX</t>
  </si>
  <si>
    <t>21/02/2024</t>
  </si>
  <si>
    <t>WLBFLX95S30Z335Z</t>
  </si>
  <si>
    <t>EKAIRIA</t>
  </si>
  <si>
    <t>FAITH</t>
  </si>
  <si>
    <t>11/02/2025</t>
  </si>
  <si>
    <t>KREFTH81D69Z335A</t>
  </si>
  <si>
    <t>FURLAN</t>
  </si>
  <si>
    <t>LUANA</t>
  </si>
  <si>
    <t>18/03/2024</t>
  </si>
  <si>
    <t>17/03/2025</t>
  </si>
  <si>
    <t>FRLLNU86S62L407O</t>
  </si>
  <si>
    <t>SHAFEEQ</t>
  </si>
  <si>
    <t>AHMED</t>
  </si>
  <si>
    <t>02/04/2024</t>
  </si>
  <si>
    <t>SHFHMD98A01Z236I</t>
  </si>
  <si>
    <t>CABIANCA</t>
  </si>
  <si>
    <t>ALESSIA</t>
  </si>
  <si>
    <t>15/04/2024</t>
  </si>
  <si>
    <t>CBNLSS95A56L781U</t>
  </si>
  <si>
    <t>LUPU</t>
  </si>
  <si>
    <t>GIANINA LACRAMIOARA</t>
  </si>
  <si>
    <t>02/05/2024</t>
  </si>
  <si>
    <t>LPUGNL80B48Z129G</t>
  </si>
  <si>
    <t>RAMPONI</t>
  </si>
  <si>
    <t>RMPLSN70R24H294V</t>
  </si>
  <si>
    <t>CAMARA</t>
  </si>
  <si>
    <t>MARIZA</t>
  </si>
  <si>
    <t>13/05/2024</t>
  </si>
  <si>
    <t>CMRMRZ70D70Z602R</t>
  </si>
  <si>
    <t>ALI</t>
  </si>
  <si>
    <t>ZEESHAN</t>
  </si>
  <si>
    <t>03/06/2024</t>
  </si>
  <si>
    <t>LAIZHN94T12Z236P</t>
  </si>
  <si>
    <t>VENERI</t>
  </si>
  <si>
    <t>PAOLA</t>
  </si>
  <si>
    <t>12/06/2024</t>
  </si>
  <si>
    <t>VNRPLA63R53F861O</t>
  </si>
  <si>
    <t>SAMAKE</t>
  </si>
  <si>
    <t>SOULEYMANE</t>
  </si>
  <si>
    <t>SMKSYM93A01Z329E</t>
  </si>
  <si>
    <t>BULAT</t>
  </si>
  <si>
    <t>MARIA</t>
  </si>
  <si>
    <t>01/05/2024</t>
  </si>
  <si>
    <t>31/03/2025</t>
  </si>
  <si>
    <t>BLTMRA82B64Z140H</t>
  </si>
  <si>
    <t>AL RAIMI</t>
  </si>
  <si>
    <t>AMEEN MOHAMMED</t>
  </si>
  <si>
    <t>01/07/2024</t>
  </si>
  <si>
    <t>LRMMMH82D14Z246H</t>
  </si>
  <si>
    <t>OKOH</t>
  </si>
  <si>
    <t>VIVIAN</t>
  </si>
  <si>
    <t>01/06/2024</t>
  </si>
  <si>
    <t>KHOVVN02M69L781S</t>
  </si>
  <si>
    <t>SPAGNOLO</t>
  </si>
  <si>
    <t>DAVIDE</t>
  </si>
  <si>
    <t>SPGDVD99E05L781Q</t>
  </si>
  <si>
    <t>HUANG</t>
  </si>
  <si>
    <t>SHAN MEI</t>
  </si>
  <si>
    <t>HNGSNM92B55Z210M</t>
  </si>
  <si>
    <t>TRAINOTTI</t>
  </si>
  <si>
    <t>01/08/2024</t>
  </si>
  <si>
    <t>TRNSFN85M54H612X</t>
  </si>
  <si>
    <t>AGAPIE</t>
  </si>
  <si>
    <t>MIHAITA</t>
  </si>
  <si>
    <t>GPAMHT94H10Z129P</t>
  </si>
  <si>
    <t>STURZA</t>
  </si>
  <si>
    <t>RUSLAN</t>
  </si>
  <si>
    <t>01/09/2024</t>
  </si>
  <si>
    <t>STRRLN82R07Z140T</t>
  </si>
  <si>
    <t>BAROZZI</t>
  </si>
  <si>
    <t>BRZVNT88D69L219R</t>
  </si>
  <si>
    <t>MIRISAGE FERNANDO</t>
  </si>
  <si>
    <t>RASIKA CHANDANEE</t>
  </si>
  <si>
    <t>MRSRKC84D69Z209U</t>
  </si>
  <si>
    <t>ANTWI</t>
  </si>
  <si>
    <t>ANTHONY</t>
  </si>
  <si>
    <t>04/09/2024</t>
  </si>
  <si>
    <t>NTWNHN86P13Z318K</t>
  </si>
  <si>
    <t>ABDULLAH</t>
  </si>
  <si>
    <t>15/10/2024</t>
  </si>
  <si>
    <t>MHMBLL91P08Z236V</t>
  </si>
  <si>
    <t>FASOLI</t>
  </si>
  <si>
    <t>FSLGLI87D54L781G</t>
  </si>
  <si>
    <t>DAL CERO</t>
  </si>
  <si>
    <t>NADIA</t>
  </si>
  <si>
    <t>16/10/2024</t>
  </si>
  <si>
    <t>DLCNDA83E49I775O</t>
  </si>
  <si>
    <t>DOBANDA</t>
  </si>
  <si>
    <t>ADRIANA</t>
  </si>
  <si>
    <t>18/10/2024</t>
  </si>
  <si>
    <t>04/04/2025</t>
  </si>
  <si>
    <t>DBNDRN97C69Z140M</t>
  </si>
  <si>
    <t>ALOUI</t>
  </si>
  <si>
    <t>ABDERRAHMAN</t>
  </si>
  <si>
    <t>04/11/2024</t>
  </si>
  <si>
    <t>LAOBRR87D06Z330V</t>
  </si>
  <si>
    <t>GIACOMAZZI</t>
  </si>
  <si>
    <t>GCMMRA86H42B296G</t>
  </si>
  <si>
    <t>BEE</t>
  </si>
  <si>
    <t>AGNESE</t>
  </si>
  <si>
    <t>11/11/2024</t>
  </si>
  <si>
    <t>BEEGNS82H63F241S</t>
  </si>
  <si>
    <t>TASELLARI</t>
  </si>
  <si>
    <t>ENEIDA</t>
  </si>
  <si>
    <t>01/10/2024</t>
  </si>
  <si>
    <t>TSLNDE91C53Z100V</t>
  </si>
  <si>
    <t>VIRSCHII</t>
  </si>
  <si>
    <t>ANDREEA</t>
  </si>
  <si>
    <t>19/11/2024</t>
  </si>
  <si>
    <t>VRSNDR05P57Z129Z</t>
  </si>
  <si>
    <t>EKOH</t>
  </si>
  <si>
    <t>FIDELIS IKEVILO</t>
  </si>
  <si>
    <t>02/12/2024</t>
  </si>
  <si>
    <t>KHEFLS02H07G224A</t>
  </si>
  <si>
    <t>HOBORICI</t>
  </si>
  <si>
    <t>IULIANA GABRIELA</t>
  </si>
  <si>
    <t>09/02/2025</t>
  </si>
  <si>
    <t>HBRLGB76H66Z129G</t>
  </si>
  <si>
    <t>MALAFFO</t>
  </si>
  <si>
    <t>LORETTA</t>
  </si>
  <si>
    <t>MLFLTT67T69L781D</t>
  </si>
  <si>
    <t>UR RAHMAN</t>
  </si>
  <si>
    <t>DAUD</t>
  </si>
  <si>
    <t>RRHDDA99A01Z236B</t>
  </si>
  <si>
    <t>GRASSO</t>
  </si>
  <si>
    <t>GRETA</t>
  </si>
  <si>
    <t>26/11/2024</t>
  </si>
  <si>
    <t>10/04/2025</t>
  </si>
  <si>
    <t>GRSGRT04R55A944M</t>
  </si>
  <si>
    <t>WALLNER</t>
  </si>
  <si>
    <t>LUCA</t>
  </si>
  <si>
    <t>02/01/2025</t>
  </si>
  <si>
    <t>WLLLCU80R09C890W</t>
  </si>
  <si>
    <t>CALORE</t>
  </si>
  <si>
    <t>MADDALENA</t>
  </si>
  <si>
    <t>28/05/2025</t>
  </si>
  <si>
    <t>CLRMDL87T54A001F</t>
  </si>
  <si>
    <t>POLTRONIERI</t>
  </si>
  <si>
    <t>PAOLO GIUSEPPE</t>
  </si>
  <si>
    <t>PLTPGS64E01L781K</t>
  </si>
  <si>
    <t>BACJA</t>
  </si>
  <si>
    <t>BLEDAR</t>
  </si>
  <si>
    <t>20/01/2025</t>
  </si>
  <si>
    <t>BCJBDR84R08Z100U</t>
  </si>
  <si>
    <t>URSO</t>
  </si>
  <si>
    <t>ADRIANO</t>
  </si>
  <si>
    <t>27/01/2025</t>
  </si>
  <si>
    <t>RSUDRN86D05F205E</t>
  </si>
  <si>
    <t>ZAMBELLI</t>
  </si>
  <si>
    <t>01/02/2025</t>
  </si>
  <si>
    <t>ZMBFNC75D42E512T</t>
  </si>
  <si>
    <t>FERRARESE</t>
  </si>
  <si>
    <t>29/01/2025</t>
  </si>
  <si>
    <t>FRRGLI85H61M172X</t>
  </si>
  <si>
    <t>JANCE</t>
  </si>
  <si>
    <t>KLARITA</t>
  </si>
  <si>
    <t>03/02/2025</t>
  </si>
  <si>
    <t>JNCKRT76E48Z100B</t>
  </si>
  <si>
    <t>ELEMETA EJOH</t>
  </si>
  <si>
    <t>MITTERAND</t>
  </si>
  <si>
    <t>LMTMTR93T15Z306Q</t>
  </si>
  <si>
    <t>OPPI</t>
  </si>
  <si>
    <t>BEATRICE</t>
  </si>
  <si>
    <t>PPOBRC75C65D150R</t>
  </si>
  <si>
    <t>BENINI</t>
  </si>
  <si>
    <t>CHIARA</t>
  </si>
  <si>
    <t>17/02/2025</t>
  </si>
  <si>
    <t>BNNCHR95E50F861K</t>
  </si>
  <si>
    <t>QUATTRINA</t>
  </si>
  <si>
    <t>ADELE</t>
  </si>
  <si>
    <t>30/03/2025</t>
  </si>
  <si>
    <t>QTTDLA04C47E349J</t>
  </si>
  <si>
    <t>MURARI</t>
  </si>
  <si>
    <t>CARLOTTA</t>
  </si>
  <si>
    <t>20/02/2025</t>
  </si>
  <si>
    <t>MRRCLT91E47F861U</t>
  </si>
  <si>
    <t>SALBEGO</t>
  </si>
  <si>
    <t>21/02/2025</t>
  </si>
  <si>
    <t>SLBSRA94L66Z104D</t>
  </si>
  <si>
    <t>BERNARDO</t>
  </si>
  <si>
    <t>PAMELA</t>
  </si>
  <si>
    <t>03/03/2025</t>
  </si>
  <si>
    <t>BRNPML00T50E335Z</t>
  </si>
  <si>
    <t>VELTRI</t>
  </si>
  <si>
    <t>ANGELO</t>
  </si>
  <si>
    <t>10/03/2025</t>
  </si>
  <si>
    <t>VLTNGL89L20L049Q</t>
  </si>
  <si>
    <t>CAGALLI</t>
  </si>
  <si>
    <t>CGLMTN99S67E349Z</t>
  </si>
  <si>
    <t>MANFRIN</t>
  </si>
  <si>
    <t>13/03/2025</t>
  </si>
  <si>
    <t>MNFLNE89S65G224E</t>
  </si>
  <si>
    <t>MASIH</t>
  </si>
  <si>
    <t>LIAQAT</t>
  </si>
  <si>
    <t>MSHLQT75T24Z236C</t>
  </si>
  <si>
    <t>RIMBU</t>
  </si>
  <si>
    <t>SVETLANA</t>
  </si>
  <si>
    <t>18/03/2025</t>
  </si>
  <si>
    <t>RMBSTL71C48Z140J</t>
  </si>
  <si>
    <t>BALTATESCU</t>
  </si>
  <si>
    <t>IULIAN</t>
  </si>
  <si>
    <t>24/03/2025</t>
  </si>
  <si>
    <t>BLTLNI90L02Z129M</t>
  </si>
  <si>
    <t>TIOZZO COMPINI</t>
  </si>
  <si>
    <t>TZZMNC77M63G693G</t>
  </si>
  <si>
    <t>ACHIUWA</t>
  </si>
  <si>
    <t>MARGARET CHIDI</t>
  </si>
  <si>
    <t>CHWMGR67T53Z335S</t>
  </si>
  <si>
    <t>SIGNORATO</t>
  </si>
  <si>
    <t>GIOVANNI</t>
  </si>
  <si>
    <t>25/03/2025</t>
  </si>
  <si>
    <t>SGNGNN93S04L781C</t>
  </si>
  <si>
    <t>03/04/2025</t>
  </si>
  <si>
    <t>VNCLRA70A63L781K</t>
  </si>
  <si>
    <t>FLORIANI</t>
  </si>
  <si>
    <t>SOLEIMA</t>
  </si>
  <si>
    <t>01/04/2025</t>
  </si>
  <si>
    <t>FLRSLM88A44A471T</t>
  </si>
  <si>
    <t>SECHI</t>
  </si>
  <si>
    <t>SCHVLR87A54I452L</t>
  </si>
  <si>
    <t>14/05/2025</t>
  </si>
  <si>
    <t>18/07/2024</t>
  </si>
  <si>
    <t>31/01/2025</t>
  </si>
  <si>
    <t>09/09/2024</t>
  </si>
  <si>
    <t>07/03/2025</t>
  </si>
  <si>
    <t>02/09/2024</t>
  </si>
  <si>
    <t>21/10/2024</t>
  </si>
  <si>
    <t>21/01/2025</t>
  </si>
  <si>
    <t>IGUMA</t>
  </si>
  <si>
    <t>MATHIDA</t>
  </si>
  <si>
    <t>28/11/2024</t>
  </si>
  <si>
    <t>31/12/2024</t>
  </si>
  <si>
    <t>GMIMHD00D68Z335D</t>
  </si>
  <si>
    <t>20/11/2024</t>
  </si>
  <si>
    <t>ASIBOR</t>
  </si>
  <si>
    <t>HOPE</t>
  </si>
  <si>
    <t>SBRHPO93H08Z335X</t>
  </si>
  <si>
    <t>YOUSEF</t>
  </si>
  <si>
    <t>ELIAS MILAD</t>
  </si>
  <si>
    <t>06/12/2024</t>
  </si>
  <si>
    <t>YSFLML83A03Z700M</t>
  </si>
  <si>
    <t>PROFIR</t>
  </si>
  <si>
    <t>CRISTIAN</t>
  </si>
  <si>
    <t>16/12/2024</t>
  </si>
  <si>
    <t>PRFCST86R16Z129H</t>
  </si>
  <si>
    <t>KOLA</t>
  </si>
  <si>
    <t>ALBANA</t>
  </si>
  <si>
    <t>28/03/2025</t>
  </si>
  <si>
    <t>KLOLBN77D50Z100H</t>
  </si>
  <si>
    <t>20/03/2025</t>
  </si>
  <si>
    <t>BOUGHANMI</t>
  </si>
  <si>
    <t>THORAYA</t>
  </si>
  <si>
    <t>28/01/2025</t>
  </si>
  <si>
    <t>12/02/2025</t>
  </si>
  <si>
    <t>BGHTRY05E53G224T</t>
  </si>
  <si>
    <t>SPREA</t>
  </si>
  <si>
    <t>13/01/2025</t>
  </si>
  <si>
    <t>14/04/2025</t>
  </si>
  <si>
    <t>SPRLRA00S57L781V</t>
  </si>
  <si>
    <t>TOMMASO</t>
  </si>
  <si>
    <t>FSCTMS04T27F205W</t>
  </si>
  <si>
    <t>TANTO</t>
  </si>
  <si>
    <t>GINEVRA</t>
  </si>
  <si>
    <t>TNTGVR97A65L781C</t>
  </si>
  <si>
    <t>FOKS</t>
  </si>
  <si>
    <t>08/04/2025</t>
  </si>
  <si>
    <t>FKSMNC71E54L781Q</t>
  </si>
  <si>
    <t>MOHAMED LATIF</t>
  </si>
  <si>
    <t>MOHAMED RIYAZ</t>
  </si>
  <si>
    <t>23/04/2025</t>
  </si>
  <si>
    <t>MHMMMD79H13Z209W</t>
  </si>
  <si>
    <t>OKOYORMON</t>
  </si>
  <si>
    <t>PETERS</t>
  </si>
  <si>
    <t>KYRPRS70L23Z335X</t>
  </si>
  <si>
    <t>IOVITA</t>
  </si>
  <si>
    <t>ECATERINA</t>
  </si>
  <si>
    <t>VTICRN76D43Z140M</t>
  </si>
  <si>
    <t>SINGH</t>
  </si>
  <si>
    <t>HARJINDER</t>
  </si>
  <si>
    <t>07/04/2025</t>
  </si>
  <si>
    <t>SNGHJN86R02Z222A</t>
  </si>
  <si>
    <t>ENABUELE</t>
  </si>
  <si>
    <t>09/04/2025</t>
  </si>
  <si>
    <t>NBLQNU88P61Z335J</t>
  </si>
  <si>
    <t>LISNIC</t>
  </si>
  <si>
    <t>NICOLETA</t>
  </si>
  <si>
    <t>12/05/2025</t>
  </si>
  <si>
    <t>LSNNLT99E56Z140L</t>
  </si>
  <si>
    <t>ILEA</t>
  </si>
  <si>
    <t>ADINA RODICA</t>
  </si>
  <si>
    <t>02/06/2025</t>
  </si>
  <si>
    <t>LIEDRD76C67Z129E</t>
  </si>
  <si>
    <t>VAROTTO</t>
  </si>
  <si>
    <t>TAMARA</t>
  </si>
  <si>
    <t>VRTTMR74A67G693V</t>
  </si>
  <si>
    <t>01/01/2022</t>
  </si>
  <si>
    <t>AMMINISTR.SIND.COLLAB.</t>
  </si>
  <si>
    <t>Somma di Totale A.C. PRG</t>
  </si>
  <si>
    <t>(vuoto)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</si>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</sst>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_-* #,##0.00\ [$€-410]_-;\-* #,##0.00\ [$€-410]_-;_-* &quot;-&quot;??\ [$€-410]_-;_-@_-"/>
  </numFmts>
  <fonts count="3">
    <font>
      <sz val="10"/>
      <name val="Arial"/>
      <family val="2"/>
      <charset val="1"/>
    </font>
    <font>
      <sz val="10.5"/>
      <name val="Segoe UI"/>
      <family val="2"/>
      <charset val="1"/>
    </font>
    <font>
      <b/>
      <sz val="10.5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right"/>
    </xf>
  </cellXfs>
  <cellStyles count="1">
    <cellStyle name="Normale" xfId="0" builtinId="0"/>
  </cellStyles>
  <dxfs count="2">
    <dxf>
      <numFmt numFmtId="165" formatCode="_-* #,##0.00\ [$€-410]_-;\-* #,##0.00\ [$€-410]_-;_-* &quot;-&quot;??\ [$€-410]_-;_-@_-"/>
    </dxf>
    <dxf>
      <numFmt numFmtId="165" formatCode="_-* #,##0.00\ [$€-410]_-;\-* #,##0.00\ [$€-410]_-;_-* &quot;-&quot;??\ [$€-410]_-;_-@_-"/>
    </dxf>
  </dxfs>
  <tableStyles count="0" defaultTableStyle="TableStyleMedium2" defaultPivotStyle="PivotStyleLight16"/>
  <colors>
    <indexedColors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76.534170486113" createdVersion="8" refreshedVersion="8" minRefreshableVersion="3" recordCount="204" xr:uid="{13D0C8D8-C65F-4C56-AB15-8E6CEDC4CB90}">
  <cacheSource type="worksheet">
    <worksheetSource ref="A1:AZ205" sheet="Foglio1"/>
  </cacheSource>
  <cacheFields count="52">
    <cacheField name="Riferimento" numFmtId="0">
      <sharedItems/>
    </cacheField>
    <cacheField name="Ditta" numFmtId="0">
      <sharedItems/>
    </cacheField>
    <cacheField name="Matricola" numFmtId="0">
      <sharedItems containsSemiMixedTypes="0" containsString="0" containsNumber="1" containsInteger="1" minValue="50" maxValue="100000"/>
    </cacheField>
    <cacheField name="Cognome" numFmtId="0">
      <sharedItems/>
    </cacheField>
    <cacheField name="Nome" numFmtId="0">
      <sharedItems/>
    </cacheField>
    <cacheField name="Non Ha Movimenti" numFmtId="0">
      <sharedItems containsBlank="1"/>
    </cacheField>
    <cacheField name="Data Assunzione" numFmtId="0">
      <sharedItems/>
    </cacheField>
    <cacheField name="Data Cessazione" numFmtId="2">
      <sharedItems containsBlank="1"/>
    </cacheField>
    <cacheField name="Paga " numFmtId="0">
      <sharedItems containsSemiMixedTypes="0" containsString="0" containsNumber="1" minValue="0" maxValue="7128"/>
    </cacheField>
    <cacheField name="Stabilimento" numFmtId="0">
      <sharedItems containsNonDate="0" containsString="0" containsBlank="1"/>
    </cacheField>
    <cacheField name="Centro di Costo" numFmtId="0">
      <sharedItems containsString="0" containsBlank="1" containsNumber="1" containsInteger="1" minValue="1" maxValue="17" count="15">
        <n v="1"/>
        <n v="17"/>
        <n v="8"/>
        <n v="2"/>
        <n v="14"/>
        <n v="5"/>
        <n v="13"/>
        <n v="15"/>
        <n v="6"/>
        <n v="7"/>
        <n v="12"/>
        <n v="9"/>
        <n v="11"/>
        <n v="10"/>
        <m/>
      </sharedItems>
    </cacheField>
    <cacheField name="Reparto" numFmtId="0">
      <sharedItems containsNonDate="0" containsString="0" containsBlank="1"/>
    </cacheField>
    <cacheField name="Qualifica" numFmtId="0">
      <sharedItems/>
    </cacheField>
    <cacheField name="Dipartimento" numFmtId="0">
      <sharedItems containsBlank="1"/>
    </cacheField>
    <cacheField name="Lordo Corr. PRG" numFmtId="0">
      <sharedItems containsSemiMixedTypes="0" containsString="0" containsNumber="1" minValue="0" maxValue="53486.62"/>
    </cacheField>
    <cacheField name="Contr.Mese PRG" numFmtId="164">
      <sharedItems containsSemiMixedTypes="0" containsString="0" containsNumber="1" minValue="-3885.5" maxValue="9137.99"/>
    </cacheField>
    <cacheField name="(di cui Welfare) PRG" numFmtId="164">
      <sharedItems containsSemiMixedTypes="0" containsString="0" containsNumber="1" containsInteger="1" minValue="0" maxValue="1000"/>
    </cacheField>
    <cacheField name="TFR PR.C PRG" numFmtId="164">
      <sharedItems containsSemiMixedTypes="0" containsString="0" containsNumber="1" minValue="0" maxValue="1545.2"/>
    </cacheField>
    <cacheField name="TFR INPS PRG" numFmtId="164">
      <sharedItems containsSemiMixedTypes="0" containsString="0" containsNumber="1" containsInteger="1" minValue="0" maxValue="0"/>
    </cacheField>
    <cacheField name="Rat.Ferie PRG" numFmtId="164">
      <sharedItems containsSemiMixedTypes="0" containsString="0" containsNumber="1" minValue="-557.72" maxValue="5708.45"/>
    </cacheField>
    <cacheField name="Cont.Rat.Ferie PRG" numFmtId="164">
      <sharedItems containsSemiMixedTypes="0" containsString="0" containsNumber="1" minValue="-157.44999999999999" maxValue="1600.25"/>
    </cacheField>
    <cacheField name="Rat.13/14/P PRG" numFmtId="164">
      <sharedItems containsSemiMixedTypes="0" containsString="0" containsNumber="1" minValue="0" maxValue="2549.1799999999998"/>
    </cacheField>
    <cacheField name="Cont.Rat.13/14/P PRG" numFmtId="164">
      <sharedItems containsSemiMixedTypes="0" containsString="0" containsNumber="1" minValue="0" maxValue="695.42"/>
    </cacheField>
    <cacheField name="Fles/B.O. PRG" numFmtId="164">
      <sharedItems containsSemiMixedTypes="0" containsString="0" containsNumber="1" minValue="0" maxValue="1656.21"/>
    </cacheField>
    <cacheField name="Cont.Fles/B.O. PRG" numFmtId="164">
      <sharedItems containsSemiMixedTypes="0" containsString="0" containsNumber="1" minValue="0" maxValue="210.32"/>
    </cacheField>
    <cacheField name="INAIL Retr. PRG" numFmtId="164">
      <sharedItems containsSemiMixedTypes="0" containsString="0" containsNumber="1" minValue="0" maxValue="233.94"/>
    </cacheField>
    <cacheField name="Ratei INAIL PRG" numFmtId="164">
      <sharedItems containsSemiMixedTypes="0" containsString="0" containsNumber="1" minValue="-4.26" maxValue="55.72"/>
    </cacheField>
    <cacheField name="T.F.R. RET. PRG" numFmtId="164">
      <sharedItems containsSemiMixedTypes="0" containsString="0" containsNumber="1" minValue="0" maxValue="2504.7800000000002"/>
    </cacheField>
    <cacheField name="Ratei T.F.R. PRG" numFmtId="164">
      <sharedItems containsSemiMixedTypes="0" containsString="0" containsNumber="1" minValue="0" maxValue="176.07"/>
    </cacheField>
    <cacheField name="Totale PRG" numFmtId="164">
      <sharedItems containsSemiMixedTypes="0" containsString="0" containsNumber="1" minValue="-452.51" maxValue="58184.99"/>
    </cacheField>
    <cacheField name="Ore Lavorate PRG" numFmtId="164">
      <sharedItems containsSemiMixedTypes="0" containsString="0" containsNumber="1" minValue="0" maxValue="942.25"/>
    </cacheField>
    <cacheField name="Costo Ora PRG" numFmtId="164">
      <sharedItems containsSemiMixedTypes="0" containsString="0" containsNumber="1" minValue="0" maxValue="68.975896226415088"/>
    </cacheField>
    <cacheField name="Costo Min. PRG" numFmtId="164">
      <sharedItems containsSemiMixedTypes="0" containsString="0" containsNumber="1" minValue="0" maxValue="1.1495982704402514"/>
    </cacheField>
    <cacheField name="Totale A.C. PRG" numFmtId="164">
      <sharedItems containsSemiMixedTypes="0" containsString="0" containsNumber="1" minValue="0" maxValue="51173.109999999993"/>
    </cacheField>
    <cacheField name="Incentivo Economico" numFmtId="164">
      <sharedItems containsSemiMixedTypes="0" containsString="0" containsNumber="1" containsInteger="1" minValue="0" maxValue="0"/>
    </cacheField>
    <cacheField name="Lordo Corr. A.P." numFmtId="164">
      <sharedItems containsSemiMixedTypes="0" containsString="0" containsNumber="1" containsInteger="1" minValue="0" maxValue="0"/>
    </cacheField>
    <cacheField name="Contr.Mese A.P." numFmtId="164">
      <sharedItems containsSemiMixedTypes="0" containsString="0" containsNumber="1" containsInteger="1" minValue="0" maxValue="0"/>
    </cacheField>
    <cacheField name="(di cui Welfare) A.P." numFmtId="164">
      <sharedItems containsSemiMixedTypes="0" containsString="0" containsNumber="1" containsInteger="1" minValue="0" maxValue="0"/>
    </cacheField>
    <cacheField name="TFR PR.C A.P." numFmtId="164">
      <sharedItems containsSemiMixedTypes="0" containsString="0" containsNumber="1" containsInteger="1" minValue="0" maxValue="0"/>
    </cacheField>
    <cacheField name="TFR INPS A.P." numFmtId="164">
      <sharedItems containsSemiMixedTypes="0" containsString="0" containsNumber="1" containsInteger="1" minValue="0" maxValue="0"/>
    </cacheField>
    <cacheField name="Rat.Ferie A.P." numFmtId="164">
      <sharedItems containsSemiMixedTypes="0" containsString="0" containsNumber="1" minValue="-766.78" maxValue="8672.57"/>
    </cacheField>
    <cacheField name="Cont.Rat.Ferie A.P." numFmtId="164">
      <sharedItems containsSemiMixedTypes="0" containsString="0" containsNumber="1" minValue="-195.47" maxValue="1426.84"/>
    </cacheField>
    <cacheField name="Rat.13/14/P A.P." numFmtId="164">
      <sharedItems containsSemiMixedTypes="0" containsString="0" containsNumber="1" containsInteger="1" minValue="0" maxValue="0"/>
    </cacheField>
    <cacheField name="Cont.Rat.13/14/P A.P." numFmtId="164">
      <sharedItems containsSemiMixedTypes="0" containsString="0" containsNumber="1" containsInteger="1" minValue="0" maxValue="0"/>
    </cacheField>
    <cacheField name="Fles/B.O. A.P." numFmtId="164">
      <sharedItems containsSemiMixedTypes="0" containsString="0" containsNumber="1" minValue="-22.09" maxValue="1282.94"/>
    </cacheField>
    <cacheField name="Cont.Fles/B.O. A.P." numFmtId="164">
      <sharedItems containsSemiMixedTypes="0" containsString="0" containsNumber="1" minValue="-5.67" maxValue="67.650000000000006"/>
    </cacheField>
    <cacheField name="INAIL Retr. A.P." numFmtId="164">
      <sharedItems containsSemiMixedTypes="0" containsString="0" containsNumber="1" containsInteger="1" minValue="0" maxValue="0"/>
    </cacheField>
    <cacheField name="Ratei INAIL A.P." numFmtId="164">
      <sharedItems containsSemiMixedTypes="0" containsString="0" containsNumber="1" minValue="-6.9" maxValue="49.7"/>
    </cacheField>
    <cacheField name="T.F.R. RET. A.P." numFmtId="164">
      <sharedItems containsSemiMixedTypes="0" containsString="0" containsNumber="1" containsInteger="1" minValue="0" maxValue="0"/>
    </cacheField>
    <cacheField name="Ratei T.F.R. A.P." numFmtId="164">
      <sharedItems containsSemiMixedTypes="0" containsString="0" containsNumber="1" containsInteger="1" minValue="0" maxValue="0"/>
    </cacheField>
    <cacheField name="Totale A.P." numFmtId="164">
      <sharedItems containsSemiMixedTypes="0" containsString="0" containsNumber="1" minValue="-883.91" maxValue="8705.86"/>
    </cacheField>
    <cacheField name="Codice Fiscale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s v="TC1"/>
    <s v="0100"/>
    <n v="50"/>
    <s v="FENG"/>
    <s v="XIUHUA"/>
    <m/>
    <s v="02/10/2014"/>
    <m/>
    <n v="9.5817700000000006"/>
    <m/>
    <x v="0"/>
    <m/>
    <s v="OPERAIO"/>
    <m/>
    <n v="9927.92"/>
    <n v="66"/>
    <n v="0"/>
    <n v="0"/>
    <n v="0"/>
    <n v="432.62"/>
    <n v="0"/>
    <n v="790.5"/>
    <n v="0"/>
    <n v="35.93"/>
    <n v="0"/>
    <n v="94.55"/>
    <n v="11.99"/>
    <n v="784.85"/>
    <n v="58.55"/>
    <n v="12202.91"/>
    <n v="897.5"/>
    <n v="13.647130919220055"/>
    <n v="0.22745218198700093"/>
    <n v="12248.3"/>
    <n v="0"/>
    <n v="0"/>
    <n v="0"/>
    <n v="0"/>
    <n v="0"/>
    <n v="0"/>
    <n v="-44.94"/>
    <n v="0"/>
    <n v="0"/>
    <n v="0"/>
    <n v="0"/>
    <n v="0"/>
    <n v="0"/>
    <n v="-0.45"/>
    <n v="0"/>
    <n v="0"/>
    <n v="-45.39"/>
    <s v="FNGXHI63T69Z210Y"/>
  </r>
  <r>
    <s v="TC1"/>
    <s v="0100"/>
    <n v="150"/>
    <s v="ENGUIX GRIMALTOS"/>
    <s v="GEMA MARIA"/>
    <m/>
    <s v="02/01/2015"/>
    <m/>
    <n v="11.329319999999999"/>
    <m/>
    <x v="1"/>
    <m/>
    <s v="OPERAIO"/>
    <m/>
    <n v="12102.16"/>
    <n v="3523.71"/>
    <n v="0"/>
    <n v="0"/>
    <n v="0"/>
    <n v="2569.15"/>
    <n v="757.9"/>
    <n v="934.67"/>
    <n v="275.73"/>
    <n v="48.15"/>
    <n v="14.2"/>
    <n v="111.63"/>
    <n v="33.83"/>
    <n v="1023.39"/>
    <n v="64.55"/>
    <n v="21459.070000000003"/>
    <n v="826.5"/>
    <n v="23.023678160919545"/>
    <n v="0.3837279693486591"/>
    <n v="19029.070000000003"/>
    <n v="0"/>
    <n v="0"/>
    <n v="0"/>
    <n v="0"/>
    <n v="0"/>
    <n v="0"/>
    <n v="1859.1"/>
    <n v="548.42999999999995"/>
    <n v="0"/>
    <n v="0"/>
    <n v="2.8"/>
    <n v="0.83"/>
    <n v="0"/>
    <n v="18.84"/>
    <n v="0"/>
    <n v="0"/>
    <n v="2430"/>
    <s v="NGXGMR84T50Z131H"/>
  </r>
  <r>
    <s v="TC1"/>
    <s v="0100"/>
    <n v="240"/>
    <s v="VALBUSA"/>
    <s v="VALERIA"/>
    <m/>
    <s v="26/10/2015"/>
    <m/>
    <n v="1911.06"/>
    <m/>
    <x v="2"/>
    <m/>
    <s v="IMPIEGATO"/>
    <m/>
    <n v="3410.55"/>
    <n v="1007.74"/>
    <n v="0"/>
    <n v="700.12"/>
    <n v="0"/>
    <n v="1168.53"/>
    <n v="313.17"/>
    <n v="817.26"/>
    <n v="219.03"/>
    <n v="0"/>
    <n v="0"/>
    <n v="28.18"/>
    <n v="18.920000000000002"/>
    <n v="1.07"/>
    <n v="56.44"/>
    <n v="7741.0099999999993"/>
    <n v="161.75"/>
    <n v="45.224853168469856"/>
    <n v="0.7537475528078309"/>
    <n v="7315.119999999999"/>
    <n v="0"/>
    <n v="0"/>
    <n v="0"/>
    <n v="0"/>
    <n v="0"/>
    <n v="0"/>
    <n v="327.43"/>
    <n v="87.75"/>
    <n v="0"/>
    <n v="0"/>
    <n v="5.79"/>
    <n v="1.55"/>
    <n v="0"/>
    <n v="3.37"/>
    <n v="0"/>
    <n v="0"/>
    <n v="425.89000000000004"/>
    <s v="VLBVLR83S45L781U"/>
  </r>
  <r>
    <s v="TC1"/>
    <s v="0100"/>
    <n v="260"/>
    <s v="AVESANI"/>
    <s v="SILVIA"/>
    <m/>
    <s v="04/10/2013"/>
    <m/>
    <n v="11.844519999999999"/>
    <m/>
    <x v="3"/>
    <m/>
    <s v="OPERAIO"/>
    <m/>
    <n v="12726.09"/>
    <n v="3667.65"/>
    <n v="0"/>
    <n v="834.4"/>
    <n v="0"/>
    <n v="4047.51"/>
    <n v="1174.5899999999999"/>
    <n v="977.17"/>
    <n v="283.57"/>
    <n v="56.26"/>
    <n v="16.329999999999998"/>
    <n v="118.2"/>
    <n v="48.39"/>
    <n v="2.0699999999999998"/>
    <n v="67.489999999999995"/>
    <n v="24019.72"/>
    <n v="864.25"/>
    <n v="22.399433034422909"/>
    <n v="0.37332388390704846"/>
    <n v="19358.71"/>
    <n v="0"/>
    <n v="0"/>
    <n v="0"/>
    <n v="0"/>
    <n v="0"/>
    <n v="0"/>
    <n v="3584.51"/>
    <n v="1040.22"/>
    <n v="0"/>
    <n v="0"/>
    <n v="0"/>
    <n v="0"/>
    <n v="0"/>
    <n v="36.28"/>
    <n v="0"/>
    <n v="0"/>
    <n v="4661.01"/>
    <s v="VSNSLV80A42L781A"/>
  </r>
  <r>
    <s v="TC1"/>
    <s v="0100"/>
    <n v="270"/>
    <s v="FISCALE"/>
    <s v="ANNA"/>
    <m/>
    <s v="03/06/2014"/>
    <m/>
    <n v="5098.37"/>
    <m/>
    <x v="4"/>
    <m/>
    <s v="QUADRO"/>
    <m/>
    <n v="33829.4"/>
    <n v="9137.99"/>
    <n v="0"/>
    <n v="0"/>
    <n v="0"/>
    <n v="5014.63"/>
    <n v="1367.99"/>
    <n v="2549.1799999999998"/>
    <n v="695.42"/>
    <n v="0"/>
    <n v="0"/>
    <n v="138.11000000000001"/>
    <n v="31.41"/>
    <n v="2255.5300000000002"/>
    <n v="176.07"/>
    <n v="55195.73"/>
    <n v="758.5"/>
    <n v="67.46619644034277"/>
    <n v="1.1244366073390462"/>
    <n v="51173.109999999993"/>
    <n v="0"/>
    <n v="0"/>
    <n v="0"/>
    <n v="0"/>
    <n v="0"/>
    <n v="0"/>
    <n v="3150.17"/>
    <n v="859.37"/>
    <n v="0"/>
    <n v="0"/>
    <n v="0"/>
    <n v="0"/>
    <n v="0"/>
    <n v="13.08"/>
    <n v="0"/>
    <n v="0"/>
    <n v="4022.62"/>
    <s v="FSCNNA88A55L781V"/>
  </r>
  <r>
    <s v="TC1"/>
    <s v="0100"/>
    <n v="310"/>
    <s v="ALDEGHERI"/>
    <s v="MARA"/>
    <m/>
    <s v="01/12/2015"/>
    <m/>
    <n v="9.9320699999999995"/>
    <m/>
    <x v="5"/>
    <m/>
    <s v="OPERAIO"/>
    <m/>
    <n v="9077.08"/>
    <n v="2756.1"/>
    <n v="0"/>
    <n v="0"/>
    <n v="0"/>
    <n v="1319.87"/>
    <n v="389.36"/>
    <n v="819.4"/>
    <n v="241.72"/>
    <n v="29.8"/>
    <n v="8.7899999999999991"/>
    <n v="86.85"/>
    <n v="20.65"/>
    <n v="903.99"/>
    <n v="56.59"/>
    <n v="15710.2"/>
    <n v="705.25"/>
    <n v="20.418759305210916"/>
    <n v="0.3403126550868486"/>
    <n v="14400.329999999998"/>
    <n v="0"/>
    <n v="0"/>
    <n v="0"/>
    <n v="0"/>
    <n v="0"/>
    <n v="0"/>
    <n v="991.22"/>
    <n v="292.41000000000003"/>
    <n v="0"/>
    <n v="0"/>
    <n v="12.42"/>
    <n v="3.66"/>
    <n v="0"/>
    <n v="10.16"/>
    <n v="0"/>
    <n v="0"/>
    <n v="1309.8700000000003"/>
    <s v="LDGMRA71M63L781X"/>
  </r>
  <r>
    <s v="TC1"/>
    <s v="0100"/>
    <n v="380"/>
    <s v="CAMERARIA"/>
    <s v="GIORGIA"/>
    <m/>
    <s v="07/01/2016"/>
    <m/>
    <n v="2007.43"/>
    <m/>
    <x v="6"/>
    <m/>
    <s v="IMPIEGATO"/>
    <m/>
    <n v="13560.2"/>
    <n v="3587.19"/>
    <n v="0"/>
    <n v="0"/>
    <n v="0"/>
    <n v="3485.99"/>
    <n v="977.23"/>
    <n v="882.68"/>
    <n v="247.44"/>
    <n v="27.37"/>
    <n v="7.67"/>
    <n v="36.049999999999997"/>
    <n v="16.87"/>
    <n v="876.75"/>
    <n v="60.96"/>
    <n v="23766.399999999991"/>
    <n v="760.5"/>
    <n v="26.648415516107814"/>
    <n v="0.4441402586017969"/>
    <n v="20266.119999999992"/>
    <n v="0"/>
    <n v="0"/>
    <n v="0"/>
    <n v="0"/>
    <n v="0"/>
    <n v="0"/>
    <n v="2725.72"/>
    <n v="764.1"/>
    <n v="0"/>
    <n v="0"/>
    <n v="0"/>
    <n v="0"/>
    <n v="0"/>
    <n v="10.46"/>
    <n v="0"/>
    <n v="0"/>
    <n v="3500.28"/>
    <s v="CMRGRG79E69L781N"/>
  </r>
  <r>
    <s v="TC1"/>
    <s v="0100"/>
    <n v="420"/>
    <s v="LUCACI"/>
    <s v="ANGELICA"/>
    <m/>
    <s v="09/05/2016"/>
    <m/>
    <n v="10.48316"/>
    <m/>
    <x v="3"/>
    <m/>
    <s v="OPERAIO"/>
    <m/>
    <n v="10711.16"/>
    <n v="3225.73"/>
    <n v="0"/>
    <n v="0"/>
    <n v="0"/>
    <n v="1960.04"/>
    <n v="578.21"/>
    <n v="864.86"/>
    <n v="255.13"/>
    <n v="7.86"/>
    <n v="2.3199999999999998"/>
    <n v="102.02"/>
    <n v="26.98"/>
    <n v="906.92"/>
    <n v="59.73"/>
    <n v="18700.96"/>
    <n v="797.75"/>
    <n v="20.035537449075523"/>
    <n v="0.3339256241512587"/>
    <n v="15983.349999999999"/>
    <n v="0"/>
    <n v="0"/>
    <n v="0"/>
    <n v="0"/>
    <n v="0"/>
    <n v="0"/>
    <n v="2082.27"/>
    <n v="614.27"/>
    <n v="0"/>
    <n v="0"/>
    <n v="0"/>
    <n v="0"/>
    <n v="0"/>
    <n v="21.07"/>
    <n v="0"/>
    <n v="0"/>
    <n v="2717.61"/>
    <s v="LCCNLC82T64Z129Y"/>
  </r>
  <r>
    <s v="TC1"/>
    <s v="0100"/>
    <n v="440"/>
    <s v="BIGHINATI"/>
    <s v="GIADA"/>
    <s v="**"/>
    <s v="24/05/2016"/>
    <s v="28/02/2025"/>
    <n v="9.6056500000000007"/>
    <m/>
    <x v="4"/>
    <m/>
    <s v="IMPIEGATO"/>
    <m/>
    <n v="4361.3999999999996"/>
    <n v="1223.5899999999999"/>
    <n v="0"/>
    <n v="233.1"/>
    <n v="0"/>
    <n v="0"/>
    <n v="0"/>
    <n v="0"/>
    <n v="0"/>
    <n v="0"/>
    <n v="0"/>
    <n v="30.57"/>
    <n v="0"/>
    <n v="2.44"/>
    <n v="0"/>
    <n v="5851.1"/>
    <n v="239"/>
    <n v="19.430041841004183"/>
    <n v="0.32383403068340305"/>
    <n v="4643.78"/>
    <n v="0"/>
    <n v="0"/>
    <n v="0"/>
    <n v="0"/>
    <n v="0"/>
    <n v="0"/>
    <n v="941.35"/>
    <n v="259.37"/>
    <n v="0"/>
    <n v="0"/>
    <n v="0"/>
    <n v="0"/>
    <n v="0"/>
    <n v="6.6"/>
    <n v="0"/>
    <n v="0"/>
    <n v="1207.32"/>
    <s v="BGHGDI83E71E349O"/>
  </r>
  <r>
    <s v="TC1"/>
    <s v="0100"/>
    <n v="540"/>
    <s v="LOTTI"/>
    <s v="FABIO"/>
    <m/>
    <s v="05/07/2016"/>
    <s v="30/06/2025"/>
    <n v="4588.42"/>
    <m/>
    <x v="7"/>
    <m/>
    <s v="IMPIEGATO"/>
    <m/>
    <n v="53174.879999999997"/>
    <n v="1988.27"/>
    <n v="0"/>
    <n v="0"/>
    <n v="0"/>
    <n v="0"/>
    <n v="0"/>
    <n v="0"/>
    <n v="0"/>
    <n v="0"/>
    <n v="0"/>
    <n v="204.04"/>
    <n v="0"/>
    <n v="2483.14"/>
    <n v="0"/>
    <n v="57850.329999999994"/>
    <n v="919"/>
    <n v="53.717105549510329"/>
    <n v="0.89528509249183885"/>
    <n v="49366.01999999999"/>
    <n v="0"/>
    <n v="0"/>
    <n v="0"/>
    <n v="0"/>
    <n v="0"/>
    <n v="0"/>
    <n v="8451.8700000000008"/>
    <n v="0"/>
    <n v="0"/>
    <n v="0"/>
    <n v="0"/>
    <n v="0"/>
    <n v="0"/>
    <n v="32.44"/>
    <n v="0"/>
    <n v="0"/>
    <n v="8484.3100000000013"/>
    <s v="LTTFBA87T20L840Q"/>
  </r>
  <r>
    <s v="TC1"/>
    <s v="0100"/>
    <n v="550"/>
    <s v="ZANARDO"/>
    <s v="FABIANA"/>
    <m/>
    <s v="10/10/2016"/>
    <m/>
    <n v="9.4831599999999998"/>
    <m/>
    <x v="0"/>
    <m/>
    <s v="OPERAIO"/>
    <m/>
    <n v="6768.8"/>
    <n v="66"/>
    <n v="0"/>
    <n v="0"/>
    <n v="0"/>
    <n v="2924.04"/>
    <n v="0"/>
    <n v="782.36"/>
    <n v="0"/>
    <n v="4.74"/>
    <n v="0"/>
    <n v="64.45"/>
    <n v="35.35"/>
    <n v="826.85"/>
    <n v="57.95"/>
    <n v="11530.540000000003"/>
    <n v="337"/>
    <n v="26.1852818991098"/>
    <n v="0.43642136498516332"/>
    <n v="8824.4400000000023"/>
    <n v="0"/>
    <n v="0"/>
    <n v="0"/>
    <n v="0"/>
    <n v="0"/>
    <n v="0"/>
    <n v="2674.25"/>
    <n v="0"/>
    <n v="0"/>
    <n v="0"/>
    <n v="4.74"/>
    <n v="0"/>
    <n v="0"/>
    <n v="27.11"/>
    <n v="0"/>
    <n v="0"/>
    <n v="2706.1"/>
    <s v="ZNRFBN74P47E512A"/>
  </r>
  <r>
    <s v="TC1"/>
    <s v="0100"/>
    <n v="590"/>
    <s v="RIGHETTI"/>
    <s v="FLAVIA"/>
    <m/>
    <s v="09/11/2016"/>
    <m/>
    <n v="10.883760000000001"/>
    <m/>
    <x v="0"/>
    <m/>
    <s v="OPERAIO"/>
    <m/>
    <n v="11370.82"/>
    <n v="3365.86"/>
    <n v="0"/>
    <n v="766.89"/>
    <n v="0"/>
    <n v="4915"/>
    <n v="1426.33"/>
    <n v="897.91"/>
    <n v="260.57"/>
    <n v="38.090000000000003"/>
    <n v="11.05"/>
    <n v="108.32"/>
    <n v="55.72"/>
    <n v="5.24"/>
    <n v="62.02"/>
    <n v="23283.820000000003"/>
    <n v="838.5"/>
    <n v="20.152128801431132"/>
    <n v="0.33586881335718555"/>
    <n v="16897.560000000005"/>
    <n v="0"/>
    <n v="0"/>
    <n v="0"/>
    <n v="0"/>
    <n v="0"/>
    <n v="0"/>
    <n v="4916.74"/>
    <n v="1426.84"/>
    <n v="0"/>
    <n v="0"/>
    <n v="-5.44"/>
    <n v="-1.58"/>
    <n v="0"/>
    <n v="49.7"/>
    <n v="0"/>
    <n v="0"/>
    <n v="6386.26"/>
    <s v="RGHFLV66E56F861L"/>
  </r>
  <r>
    <s v="TC1"/>
    <s v="0100"/>
    <n v="600"/>
    <s v="MOLINARI"/>
    <s v="LAURA"/>
    <m/>
    <s v="09/11/2016"/>
    <m/>
    <n v="9.9731699999999996"/>
    <m/>
    <x v="0"/>
    <m/>
    <s v="OPERAIO"/>
    <m/>
    <n v="9820.4"/>
    <n v="2916.97"/>
    <n v="0"/>
    <n v="705.7"/>
    <n v="0"/>
    <n v="3927.83"/>
    <n v="1139.8599999999999"/>
    <n v="822.79"/>
    <n v="238.77"/>
    <n v="49.87"/>
    <n v="14.47"/>
    <n v="93.58"/>
    <n v="45.72"/>
    <n v="5.24"/>
    <n v="56.82"/>
    <n v="19838.020000000008"/>
    <n v="774.25"/>
    <n v="19.110868582499201"/>
    <n v="0.3185144763749867"/>
    <n v="14796.590000000007"/>
    <n v="0"/>
    <n v="0"/>
    <n v="0"/>
    <n v="0"/>
    <n v="0"/>
    <n v="0"/>
    <n v="3874.58"/>
    <n v="1124.4000000000001"/>
    <n v="0"/>
    <n v="0"/>
    <n v="2.4900000000000002"/>
    <n v="0.72"/>
    <n v="0"/>
    <n v="39.24"/>
    <n v="0"/>
    <n v="0"/>
    <n v="5041.4299999999994"/>
    <s v="MLNLRA67R57L781A"/>
  </r>
  <r>
    <s v="TC1"/>
    <s v="0100"/>
    <n v="620"/>
    <s v="ANSELMI"/>
    <s v="IVA"/>
    <m/>
    <s v="05/12/2016"/>
    <m/>
    <n v="10.61375"/>
    <m/>
    <x v="0"/>
    <m/>
    <s v="OPERAIO"/>
    <m/>
    <n v="9845"/>
    <n v="2923.32"/>
    <n v="0"/>
    <n v="754.08"/>
    <n v="0"/>
    <n v="2932.47"/>
    <n v="851"/>
    <n v="875.63"/>
    <n v="254.11"/>
    <n v="47.76"/>
    <n v="13.86"/>
    <n v="93.78"/>
    <n v="36.72"/>
    <n v="6.63"/>
    <n v="60.48"/>
    <n v="18694.84"/>
    <n v="731.5"/>
    <n v="21.754436090225564"/>
    <n v="0.36257393483709272"/>
    <n v="15913.37"/>
    <n v="0"/>
    <n v="0"/>
    <n v="0"/>
    <n v="0"/>
    <n v="0"/>
    <n v="0"/>
    <n v="2136.44"/>
    <n v="619.99"/>
    <n v="0"/>
    <n v="0"/>
    <n v="2.63"/>
    <n v="0.76"/>
    <n v="0"/>
    <n v="21.65"/>
    <n v="0"/>
    <n v="0"/>
    <n v="2781.4700000000007"/>
    <s v="NSLVIA72B52L781R"/>
  </r>
  <r>
    <s v="TC1"/>
    <s v="0100"/>
    <n v="640"/>
    <s v="DEDAJ"/>
    <s v="EGLANTINA"/>
    <m/>
    <s v="13/12/2016"/>
    <m/>
    <n v="10.303750000000001"/>
    <m/>
    <x v="5"/>
    <m/>
    <s v="OPERAIO"/>
    <m/>
    <n v="10527.86"/>
    <n v="407"/>
    <n v="0"/>
    <n v="779.84"/>
    <n v="0"/>
    <n v="1752.67"/>
    <n v="0"/>
    <n v="850.06"/>
    <n v="0"/>
    <n v="23.18"/>
    <n v="0"/>
    <n v="100.3"/>
    <n v="25.01"/>
    <n v="166.75"/>
    <n v="62.96"/>
    <n v="14695.63"/>
    <n v="831.5"/>
    <n v="15.856704750450991"/>
    <n v="0.26427841250751649"/>
    <n v="13184.849999999999"/>
    <n v="0"/>
    <n v="0"/>
    <n v="0"/>
    <n v="0"/>
    <n v="0"/>
    <n v="0"/>
    <n v="1495.64"/>
    <n v="0"/>
    <n v="0"/>
    <n v="0"/>
    <n v="0"/>
    <n v="0"/>
    <n v="0"/>
    <n v="15.14"/>
    <n v="0"/>
    <n v="0"/>
    <n v="1510.7800000000002"/>
    <s v="DDJGNT82C46Z100R"/>
  </r>
  <r>
    <s v="TC1"/>
    <s v="0100"/>
    <n v="670"/>
    <s v="GIANCRISTOFARO"/>
    <s v="SIMONA"/>
    <m/>
    <s v="24/03/2017"/>
    <m/>
    <n v="9.4929799999999993"/>
    <m/>
    <x v="4"/>
    <m/>
    <s v="IMPIEGATO"/>
    <m/>
    <n v="358.63"/>
    <n v="272.02999999999997"/>
    <n v="0"/>
    <n v="719.55"/>
    <n v="0"/>
    <n v="3316.28"/>
    <n v="913.73"/>
    <n v="621.76"/>
    <n v="171.31"/>
    <n v="0"/>
    <n v="0"/>
    <n v="2.5099999999999998"/>
    <n v="27.6"/>
    <n v="5.56"/>
    <n v="42.94"/>
    <n v="6451.9"/>
    <n v="0"/>
    <n v="0"/>
    <n v="0"/>
    <n v="3188.9600000000005"/>
    <n v="0"/>
    <n v="0"/>
    <n v="0"/>
    <n v="0"/>
    <n v="0"/>
    <n v="0"/>
    <n v="2544.13"/>
    <n v="700.98"/>
    <n v="0"/>
    <n v="0"/>
    <n v="0"/>
    <n v="0"/>
    <n v="0"/>
    <n v="17.829999999999998"/>
    <n v="0"/>
    <n v="0"/>
    <n v="3262.94"/>
    <s v="GNCSMN88T60E435D"/>
  </r>
  <r>
    <s v="TC1"/>
    <s v="0100"/>
    <n v="680"/>
    <s v="MADUEKE"/>
    <s v="IJEOMA"/>
    <m/>
    <s v="13/12/2016"/>
    <m/>
    <n v="8.9331600000000009"/>
    <m/>
    <x v="3"/>
    <m/>
    <s v="OPERAIO"/>
    <m/>
    <n v="8180.52"/>
    <n v="66"/>
    <n v="0"/>
    <n v="0"/>
    <n v="0"/>
    <n v="171.7"/>
    <n v="0"/>
    <n v="736.99"/>
    <n v="0"/>
    <n v="35.729999999999997"/>
    <n v="0"/>
    <n v="77.930000000000007"/>
    <n v="9"/>
    <n v="764.05"/>
    <n v="54.59"/>
    <n v="10096.51"/>
    <n v="743.75"/>
    <n v="13.720551260504202"/>
    <n v="0.22867585434173671"/>
    <n v="10204.66"/>
    <n v="0"/>
    <n v="0"/>
    <n v="0"/>
    <n v="0"/>
    <n v="0"/>
    <n v="0"/>
    <n v="-109.28"/>
    <n v="0"/>
    <n v="0"/>
    <n v="0"/>
    <n v="2.21"/>
    <n v="0"/>
    <n v="0"/>
    <n v="-1.08"/>
    <n v="0"/>
    <n v="0"/>
    <n v="-108.15"/>
    <s v="MDKJMI68B68Z335Y"/>
  </r>
  <r>
    <s v="TC1"/>
    <s v="0100"/>
    <n v="690"/>
    <s v="MEZOUEL"/>
    <s v="ONS"/>
    <m/>
    <s v="13/12/2016"/>
    <m/>
    <n v="9.7126699999999992"/>
    <m/>
    <x v="0"/>
    <m/>
    <s v="OPERAIO"/>
    <m/>
    <n v="10102.65"/>
    <n v="66"/>
    <n v="0"/>
    <n v="0"/>
    <n v="0"/>
    <n v="2647.29"/>
    <n v="0"/>
    <n v="801.3"/>
    <n v="0"/>
    <n v="12.14"/>
    <n v="0"/>
    <n v="96.2"/>
    <n v="32.96"/>
    <n v="897.27"/>
    <n v="59.35"/>
    <n v="14715.159999999998"/>
    <n v="863.75"/>
    <n v="14.272104196816207"/>
    <n v="0.23786840328027012"/>
    <n v="12327.53"/>
    <n v="0"/>
    <n v="0"/>
    <n v="0"/>
    <n v="0"/>
    <n v="0"/>
    <n v="0"/>
    <n v="2363.71"/>
    <n v="0"/>
    <n v="0"/>
    <n v="0"/>
    <n v="0"/>
    <n v="0"/>
    <n v="0"/>
    <n v="23.92"/>
    <n v="0"/>
    <n v="0"/>
    <n v="2387.63"/>
    <s v="MZLNSO76C70Z352I"/>
  </r>
  <r>
    <s v="TC1"/>
    <s v="0100"/>
    <n v="700"/>
    <s v="XIA"/>
    <s v="RONGJUN"/>
    <m/>
    <s v="15/12/2016"/>
    <m/>
    <n v="8.4828299999999999"/>
    <m/>
    <x v="0"/>
    <m/>
    <s v="OPERAIO"/>
    <m/>
    <n v="8552.42"/>
    <n v="66"/>
    <n v="0"/>
    <n v="0"/>
    <n v="0"/>
    <n v="280.44"/>
    <n v="0"/>
    <n v="690.6"/>
    <n v="0"/>
    <n v="36.049999999999997"/>
    <n v="0"/>
    <n v="84.48"/>
    <n v="9.59"/>
    <n v="792.67"/>
    <n v="51.15"/>
    <n v="10563.4"/>
    <n v="864.25"/>
    <n v="12.360289268151575"/>
    <n v="0.20600482113585958"/>
    <n v="10682.38"/>
    <n v="0"/>
    <n v="0"/>
    <n v="0"/>
    <n v="0"/>
    <n v="0"/>
    <n v="0"/>
    <n v="-117.79"/>
    <n v="0"/>
    <n v="0"/>
    <n v="0"/>
    <n v="0"/>
    <n v="0"/>
    <n v="0"/>
    <n v="-1.19"/>
    <n v="0"/>
    <n v="0"/>
    <n v="-118.98"/>
    <s v="XIARGJ76D21Z210J"/>
  </r>
  <r>
    <s v="TC1"/>
    <s v="0100"/>
    <n v="780"/>
    <s v="SANNEH"/>
    <s v="SHERIFO"/>
    <s v="**"/>
    <s v="19/12/2016"/>
    <s v="09/03/2025"/>
    <n v="9.3845500000000008"/>
    <m/>
    <x v="0"/>
    <m/>
    <s v="OPERAIO"/>
    <m/>
    <n v="2562.71"/>
    <n v="919.16"/>
    <n v="0"/>
    <n v="0"/>
    <n v="0"/>
    <n v="0"/>
    <n v="0"/>
    <n v="0"/>
    <n v="0"/>
    <n v="0"/>
    <n v="0"/>
    <n v="28.6"/>
    <n v="0"/>
    <n v="204.35000000000002"/>
    <n v="0"/>
    <n v="3714.82"/>
    <n v="208.25"/>
    <n v="19.890276110444177"/>
    <n v="0.33150460184073627"/>
    <n v="4142.1499999999996"/>
    <n v="0"/>
    <n v="0"/>
    <n v="0"/>
    <n v="0"/>
    <n v="0"/>
    <n v="0"/>
    <n v="-327.43"/>
    <n v="-96.59"/>
    <n v="0"/>
    <n v="0"/>
    <n v="0"/>
    <n v="0"/>
    <n v="0"/>
    <n v="-3.31"/>
    <n v="0"/>
    <n v="0"/>
    <n v="-427.33"/>
    <s v="SNNSRF95C27Z317U"/>
  </r>
  <r>
    <s v="TC1"/>
    <s v="0100"/>
    <n v="800"/>
    <s v="SAAD"/>
    <s v="NAJAT"/>
    <m/>
    <s v="20/12/2016"/>
    <m/>
    <n v="9.4831599999999998"/>
    <m/>
    <x v="0"/>
    <m/>
    <s v="OPERAIO"/>
    <m/>
    <n v="9962.06"/>
    <n v="3018.96"/>
    <n v="0"/>
    <n v="0"/>
    <n v="0"/>
    <n v="1591.65"/>
    <n v="469.54"/>
    <n v="782.36"/>
    <n v="230.8"/>
    <n v="11.85"/>
    <n v="3.5"/>
    <n v="95.34"/>
    <n v="22.72"/>
    <n v="823.69"/>
    <n v="54.03"/>
    <n v="17066.5"/>
    <n v="869.5"/>
    <n v="17.917320299022428"/>
    <n v="0.29862200498370711"/>
    <n v="15579.11"/>
    <n v="0"/>
    <n v="0"/>
    <n v="0"/>
    <n v="0"/>
    <n v="0"/>
    <n v="0"/>
    <n v="1121.99"/>
    <n v="330.99"/>
    <n v="0"/>
    <n v="0"/>
    <n v="17.670000000000002"/>
    <n v="5.21"/>
    <n v="0"/>
    <n v="11.53"/>
    <n v="0"/>
    <n v="0"/>
    <n v="1487.39"/>
    <s v="SDANJT82P51Z330E"/>
  </r>
  <r>
    <s v="TC1"/>
    <s v="0100"/>
    <n v="830"/>
    <s v="MIA"/>
    <s v="ELIAS"/>
    <m/>
    <s v="11/01/2017"/>
    <m/>
    <n v="8.8345500000000001"/>
    <m/>
    <x v="0"/>
    <m/>
    <s v="OPERAIO"/>
    <m/>
    <n v="2944.12"/>
    <n v="941.57"/>
    <n v="0"/>
    <n v="0"/>
    <n v="0"/>
    <n v="-94.62"/>
    <n v="-27.91"/>
    <n v="242.95"/>
    <n v="71.67"/>
    <n v="46.38"/>
    <n v="13.68"/>
    <n v="28.27"/>
    <n v="1.86"/>
    <n v="207.84"/>
    <n v="16.77"/>
    <n v="4392.5800000000008"/>
    <n v="281.5"/>
    <n v="16.463943161634106"/>
    <n v="0.27439905269390175"/>
    <n v="4634.6000000000004"/>
    <n v="0"/>
    <n v="0"/>
    <n v="0"/>
    <n v="0"/>
    <n v="0"/>
    <n v="0"/>
    <n v="-185.44"/>
    <n v="-54.7"/>
    <n v="0"/>
    <n v="0"/>
    <n v="0"/>
    <n v="0"/>
    <n v="0"/>
    <n v="-1.88"/>
    <n v="0"/>
    <n v="0"/>
    <n v="-242.02"/>
    <s v="MIALSE94E05Z249A"/>
  </r>
  <r>
    <s v="TC1"/>
    <s v="0100"/>
    <n v="870"/>
    <s v="ZEID"/>
    <s v="GHANIA"/>
    <m/>
    <s v="04/04/2017"/>
    <m/>
    <n v="8.9331600000000009"/>
    <m/>
    <x v="0"/>
    <m/>
    <s v="OPERAIO"/>
    <m/>
    <n v="9205.1"/>
    <n v="2792.38"/>
    <n v="0"/>
    <n v="0"/>
    <n v="0"/>
    <n v="1393.57"/>
    <n v="411.1"/>
    <n v="736.99"/>
    <n v="217.41"/>
    <n v="24.57"/>
    <n v="7.25"/>
    <n v="88.03"/>
    <n v="20.52"/>
    <n v="693.12"/>
    <n v="50.9"/>
    <n v="15640.94"/>
    <n v="847.5"/>
    <n v="17.157333333333334"/>
    <n v="0.28595555555555557"/>
    <n v="14540.84"/>
    <n v="0"/>
    <n v="0"/>
    <n v="0"/>
    <n v="0"/>
    <n v="0"/>
    <n v="0"/>
    <n v="840.7"/>
    <n v="248.01"/>
    <n v="0"/>
    <n v="0"/>
    <n v="2.21"/>
    <n v="0.65"/>
    <n v="0"/>
    <n v="8.5299999999999994"/>
    <n v="0"/>
    <n v="0"/>
    <n v="1100.1000000000001"/>
    <s v="ZDEGHN67A41Z330E"/>
  </r>
  <r>
    <s v="TC1"/>
    <s v="0100"/>
    <n v="920"/>
    <s v="HASSAN"/>
    <s v="MD RASHED"/>
    <m/>
    <s v="08/06/2017"/>
    <m/>
    <n v="8.8345500000000001"/>
    <m/>
    <x v="0"/>
    <m/>
    <s v="OPERAIO"/>
    <m/>
    <n v="3971.08"/>
    <n v="1281.3699999999999"/>
    <n v="0"/>
    <n v="0"/>
    <n v="0"/>
    <n v="-268.13"/>
    <n v="-79.099999999999994"/>
    <n v="335.64"/>
    <n v="99.01"/>
    <n v="6.63"/>
    <n v="1.96"/>
    <n v="37.85"/>
    <n v="0.71"/>
    <n v="326.81"/>
    <n v="23.18"/>
    <n v="5737.0100000000011"/>
    <n v="367.5"/>
    <n v="16.909823129251706"/>
    <n v="0.28183038548752842"/>
    <n v="6214.3600000000015"/>
    <n v="0"/>
    <n v="0"/>
    <n v="0"/>
    <n v="0"/>
    <n v="0"/>
    <n v="0"/>
    <n v="-365.75"/>
    <n v="-107.9"/>
    <n v="0"/>
    <n v="0"/>
    <n v="0"/>
    <n v="0"/>
    <n v="0"/>
    <n v="-3.7"/>
    <n v="0"/>
    <n v="0"/>
    <n v="-477.35"/>
    <s v="HSSMRS81C03Z249Q"/>
  </r>
  <r>
    <s v="TC1"/>
    <s v="0100"/>
    <n v="940"/>
    <s v="RIGHETTI"/>
    <s v="MICHELE"/>
    <m/>
    <s v="13/06/2017"/>
    <m/>
    <n v="8.8345500000000001"/>
    <m/>
    <x v="1"/>
    <m/>
    <s v="OPERAIO"/>
    <m/>
    <n v="8624.52"/>
    <n v="66"/>
    <n v="0"/>
    <n v="0"/>
    <n v="0"/>
    <n v="1750.3"/>
    <n v="0"/>
    <n v="728.85"/>
    <n v="0"/>
    <n v="37.549999999999997"/>
    <n v="0"/>
    <n v="81.849999999999994"/>
    <n v="23.97"/>
    <n v="819.68"/>
    <n v="53.98"/>
    <n v="12186.7"/>
    <n v="746.25"/>
    <n v="14.189668341708542"/>
    <n v="0.23649447236180904"/>
    <n v="10589.04"/>
    <n v="0"/>
    <n v="0"/>
    <n v="0"/>
    <n v="0"/>
    <n v="0"/>
    <n v="0"/>
    <n v="1581.65"/>
    <n v="0"/>
    <n v="0"/>
    <n v="0"/>
    <n v="0"/>
    <n v="0"/>
    <n v="0"/>
    <n v="16.010000000000002"/>
    <n v="0"/>
    <n v="0"/>
    <n v="1597.66"/>
    <s v="RGHMHL62B23L781D"/>
  </r>
  <r>
    <s v="TC1"/>
    <s v="0100"/>
    <n v="990"/>
    <s v="PARRELLA"/>
    <s v="MARIA CRISTINA"/>
    <m/>
    <s v="28/08/2017"/>
    <m/>
    <n v="9.8745499999999993"/>
    <m/>
    <x v="0"/>
    <m/>
    <s v="OPERAIO"/>
    <m/>
    <n v="7494.23"/>
    <n v="2276.7199999999998"/>
    <n v="0"/>
    <n v="0"/>
    <n v="0"/>
    <n v="1762.61"/>
    <n v="519.97"/>
    <n v="814.65"/>
    <n v="240.32"/>
    <n v="0"/>
    <n v="0"/>
    <n v="71.38"/>
    <n v="24.54"/>
    <n v="855.46"/>
    <n v="56.26"/>
    <n v="14116.139999999998"/>
    <n v="508.75"/>
    <n v="24.987852579852575"/>
    <n v="0.41646420966420961"/>
    <n v="12712.569999999998"/>
    <n v="0"/>
    <n v="0"/>
    <n v="0"/>
    <n v="0"/>
    <n v="0"/>
    <n v="0"/>
    <n v="1075.44"/>
    <n v="317.25"/>
    <n v="0"/>
    <n v="0"/>
    <n v="0"/>
    <n v="0"/>
    <n v="0"/>
    <n v="10.88"/>
    <n v="0"/>
    <n v="0"/>
    <n v="1403.5700000000002"/>
    <s v="PRRMCR75D41L781B"/>
  </r>
  <r>
    <s v="TC1"/>
    <s v="0100"/>
    <n v="1000"/>
    <s v="ILIE"/>
    <s v="FLORENTINA"/>
    <m/>
    <s v="18/09/2017"/>
    <m/>
    <n v="12.3589"/>
    <m/>
    <x v="0"/>
    <m/>
    <s v="OPERAIO"/>
    <m/>
    <n v="12985.2"/>
    <n v="3896.86"/>
    <n v="0"/>
    <n v="0"/>
    <n v="0"/>
    <n v="4492.46"/>
    <n v="1325.28"/>
    <n v="1019.61"/>
    <n v="300.77999999999997"/>
    <n v="18.54"/>
    <n v="5.47"/>
    <n v="123.67"/>
    <n v="52.67"/>
    <n v="953.59"/>
    <n v="70.42"/>
    <n v="25244.549999999996"/>
    <n v="794.75"/>
    <n v="24.956816608996537"/>
    <n v="0.4159469434832756"/>
    <n v="19834.429999999997"/>
    <n v="0"/>
    <n v="0"/>
    <n v="0"/>
    <n v="0"/>
    <n v="0"/>
    <n v="0"/>
    <n v="4129.8500000000004"/>
    <n v="1218.31"/>
    <n v="0"/>
    <n v="0"/>
    <n v="15.45"/>
    <n v="4.5599999999999996"/>
    <n v="0"/>
    <n v="41.95"/>
    <n v="0"/>
    <n v="0"/>
    <n v="5410.12"/>
    <s v="LIIFRN75R62Z129Q"/>
  </r>
  <r>
    <s v="TC1"/>
    <s v="0100"/>
    <n v="1060"/>
    <s v="VALOTTO"/>
    <s v="VALERIA"/>
    <m/>
    <s v="02/10/2017"/>
    <m/>
    <n v="3228.29"/>
    <m/>
    <x v="6"/>
    <m/>
    <s v="QUADRO"/>
    <m/>
    <n v="21076.83"/>
    <n v="5721.63"/>
    <n v="0"/>
    <n v="0"/>
    <n v="0"/>
    <n v="3626.45"/>
    <n v="1016.6"/>
    <n v="1614.14"/>
    <n v="452.49"/>
    <n v="0"/>
    <n v="0"/>
    <n v="77.430000000000007"/>
    <n v="20.11"/>
    <n v="1512.17"/>
    <n v="111.48"/>
    <n v="35229.33"/>
    <n v="881"/>
    <n v="35.994948921679914"/>
    <n v="0.59991581536133187"/>
    <n v="31711.550000000003"/>
    <n v="0"/>
    <n v="0"/>
    <n v="0"/>
    <n v="0"/>
    <n v="0"/>
    <n v="0"/>
    <n v="2739.35"/>
    <n v="767.92"/>
    <n v="0"/>
    <n v="0"/>
    <n v="0"/>
    <n v="0"/>
    <n v="0"/>
    <n v="10.51"/>
    <n v="0"/>
    <n v="0"/>
    <n v="3517.78"/>
    <s v="VLTVLR86A63L781W"/>
  </r>
  <r>
    <s v="TC1"/>
    <s v="0100"/>
    <n v="1080"/>
    <s v="SAKA"/>
    <s v="EDMUND OFORI"/>
    <m/>
    <s v="02/10/2017"/>
    <m/>
    <n v="8.8345500000000001"/>
    <m/>
    <x v="0"/>
    <m/>
    <s v="OPERAIO"/>
    <m/>
    <n v="9266.14"/>
    <n v="2842.26"/>
    <n v="0"/>
    <n v="0"/>
    <n v="0"/>
    <n v="3433.64"/>
    <n v="1012.92"/>
    <n v="728.85"/>
    <n v="215.01"/>
    <n v="196.57"/>
    <n v="57.99"/>
    <n v="89.65"/>
    <n v="41.52"/>
    <n v="683.5"/>
    <n v="50.33"/>
    <n v="18618.38"/>
    <n v="911"/>
    <n v="16.294555433589462"/>
    <n v="0.27157592389315771"/>
    <n v="14844.34"/>
    <n v="0"/>
    <n v="0"/>
    <n v="0"/>
    <n v="0"/>
    <n v="0"/>
    <n v="0"/>
    <n v="2737.12"/>
    <n v="807.45"/>
    <n v="0"/>
    <n v="0"/>
    <n v="154.6"/>
    <n v="45.61"/>
    <n v="0"/>
    <n v="29.26"/>
    <n v="0"/>
    <n v="0"/>
    <n v="3774.04"/>
    <s v="SKADND63T26Z318U"/>
  </r>
  <r>
    <s v="TC1"/>
    <s v="0100"/>
    <n v="1130"/>
    <s v="DAL CORTIVO"/>
    <s v="EMMA"/>
    <m/>
    <s v="16/10/2017"/>
    <m/>
    <n v="1835.94"/>
    <m/>
    <x v="6"/>
    <m/>
    <s v="IMPIEGATO"/>
    <m/>
    <n v="12509.98"/>
    <n v="3312.23"/>
    <n v="900"/>
    <n v="0"/>
    <n v="0"/>
    <n v="1933.86"/>
    <n v="542.12"/>
    <n v="917.97"/>
    <n v="257.33"/>
    <n v="94.58"/>
    <n v="26.51"/>
    <n v="44.45"/>
    <n v="11.31"/>
    <n v="941.45"/>
    <n v="63.4"/>
    <n v="20655.190000000006"/>
    <n v="832.25"/>
    <n v="23.394160408531096"/>
    <n v="0.38990267347551827"/>
    <n v="19469.790000000005"/>
    <n v="0"/>
    <n v="0"/>
    <n v="0"/>
    <n v="0"/>
    <n v="0"/>
    <n v="0"/>
    <n v="923.09"/>
    <n v="258.77"/>
    <n v="0"/>
    <n v="0"/>
    <n v="0"/>
    <n v="0"/>
    <n v="0"/>
    <n v="3.54"/>
    <n v="0"/>
    <n v="0"/>
    <n v="1185.4000000000001"/>
    <s v="DLCMME86R55L781O"/>
  </r>
  <r>
    <s v="TC1"/>
    <s v="0100"/>
    <n v="1190"/>
    <s v="PENAZZI"/>
    <s v="MARCO"/>
    <m/>
    <s v="09/01/2018"/>
    <m/>
    <n v="3238.97"/>
    <m/>
    <x v="4"/>
    <m/>
    <s v="QUADRO"/>
    <m/>
    <n v="24903.97"/>
    <n v="6922.24"/>
    <n v="0"/>
    <n v="0"/>
    <n v="0"/>
    <n v="4372.6099999999997"/>
    <n v="1225.77"/>
    <n v="1619.48"/>
    <n v="453.99"/>
    <n v="0"/>
    <n v="0"/>
    <n v="113.13"/>
    <n v="27.71"/>
    <n v="1582.93"/>
    <n v="111.86"/>
    <n v="41333.689999999995"/>
    <n v="798"/>
    <n v="45.62380952380952"/>
    <n v="0.76039682539682529"/>
    <n v="36407.799999999996"/>
    <n v="0"/>
    <n v="0"/>
    <n v="0"/>
    <n v="0"/>
    <n v="0"/>
    <n v="0"/>
    <n v="3833.5"/>
    <n v="1074.6500000000001"/>
    <n v="0"/>
    <n v="0"/>
    <n v="0"/>
    <n v="0"/>
    <n v="0"/>
    <n v="17.739999999999998"/>
    <n v="0"/>
    <n v="0"/>
    <n v="4925.8899999999994"/>
    <s v="PNZMRC88H29E730X"/>
  </r>
  <r>
    <s v="TC1"/>
    <s v="0100"/>
    <n v="1230"/>
    <s v="BUSETTO"/>
    <s v="MONICA"/>
    <m/>
    <s v="20/03/2018"/>
    <m/>
    <n v="1386.24"/>
    <m/>
    <x v="8"/>
    <m/>
    <s v="OPERAIO"/>
    <m/>
    <n v="7980.44"/>
    <n v="214.69"/>
    <n v="0"/>
    <n v="0"/>
    <n v="0"/>
    <n v="2267.13"/>
    <n v="33.44"/>
    <n v="638.42999999999995"/>
    <n v="9.42"/>
    <n v="0"/>
    <n v="0"/>
    <n v="77.849999999999994"/>
    <n v="27.67"/>
    <n v="660.73"/>
    <n v="47.16"/>
    <n v="11956.96"/>
    <n v="839.25"/>
    <n v="12.185010425975571"/>
    <n v="0.20308350709959286"/>
    <n v="10226.269999999999"/>
    <n v="0"/>
    <n v="0"/>
    <n v="0"/>
    <n v="0"/>
    <n v="0"/>
    <n v="0"/>
    <n v="1688.69"/>
    <n v="24.91"/>
    <n v="0"/>
    <n v="0"/>
    <n v="0"/>
    <n v="0"/>
    <n v="0"/>
    <n v="17.09"/>
    <n v="0"/>
    <n v="0"/>
    <n v="1730.69"/>
    <s v="BSTMNC62H47L736L"/>
  </r>
  <r>
    <s v="TC1"/>
    <s v="0100"/>
    <n v="1270"/>
    <s v="DOBRE"/>
    <s v="ANICA"/>
    <m/>
    <s v="20/04/2018"/>
    <m/>
    <n v="8.8345500000000001"/>
    <m/>
    <x v="0"/>
    <m/>
    <s v="OPERAIO"/>
    <m/>
    <n v="6409.43"/>
    <n v="66"/>
    <n v="0"/>
    <n v="0"/>
    <n v="0"/>
    <n v="1032.49"/>
    <n v="0"/>
    <n v="728.85"/>
    <n v="0"/>
    <n v="39.76"/>
    <n v="0"/>
    <n v="61.03"/>
    <n v="17.149999999999999"/>
    <n v="750.93"/>
    <n v="53.98"/>
    <n v="9159.6200000000008"/>
    <n v="596"/>
    <n v="14.679278523489934"/>
    <n v="0.24465464205816556"/>
    <n v="8748.85"/>
    <n v="0"/>
    <n v="0"/>
    <n v="0"/>
    <n v="0"/>
    <n v="0"/>
    <n v="0"/>
    <n v="428.74"/>
    <n v="0"/>
    <n v="0"/>
    <n v="0"/>
    <n v="-22.09"/>
    <n v="0"/>
    <n v="0"/>
    <n v="4.12"/>
    <n v="0"/>
    <n v="0"/>
    <n v="410.77000000000004"/>
    <s v="DBRNCA63L61Z129G"/>
  </r>
  <r>
    <s v="TC1"/>
    <s v="0100"/>
    <n v="1280"/>
    <s v="BOITAN"/>
    <s v="MIHAELA"/>
    <m/>
    <s v="23/04/2018"/>
    <m/>
    <n v="9.9345499999999998"/>
    <m/>
    <x v="3"/>
    <m/>
    <s v="OPERAIO"/>
    <m/>
    <n v="10293.450000000001"/>
    <n v="66"/>
    <n v="0"/>
    <n v="0"/>
    <n v="0"/>
    <n v="2632.26"/>
    <n v="0"/>
    <n v="819.6"/>
    <n v="0"/>
    <n v="59.61"/>
    <n v="0"/>
    <n v="98.03"/>
    <n v="33.44"/>
    <n v="844.8"/>
    <n v="60.71"/>
    <n v="14907.900000000001"/>
    <n v="880.5"/>
    <n v="14.477910278250995"/>
    <n v="0.24129850463751659"/>
    <n v="12747.8"/>
    <n v="0"/>
    <n v="0"/>
    <n v="0"/>
    <n v="0"/>
    <n v="0"/>
    <n v="0"/>
    <n v="2124.38"/>
    <n v="0"/>
    <n v="0"/>
    <n v="0"/>
    <n v="14.08"/>
    <n v="0"/>
    <n v="0"/>
    <n v="21.64"/>
    <n v="0"/>
    <n v="0"/>
    <n v="2160.1"/>
    <s v="BTNMHL67S54Z129T"/>
  </r>
  <r>
    <s v="TC1"/>
    <s v="0100"/>
    <n v="1290"/>
    <s v="ZULLO"/>
    <s v="STEFANIA"/>
    <m/>
    <s v="23/04/2018"/>
    <m/>
    <n v="8.9331700000000005"/>
    <m/>
    <x v="0"/>
    <m/>
    <s v="OPERAIO"/>
    <m/>
    <n v="9031.65"/>
    <n v="66"/>
    <n v="0"/>
    <n v="0"/>
    <n v="0"/>
    <n v="1909.11"/>
    <n v="0"/>
    <n v="736.99"/>
    <n v="0"/>
    <n v="26.8"/>
    <n v="0"/>
    <n v="86.03"/>
    <n v="25.46"/>
    <n v="814.35"/>
    <n v="54.59"/>
    <n v="12750.98"/>
    <n v="820.5"/>
    <n v="13.763644119439366"/>
    <n v="0.22939406865732276"/>
    <n v="11293.07"/>
    <n v="0"/>
    <n v="0"/>
    <n v="0"/>
    <n v="0"/>
    <n v="0"/>
    <n v="0"/>
    <n v="1443.3"/>
    <n v="0"/>
    <n v="0"/>
    <n v="0"/>
    <n v="0"/>
    <n v="0"/>
    <n v="0"/>
    <n v="14.61"/>
    <n v="0"/>
    <n v="0"/>
    <n v="1457.91"/>
    <s v="ZLLSFN68S58L781V"/>
  </r>
  <r>
    <s v="TC1"/>
    <s v="0100"/>
    <n v="1300"/>
    <s v="CAMPARA"/>
    <s v="ELISABETTA"/>
    <m/>
    <s v="23/04/2018"/>
    <m/>
    <n v="9.5210799999999995"/>
    <m/>
    <x v="0"/>
    <m/>
    <s v="OPERAIO"/>
    <m/>
    <n v="7855.12"/>
    <n v="66"/>
    <n v="480"/>
    <n v="0"/>
    <n v="0"/>
    <n v="1096.92"/>
    <n v="0"/>
    <n v="620.14"/>
    <n v="0"/>
    <n v="90.45"/>
    <n v="0"/>
    <n v="70.87"/>
    <n v="17.21"/>
    <n v="656.45"/>
    <n v="45.93"/>
    <n v="10519.090000000002"/>
    <n v="543"/>
    <n v="17.710460405156542"/>
    <n v="0.2951743400859424"/>
    <n v="9616.7800000000025"/>
    <n v="0"/>
    <n v="0"/>
    <n v="0"/>
    <n v="0"/>
    <n v="0"/>
    <n v="0"/>
    <n v="886.13"/>
    <n v="0"/>
    <n v="0"/>
    <n v="0"/>
    <n v="7.14"/>
    <n v="0"/>
    <n v="0"/>
    <n v="9.0399999999999991"/>
    <n v="0"/>
    <n v="0"/>
    <n v="902.31"/>
    <s v="CMPLBT66P65I775I"/>
  </r>
  <r>
    <s v="TC1"/>
    <s v="0100"/>
    <n v="1330"/>
    <s v="TAMIMOUNT"/>
    <s v="MOHAMED LAMINE"/>
    <m/>
    <s v="27/04/2018"/>
    <m/>
    <n v="1461.24"/>
    <m/>
    <x v="4"/>
    <m/>
    <s v="IMPIEGATO"/>
    <m/>
    <n v="6551.7"/>
    <n v="66"/>
    <n v="0"/>
    <n v="0"/>
    <n v="0"/>
    <n v="736.55"/>
    <n v="0"/>
    <n v="576.82000000000005"/>
    <n v="0"/>
    <n v="50.92"/>
    <n v="0"/>
    <n v="26.05"/>
    <n v="5.23"/>
    <n v="635.28"/>
    <n v="42.72"/>
    <n v="8691.2699999999986"/>
    <n v="557.5"/>
    <n v="14.870708520179369"/>
    <n v="0.24784514200298949"/>
    <n v="8290.4199999999983"/>
    <n v="0"/>
    <n v="0"/>
    <n v="0"/>
    <n v="0"/>
    <n v="0"/>
    <n v="0"/>
    <n v="399.32"/>
    <n v="0"/>
    <n v="0"/>
    <n v="0"/>
    <n v="0"/>
    <n v="0"/>
    <n v="0"/>
    <n v="1.53"/>
    <n v="0"/>
    <n v="0"/>
    <n v="400.85"/>
    <s v="TMMMMD89H11Z301Z"/>
  </r>
  <r>
    <s v="TC1"/>
    <s v="0100"/>
    <n v="1360"/>
    <s v="LIZZARI"/>
    <s v="MARISA"/>
    <m/>
    <s v="02/05/2018"/>
    <m/>
    <n v="9.3845500000000008"/>
    <m/>
    <x v="3"/>
    <m/>
    <s v="OPERAIO"/>
    <m/>
    <n v="5187.66"/>
    <n v="66"/>
    <n v="0"/>
    <n v="0"/>
    <n v="0"/>
    <n v="1015.13"/>
    <n v="0"/>
    <n v="427.84"/>
    <n v="0"/>
    <n v="18.77"/>
    <n v="0"/>
    <n v="47.16"/>
    <n v="13.92"/>
    <n v="471.94"/>
    <n v="31.69"/>
    <n v="7280.11"/>
    <n v="421.75"/>
    <n v="14.394570243034973"/>
    <n v="0.23990950405058289"/>
    <n v="6070.91"/>
    <n v="0"/>
    <n v="0"/>
    <n v="0"/>
    <n v="0"/>
    <n v="0"/>
    <n v="0"/>
    <n v="1197.0899999999999"/>
    <n v="0"/>
    <n v="0"/>
    <n v="0"/>
    <n v="0"/>
    <n v="0"/>
    <n v="0"/>
    <n v="12.11"/>
    <n v="0"/>
    <n v="0"/>
    <n v="1209.1999999999998"/>
    <s v="LZZMRS62H59L781E"/>
  </r>
  <r>
    <s v="TC1"/>
    <s v="0100"/>
    <n v="1370"/>
    <s v="PUNGA"/>
    <s v="FILOFTEIA NICOLETA"/>
    <m/>
    <s v="02/05/2018"/>
    <m/>
    <n v="8.8345500000000001"/>
    <m/>
    <x v="0"/>
    <m/>
    <s v="OPERAIO"/>
    <m/>
    <n v="8545.69"/>
    <n v="66"/>
    <n v="0"/>
    <n v="0"/>
    <n v="0"/>
    <n v="1594.28"/>
    <n v="0"/>
    <n v="728.85"/>
    <n v="0"/>
    <n v="39.76"/>
    <n v="0"/>
    <n v="81.39"/>
    <n v="22.5"/>
    <n v="806.08"/>
    <n v="53.98"/>
    <n v="11938.53"/>
    <n v="836.25"/>
    <n v="12.970403587443947"/>
    <n v="0.21617339312406578"/>
    <n v="10846.5"/>
    <n v="0"/>
    <n v="0"/>
    <n v="0"/>
    <n v="0"/>
    <n v="0"/>
    <n v="0"/>
    <n v="1078.8800000000001"/>
    <n v="0"/>
    <n v="0"/>
    <n v="0"/>
    <n v="2.21"/>
    <n v="0"/>
    <n v="0"/>
    <n v="10.94"/>
    <n v="0"/>
    <n v="0"/>
    <n v="1092.0300000000002"/>
    <s v="PNGFFT72B60Z129M"/>
  </r>
  <r>
    <s v="TC1"/>
    <s v="0100"/>
    <n v="1380"/>
    <s v="IONEL"/>
    <s v="RAMONA MARIA"/>
    <m/>
    <s v="02/05/2018"/>
    <m/>
    <n v="8.8345500000000001"/>
    <m/>
    <x v="0"/>
    <m/>
    <s v="OPERAIO"/>
    <m/>
    <n v="6285.29"/>
    <n v="66"/>
    <n v="0"/>
    <n v="0"/>
    <n v="0"/>
    <n v="1912.33"/>
    <n v="0"/>
    <n v="604.17999999999995"/>
    <n v="0"/>
    <n v="0"/>
    <n v="0"/>
    <n v="62.48"/>
    <n v="23.97"/>
    <n v="686.91000000000008"/>
    <n v="44.75"/>
    <n v="9685.909999999998"/>
    <n v="481.5"/>
    <n v="16.021661474558666"/>
    <n v="0.26702769124264442"/>
    <n v="7714.4299999999985"/>
    <n v="0"/>
    <n v="0"/>
    <n v="0"/>
    <n v="0"/>
    <n v="0"/>
    <n v="0"/>
    <n v="1925.23"/>
    <n v="0"/>
    <n v="0"/>
    <n v="0"/>
    <n v="26.5"/>
    <n v="0"/>
    <n v="0"/>
    <n v="19.75"/>
    <n v="0"/>
    <n v="0"/>
    <n v="1971.48"/>
    <s v="NLIRNM87B63Z129E"/>
  </r>
  <r>
    <s v="TC1"/>
    <s v="0100"/>
    <n v="1430"/>
    <s v="PINALI"/>
    <s v="ENRICO"/>
    <m/>
    <s v="07/05/2018"/>
    <m/>
    <n v="2719.92"/>
    <m/>
    <x v="9"/>
    <m/>
    <s v="QUADRO"/>
    <m/>
    <n v="16909.89"/>
    <n v="4593.83"/>
    <n v="0"/>
    <n v="1174.76"/>
    <n v="0"/>
    <n v="2814.05"/>
    <n v="754.17"/>
    <n v="1359.96"/>
    <n v="364.47"/>
    <n v="0"/>
    <n v="0"/>
    <n v="160.93"/>
    <n v="39.75"/>
    <n v="8.23"/>
    <n v="93.93"/>
    <n v="28273.969999999998"/>
    <n v="831"/>
    <n v="29.76789410348977"/>
    <n v="0.49613156839149614"/>
    <n v="24737.119999999999"/>
    <n v="0"/>
    <n v="0"/>
    <n v="0"/>
    <n v="0"/>
    <n v="0"/>
    <n v="0"/>
    <n v="2767.23"/>
    <n v="741.62"/>
    <n v="0"/>
    <n v="0"/>
    <n v="0"/>
    <n v="0"/>
    <n v="0"/>
    <n v="28"/>
    <n v="0"/>
    <n v="0"/>
    <n v="3536.85"/>
    <s v="PNLNRC80P22B296Y"/>
  </r>
  <r>
    <s v="TC1"/>
    <s v="0100"/>
    <n v="1480"/>
    <s v="ANDREOLI"/>
    <s v="MARCO"/>
    <m/>
    <s v="04/06/2018"/>
    <s v="30/06/2025"/>
    <n v="4619.92"/>
    <m/>
    <x v="7"/>
    <m/>
    <s v="IMPIEGATO"/>
    <m/>
    <n v="53486.62"/>
    <n v="1988.27"/>
    <n v="0"/>
    <n v="0"/>
    <n v="0"/>
    <n v="0"/>
    <n v="0"/>
    <n v="0"/>
    <n v="0"/>
    <n v="0"/>
    <n v="0"/>
    <n v="205.32"/>
    <n v="0"/>
    <n v="2504.7800000000002"/>
    <n v="0"/>
    <n v="58184.99"/>
    <n v="904"/>
    <n v="54.733550884955747"/>
    <n v="0.91222584808259577"/>
    <n v="49479.13"/>
    <n v="0"/>
    <n v="0"/>
    <n v="0"/>
    <n v="0"/>
    <n v="0"/>
    <n v="0"/>
    <n v="8672.57"/>
    <n v="0"/>
    <n v="0"/>
    <n v="0"/>
    <n v="0"/>
    <n v="0"/>
    <n v="0"/>
    <n v="33.29"/>
    <n v="0"/>
    <n v="0"/>
    <n v="8705.86"/>
    <s v="NDRMRC88T02L781F"/>
  </r>
  <r>
    <s v="TC1"/>
    <s v="0100"/>
    <n v="1490"/>
    <s v="MENEGHELLO"/>
    <s v="SARA"/>
    <m/>
    <s v="18/06/2018"/>
    <m/>
    <n v="8.4014399999999991"/>
    <m/>
    <x v="3"/>
    <m/>
    <s v="OPERAIO"/>
    <m/>
    <n v="6776.34"/>
    <n v="66"/>
    <n v="0"/>
    <n v="0"/>
    <n v="0"/>
    <n v="1343.31"/>
    <n v="0"/>
    <n v="547.22"/>
    <n v="0"/>
    <n v="44.11"/>
    <n v="0"/>
    <n v="67.23"/>
    <n v="18.420000000000002"/>
    <n v="599.62"/>
    <n v="40.53"/>
    <n v="9502.7800000000007"/>
    <n v="680.25"/>
    <n v="12.232326350606396"/>
    <n v="0.20387210584343993"/>
    <n v="8321.0400000000009"/>
    <n v="0"/>
    <n v="0"/>
    <n v="0"/>
    <n v="0"/>
    <n v="0"/>
    <n v="0"/>
    <n v="1167.8"/>
    <n v="0"/>
    <n v="0"/>
    <n v="0"/>
    <n v="2.1"/>
    <n v="0"/>
    <n v="0"/>
    <n v="11.84"/>
    <n v="0"/>
    <n v="0"/>
    <n v="1181.7399999999998"/>
    <s v="MNGSRA87C52L781T"/>
  </r>
  <r>
    <s v="TC1"/>
    <s v="0100"/>
    <n v="1560"/>
    <s v="RASHA"/>
    <s v="LEONORE"/>
    <m/>
    <s v="03/09/2018"/>
    <m/>
    <n v="8.8345500000000001"/>
    <m/>
    <x v="0"/>
    <m/>
    <s v="OPERAIO"/>
    <m/>
    <n v="6324.18"/>
    <n v="1961.41"/>
    <n v="0"/>
    <n v="0"/>
    <n v="0"/>
    <n v="1053.79"/>
    <n v="310.87"/>
    <n v="511.48"/>
    <n v="150.88999999999999"/>
    <n v="4.42"/>
    <n v="1.3"/>
    <n v="59.85"/>
    <n v="14.95"/>
    <n v="489.39"/>
    <n v="35.32"/>
    <n v="10917.85"/>
    <n v="563.25"/>
    <n v="17.366888592987127"/>
    <n v="0.28944814321645213"/>
    <n v="9781.9"/>
    <n v="0"/>
    <n v="0"/>
    <n v="0"/>
    <n v="0"/>
    <n v="0"/>
    <n v="0"/>
    <n v="850.5"/>
    <n v="250.9"/>
    <n v="0"/>
    <n v="0"/>
    <n v="19.88"/>
    <n v="5.86"/>
    <n v="0"/>
    <n v="8.81"/>
    <n v="0"/>
    <n v="0"/>
    <n v="1135.95"/>
    <s v="RSHLNR74D50Z100V"/>
  </r>
  <r>
    <s v="TC1"/>
    <s v="0100"/>
    <n v="1600"/>
    <s v="NATALE"/>
    <s v="GIOVANNA"/>
    <m/>
    <s v="06/09/2018"/>
    <m/>
    <n v="9.3845500000000008"/>
    <m/>
    <x v="0"/>
    <m/>
    <s v="OPERAIO"/>
    <m/>
    <n v="9321.7099999999991"/>
    <n v="66"/>
    <n v="0"/>
    <n v="0"/>
    <n v="0"/>
    <n v="914.62"/>
    <n v="0"/>
    <n v="774.23"/>
    <n v="0"/>
    <n v="35.19"/>
    <n v="0"/>
    <n v="88.79"/>
    <n v="16.420000000000002"/>
    <n v="766.46"/>
    <n v="57.35"/>
    <n v="12040.770000000002"/>
    <n v="715.75"/>
    <n v="15.910471533356622"/>
    <n v="0.26517452555594373"/>
    <n v="11387.920000000002"/>
    <n v="0"/>
    <n v="0"/>
    <n v="0"/>
    <n v="0"/>
    <n v="0"/>
    <n v="0"/>
    <n v="634.58000000000004"/>
    <n v="0"/>
    <n v="0"/>
    <n v="0"/>
    <n v="11.73"/>
    <n v="0"/>
    <n v="0"/>
    <n v="6.54"/>
    <n v="0"/>
    <n v="0"/>
    <n v="652.85"/>
    <s v="NTLGNN71S62B872Z"/>
  </r>
  <r>
    <s v="TC1"/>
    <s v="0100"/>
    <n v="1650"/>
    <s v="SINATRA"/>
    <s v="FLORA"/>
    <m/>
    <s v="24/09/2018"/>
    <m/>
    <n v="9.8745499999999993"/>
    <m/>
    <x v="0"/>
    <m/>
    <s v="OPERAIO"/>
    <m/>
    <n v="10134.76"/>
    <n v="3006.9"/>
    <n v="0"/>
    <n v="696.69"/>
    <n v="0"/>
    <n v="3487.79"/>
    <n v="1012.16"/>
    <n v="814.65"/>
    <n v="236.41"/>
    <n v="66.650000000000006"/>
    <n v="19.34"/>
    <n v="96.52"/>
    <n v="41.61"/>
    <n v="37.79"/>
    <n v="56.26"/>
    <n v="19707.530000000002"/>
    <n v="865.5"/>
    <n v="17.976476025418837"/>
    <n v="0.29960793375698064"/>
    <n v="15558.640000000003"/>
    <n v="0"/>
    <n v="0"/>
    <n v="0"/>
    <n v="0"/>
    <n v="0"/>
    <n v="0"/>
    <n v="3183.26"/>
    <n v="923.78"/>
    <n v="0"/>
    <n v="0"/>
    <n v="7.41"/>
    <n v="2.15"/>
    <n v="0"/>
    <n v="32.29"/>
    <n v="0"/>
    <n v="0"/>
    <n v="4148.8899999999994"/>
    <s v="SNTFLR64S56Z133V"/>
  </r>
  <r>
    <s v="TC1"/>
    <s v="0100"/>
    <n v="1680"/>
    <s v="OALA"/>
    <s v="MARICELA"/>
    <m/>
    <s v="26/09/2018"/>
    <m/>
    <n v="9.9345499999999998"/>
    <m/>
    <x v="3"/>
    <m/>
    <s v="OPERAIO"/>
    <m/>
    <n v="10072.17"/>
    <n v="3037.55"/>
    <n v="0"/>
    <n v="0"/>
    <n v="0"/>
    <n v="1956.71"/>
    <n v="577.23"/>
    <n v="819.6"/>
    <n v="241.78"/>
    <n v="52.16"/>
    <n v="15.39"/>
    <n v="95.93"/>
    <n v="26.94"/>
    <n v="746.53"/>
    <n v="56.61"/>
    <n v="17698.599999999995"/>
    <n v="819"/>
    <n v="19.200500610500605"/>
    <n v="0.3200083435083434"/>
    <n v="15725.209999999995"/>
    <n v="0"/>
    <n v="0"/>
    <n v="0"/>
    <n v="0"/>
    <n v="0"/>
    <n v="0"/>
    <n v="1512.04"/>
    <n v="446.05"/>
    <n v="0"/>
    <n v="0"/>
    <n v="0"/>
    <n v="0"/>
    <n v="0"/>
    <n v="15.3"/>
    <n v="0"/>
    <n v="0"/>
    <n v="1973.39"/>
    <s v="LOAMCL90P69Z129Q"/>
  </r>
  <r>
    <s v="TC1"/>
    <s v="0100"/>
    <n v="1770"/>
    <s v="FALCHETTO"/>
    <s v="JEAN LUCA"/>
    <m/>
    <s v="22/10/2018"/>
    <s v="01/06/2025"/>
    <n v="1386.24"/>
    <m/>
    <x v="8"/>
    <m/>
    <s v="OPERAIO"/>
    <m/>
    <n v="5671.84"/>
    <n v="171.98"/>
    <n v="0"/>
    <n v="0"/>
    <n v="0"/>
    <n v="0"/>
    <n v="0"/>
    <n v="0"/>
    <n v="0"/>
    <n v="0"/>
    <n v="0"/>
    <n v="59.15"/>
    <n v="0"/>
    <n v="467.13"/>
    <n v="0"/>
    <n v="6370.1"/>
    <n v="478.75"/>
    <n v="13.675133159268928"/>
    <n v="0.22791888598781546"/>
    <n v="6546.9699999999993"/>
    <n v="0"/>
    <n v="0"/>
    <n v="0"/>
    <n v="0"/>
    <n v="0"/>
    <n v="0"/>
    <n v="-172.57"/>
    <n v="-2.5499999999999998"/>
    <n v="0"/>
    <n v="0"/>
    <n v="0"/>
    <n v="0"/>
    <n v="0"/>
    <n v="-1.75"/>
    <n v="0"/>
    <n v="0"/>
    <n v="-176.87"/>
    <s v="FLCJLC63L12Z133D"/>
  </r>
  <r>
    <s v="TC1"/>
    <s v="0100"/>
    <n v="1790"/>
    <s v="OLARIU"/>
    <s v="MIHAELA"/>
    <m/>
    <s v="22/11/2018"/>
    <m/>
    <n v="10.871090000000001"/>
    <m/>
    <x v="0"/>
    <m/>
    <s v="OPERAIO"/>
    <m/>
    <n v="11257.56"/>
    <n v="3386.51"/>
    <n v="0"/>
    <n v="0"/>
    <n v="0"/>
    <n v="2222.6999999999998"/>
    <n v="655.7"/>
    <n v="896.86"/>
    <n v="264.57"/>
    <n v="16.309999999999999"/>
    <n v="4.8099999999999996"/>
    <n v="107.22"/>
    <n v="29.87"/>
    <n v="830.32"/>
    <n v="61.94"/>
    <n v="19734.370000000003"/>
    <n v="872"/>
    <n v="20.261811926605507"/>
    <n v="0.33769686544342509"/>
    <n v="17668.300000000003"/>
    <n v="0"/>
    <n v="0"/>
    <n v="0"/>
    <n v="0"/>
    <n v="0"/>
    <n v="0"/>
    <n v="1561.31"/>
    <n v="460.59"/>
    <n v="0"/>
    <n v="0"/>
    <n v="21.74"/>
    <n v="6.41"/>
    <n v="0"/>
    <n v="16.02"/>
    <n v="0"/>
    <n v="0"/>
    <n v="2066.0699999999997"/>
    <s v="LROMHL80T62Z129I"/>
  </r>
  <r>
    <s v="TC1"/>
    <s v="0100"/>
    <n v="1820"/>
    <s v="TESINI"/>
    <s v="MARINA"/>
    <m/>
    <s v="24/10/2018"/>
    <m/>
    <n v="9.3845500000000008"/>
    <m/>
    <x v="0"/>
    <m/>
    <s v="OPERAIO"/>
    <m/>
    <n v="9328.89"/>
    <n v="2836.92"/>
    <n v="0"/>
    <n v="0"/>
    <n v="0"/>
    <n v="1862.46"/>
    <n v="549.42999999999995"/>
    <n v="774.23"/>
    <n v="228.4"/>
    <n v="39.880000000000003"/>
    <n v="11.76"/>
    <n v="89.46"/>
    <n v="25.49"/>
    <n v="736.78"/>
    <n v="53.47"/>
    <n v="16537.169999999998"/>
    <n v="772"/>
    <n v="18.706360103626938"/>
    <n v="0.31177266839378232"/>
    <n v="14441.309999999998"/>
    <n v="0"/>
    <n v="0"/>
    <n v="0"/>
    <n v="0"/>
    <n v="0"/>
    <n v="0"/>
    <n v="1605.88"/>
    <n v="473.73"/>
    <n v="0"/>
    <n v="0"/>
    <n v="0"/>
    <n v="0"/>
    <n v="0"/>
    <n v="16.25"/>
    <n v="0"/>
    <n v="0"/>
    <n v="2095.86"/>
    <s v="TSNMRN63P70L781U"/>
  </r>
  <r>
    <s v="TC1"/>
    <s v="0100"/>
    <n v="1850"/>
    <s v="BARBAGALLO"/>
    <s v="VALENTINA"/>
    <m/>
    <s v="14/01/2019"/>
    <m/>
    <n v="3253.97"/>
    <m/>
    <x v="10"/>
    <m/>
    <s v="QUADRO"/>
    <m/>
    <n v="22104.73"/>
    <n v="5701.74"/>
    <n v="800"/>
    <n v="0"/>
    <n v="0"/>
    <n v="5708.45"/>
    <n v="1600.25"/>
    <n v="1626.98"/>
    <n v="456.09"/>
    <n v="0"/>
    <n v="0"/>
    <n v="77.150000000000006"/>
    <n v="28.15"/>
    <n v="1571.53"/>
    <n v="112.37"/>
    <n v="38987.440000000002"/>
    <n v="795.5"/>
    <n v="41.498001257071031"/>
    <n v="0.69163335428451722"/>
    <n v="33011.660000000003"/>
    <n v="0"/>
    <n v="0"/>
    <n v="0"/>
    <n v="0"/>
    <n v="0"/>
    <n v="0"/>
    <n v="4510.99"/>
    <n v="1264.57"/>
    <n v="0"/>
    <n v="0"/>
    <n v="142.43"/>
    <n v="39.93"/>
    <n v="0"/>
    <n v="17.86"/>
    <n v="0"/>
    <n v="0"/>
    <n v="5975.78"/>
    <s v="BRBVNT82M60L781D"/>
  </r>
  <r>
    <s v="TC1"/>
    <s v="0100"/>
    <n v="1860"/>
    <s v="FRACASSO"/>
    <s v="BARBARA"/>
    <m/>
    <s v="12/01/2019"/>
    <m/>
    <n v="9.3845500000000008"/>
    <m/>
    <x v="0"/>
    <m/>
    <s v="OPERAIO"/>
    <m/>
    <n v="7271.95"/>
    <n v="1309.3600000000001"/>
    <n v="0"/>
    <n v="690.67"/>
    <n v="0"/>
    <n v="3408.56"/>
    <n v="0"/>
    <n v="774.23"/>
    <n v="0"/>
    <n v="0"/>
    <n v="0"/>
    <n v="69.28"/>
    <n v="39.83"/>
    <n v="8.34"/>
    <n v="57.35"/>
    <n v="13629.57"/>
    <n v="460.5"/>
    <n v="20.624147665580889"/>
    <n v="0.34373579442634816"/>
    <n v="9497.42"/>
    <n v="0"/>
    <n v="0"/>
    <n v="0"/>
    <n v="0"/>
    <n v="0"/>
    <n v="0"/>
    <n v="3194.22"/>
    <n v="926.96"/>
    <n v="0"/>
    <n v="0"/>
    <n v="-16.420000000000002"/>
    <n v="-4.7699999999999996"/>
    <n v="0"/>
    <n v="32.159999999999997"/>
    <n v="0"/>
    <n v="0"/>
    <n v="4132.1499999999996"/>
    <s v="FRCBBR69P55M172S"/>
  </r>
  <r>
    <s v="TC1"/>
    <s v="0100"/>
    <n v="2080"/>
    <s v="EVANS"/>
    <s v="QUEEN"/>
    <m/>
    <s v="11/04/2019"/>
    <m/>
    <n v="9.2859499999999997"/>
    <m/>
    <x v="0"/>
    <m/>
    <s v="OPERAIO"/>
    <m/>
    <n v="9426.09"/>
    <n v="2871.16"/>
    <n v="0"/>
    <n v="0"/>
    <n v="0"/>
    <n v="-187.58"/>
    <n v="-55.34"/>
    <n v="766.09"/>
    <n v="226"/>
    <n v="13.93"/>
    <n v="4.1100000000000003"/>
    <n v="90.57"/>
    <n v="5.65"/>
    <n v="694.57"/>
    <n v="52.9"/>
    <n v="13908.15"/>
    <n v="577.75"/>
    <n v="20.200882734746862"/>
    <n v="0.3366813789124477"/>
    <n v="11671.06"/>
    <n v="0"/>
    <n v="0"/>
    <n v="0"/>
    <n v="0"/>
    <n v="0"/>
    <n v="0"/>
    <n v="1655.11"/>
    <n v="488.26"/>
    <n v="0"/>
    <n v="0"/>
    <n v="58.97"/>
    <n v="17.399999999999999"/>
    <n v="0"/>
    <n v="17.350000000000001"/>
    <n v="0"/>
    <n v="0"/>
    <n v="2237.0899999999997"/>
    <s v="VNSQNU91C42Z335T"/>
  </r>
  <r>
    <s v="TC1"/>
    <s v="0100"/>
    <n v="2280"/>
    <s v="AKPOYIBO"/>
    <s v="BRIDGET"/>
    <m/>
    <s v="19/07/2019"/>
    <m/>
    <n v="8.3200500000000002"/>
    <m/>
    <x v="3"/>
    <m/>
    <s v="OPERAIO"/>
    <m/>
    <n v="194.15"/>
    <n v="123.22999999999999"/>
    <n v="0"/>
    <n v="0"/>
    <n v="0"/>
    <n v="1494.7"/>
    <n v="440.94"/>
    <n v="498.57"/>
    <n v="147.08000000000001"/>
    <n v="64.48"/>
    <n v="19.02"/>
    <n v="1.85"/>
    <n v="19.59"/>
    <n v="727.74"/>
    <n v="34.43"/>
    <n v="3765.78"/>
    <n v="0"/>
    <n v="0"/>
    <n v="0"/>
    <n v="2808.15"/>
    <n v="0"/>
    <n v="0"/>
    <n v="0"/>
    <n v="0"/>
    <n v="0"/>
    <n v="0"/>
    <n v="669.89"/>
    <n v="197.62"/>
    <n v="0"/>
    <n v="0"/>
    <n v="63.85"/>
    <n v="18.84"/>
    <n v="0"/>
    <n v="7.43"/>
    <n v="0"/>
    <n v="0"/>
    <n v="957.63"/>
    <s v="KPYBDG92T60Z335R"/>
  </r>
  <r>
    <s v="TC1"/>
    <s v="0100"/>
    <n v="2440"/>
    <s v="USMAN"/>
    <s v="AMINA"/>
    <m/>
    <s v="23/09/2019"/>
    <m/>
    <n v="8.7359500000000008"/>
    <m/>
    <x v="0"/>
    <m/>
    <s v="OPERAIO"/>
    <m/>
    <n v="8352.4599999999991"/>
    <n v="2612.44"/>
    <n v="0"/>
    <n v="0"/>
    <n v="0"/>
    <n v="944.27"/>
    <n v="278.56"/>
    <n v="720.72"/>
    <n v="212.61"/>
    <n v="26.21"/>
    <n v="7.73"/>
    <n v="82.22"/>
    <n v="16.11"/>
    <n v="706.43"/>
    <n v="49.77"/>
    <n v="14009.53"/>
    <n v="722.75"/>
    <n v="18.237274299550325"/>
    <n v="0.30395457165917211"/>
    <n v="13180.989999999998"/>
    <n v="0"/>
    <n v="0"/>
    <n v="0"/>
    <n v="0"/>
    <n v="0"/>
    <n v="0"/>
    <n v="634.84"/>
    <n v="187.28"/>
    <n v="0"/>
    <n v="0"/>
    <n v="0"/>
    <n v="0"/>
    <n v="0"/>
    <n v="6.42"/>
    <n v="0"/>
    <n v="0"/>
    <n v="828.54"/>
    <s v="SMNMNA95P60Z335E"/>
  </r>
  <r>
    <s v="TC1"/>
    <s v="0100"/>
    <n v="2660"/>
    <s v="TOSCO"/>
    <s v="ALFRIANA FRANCHESCA"/>
    <m/>
    <s v="30/12/2019"/>
    <m/>
    <n v="1707.39"/>
    <m/>
    <x v="4"/>
    <m/>
    <s v="IMPIEGATO"/>
    <m/>
    <n v="12027.35"/>
    <n v="3781.77"/>
    <n v="0"/>
    <n v="0"/>
    <n v="0"/>
    <n v="1158.54"/>
    <n v="324.77"/>
    <n v="853.7"/>
    <n v="239.32"/>
    <n v="33.630000000000003"/>
    <n v="9.43"/>
    <n v="92.9"/>
    <n v="14.34"/>
    <n v="795.9799999999999"/>
    <n v="58.96"/>
    <n v="19390.690000000002"/>
    <n v="915.5"/>
    <n v="20.342031676679412"/>
    <n v="0.33903386127799018"/>
    <n v="18623.13"/>
    <n v="0"/>
    <n v="0"/>
    <n v="0"/>
    <n v="0"/>
    <n v="0"/>
    <n v="0"/>
    <n v="591.07000000000005"/>
    <n v="165.69"/>
    <n v="0"/>
    <n v="0"/>
    <n v="5.17"/>
    <n v="1.45"/>
    <n v="0"/>
    <n v="4.18"/>
    <n v="0"/>
    <n v="0"/>
    <n v="767.56"/>
    <s v="TSCLRN91H50Z614I"/>
  </r>
  <r>
    <s v="TC1"/>
    <s v="0100"/>
    <n v="2710"/>
    <s v="DOBRE"/>
    <s v="GINA RAMONA"/>
    <m/>
    <s v="30/12/2019"/>
    <m/>
    <n v="1372.81"/>
    <m/>
    <x v="10"/>
    <m/>
    <s v="IMPIEGATO"/>
    <m/>
    <n v="4394.29"/>
    <n v="66"/>
    <n v="0"/>
    <n v="418.13"/>
    <n v="0"/>
    <n v="771.19"/>
    <n v="0"/>
    <n v="451.59"/>
    <n v="0"/>
    <n v="4.16"/>
    <n v="0"/>
    <n v="16.239999999999998"/>
    <n v="4.71"/>
    <n v="0"/>
    <n v="33.450000000000003"/>
    <n v="6159.76"/>
    <n v="391.25"/>
    <n v="14.917648562300322"/>
    <n v="0.24862747603833871"/>
    <n v="5836.5300000000007"/>
    <n v="0"/>
    <n v="0"/>
    <n v="0"/>
    <n v="0"/>
    <n v="0"/>
    <n v="0"/>
    <n v="319.91000000000003"/>
    <n v="0"/>
    <n v="0"/>
    <n v="0"/>
    <n v="2.08"/>
    <n v="0"/>
    <n v="0"/>
    <n v="1.24"/>
    <n v="0"/>
    <n v="0"/>
    <n v="323.23"/>
    <s v="DBRGRM87P67Z129M"/>
  </r>
  <r>
    <s v="TC1"/>
    <s v="0100"/>
    <n v="2730"/>
    <s v="CUSTURA'"/>
    <s v="ELENA LAURA"/>
    <m/>
    <s v="30/12/2019"/>
    <m/>
    <n v="8.3200500000000002"/>
    <m/>
    <x v="0"/>
    <m/>
    <s v="OPERAIO"/>
    <m/>
    <n v="6817.03"/>
    <n v="66"/>
    <n v="0"/>
    <n v="0"/>
    <n v="0"/>
    <n v="1321.31"/>
    <n v="0"/>
    <n v="686.4"/>
    <n v="0"/>
    <n v="14.56"/>
    <n v="0"/>
    <n v="64.900000000000006"/>
    <n v="19.260000000000002"/>
    <n v="729.62"/>
    <n v="50.84"/>
    <n v="9769.92"/>
    <n v="638.75"/>
    <n v="13.088626223091977"/>
    <n v="0.21814377038486626"/>
    <n v="8360.36"/>
    <n v="0"/>
    <n v="0"/>
    <n v="0"/>
    <n v="0"/>
    <n v="0"/>
    <n v="0"/>
    <n v="1395.44"/>
    <n v="0"/>
    <n v="0"/>
    <n v="0"/>
    <n v="0"/>
    <n v="0"/>
    <n v="0"/>
    <n v="14.12"/>
    <n v="0"/>
    <n v="0"/>
    <n v="1409.56"/>
    <s v="CSTLLR72L48Z129H"/>
  </r>
  <r>
    <s v="TC1"/>
    <s v="0100"/>
    <n v="2960"/>
    <s v="GATTO"/>
    <s v="STEFANO"/>
    <m/>
    <s v="22/06/2020"/>
    <m/>
    <n v="11.135949999999999"/>
    <m/>
    <x v="9"/>
    <m/>
    <s v="OPERAIO"/>
    <m/>
    <n v="8838.26"/>
    <n v="2827.23"/>
    <n v="0"/>
    <n v="0"/>
    <n v="0"/>
    <n v="3107.93"/>
    <n v="916.84"/>
    <n v="918.72"/>
    <n v="271.02"/>
    <n v="13.92"/>
    <n v="4.1100000000000003"/>
    <n v="89.14"/>
    <n v="38.479999999999997"/>
    <n v="909.71"/>
    <n v="63.45"/>
    <n v="17998.809999999998"/>
    <n v="639.5"/>
    <n v="22.446395621579356"/>
    <n v="0.37410659369298926"/>
    <n v="14354.469999999998"/>
    <n v="0"/>
    <n v="0"/>
    <n v="0"/>
    <n v="0"/>
    <n v="0"/>
    <n v="0"/>
    <n v="2781.2"/>
    <n v="820.45"/>
    <n v="0"/>
    <n v="0"/>
    <n v="11.14"/>
    <n v="3.29"/>
    <n v="0"/>
    <n v="28.26"/>
    <n v="0"/>
    <n v="0"/>
    <n v="3644.3399999999997"/>
    <s v="GTTSFN89L07M172J"/>
  </r>
  <r>
    <s v="TC1"/>
    <s v="0100"/>
    <n v="3120"/>
    <s v="PASQUALI"/>
    <s v="GIULIA"/>
    <m/>
    <s v="05/10/2020"/>
    <m/>
    <n v="1706.65"/>
    <m/>
    <x v="11"/>
    <m/>
    <s v="IMPIEGATO"/>
    <m/>
    <n v="12108.56"/>
    <n v="3248.99"/>
    <n v="0"/>
    <n v="0"/>
    <n v="0"/>
    <n v="2598.7600000000002"/>
    <n v="708.94"/>
    <n v="853.32"/>
    <n v="232.79"/>
    <n v="49.13"/>
    <n v="13.4"/>
    <n v="111.14"/>
    <n v="33.35"/>
    <n v="816.07"/>
    <n v="58.93"/>
    <n v="20833.379999999997"/>
    <n v="832.25"/>
    <n v="21.751444878341843"/>
    <n v="0.36252408130569741"/>
    <n v="18102.64"/>
    <n v="0"/>
    <n v="0"/>
    <n v="0"/>
    <n v="0"/>
    <n v="0"/>
    <n v="0"/>
    <n v="2094.04"/>
    <n v="571.25"/>
    <n v="0"/>
    <n v="0"/>
    <n v="34.5"/>
    <n v="9.41"/>
    <n v="0"/>
    <n v="21.54"/>
    <n v="0"/>
    <n v="0"/>
    <n v="2730.74"/>
    <s v="PSQGLI98S67F861J"/>
  </r>
  <r>
    <s v="TC1"/>
    <s v="0100"/>
    <n v="3240"/>
    <s v="CORCHERO REDONDO"/>
    <s v="CANDELA"/>
    <s v="**"/>
    <s v="01/02/2021"/>
    <s v="10/02/2025"/>
    <n v="10.28369"/>
    <m/>
    <x v="12"/>
    <m/>
    <s v="OPERAIO"/>
    <m/>
    <n v="408.47"/>
    <n v="120.35"/>
    <n v="0"/>
    <n v="0"/>
    <n v="0"/>
    <n v="0"/>
    <n v="0"/>
    <n v="0"/>
    <n v="0"/>
    <n v="0"/>
    <n v="0"/>
    <n v="3.89"/>
    <n v="0"/>
    <n v="0.62"/>
    <n v="0"/>
    <n v="533.33000000000004"/>
    <n v="0"/>
    <n v="0"/>
    <n v="0"/>
    <n v="6.7199999999999136"/>
    <n v="0"/>
    <n v="0"/>
    <n v="0"/>
    <n v="0"/>
    <n v="0"/>
    <n v="0"/>
    <n v="398.42"/>
    <n v="117.53"/>
    <n v="0"/>
    <n v="0"/>
    <n v="5.08"/>
    <n v="1.5"/>
    <n v="0"/>
    <n v="4.08"/>
    <n v="0"/>
    <n v="0"/>
    <n v="526.61000000000013"/>
    <s v="CRCCDL89R62Z131S"/>
  </r>
  <r>
    <s v="TC1"/>
    <s v="0100"/>
    <n v="3260"/>
    <s v="BOSIO"/>
    <s v="STELLA"/>
    <m/>
    <s v="02/02/2021"/>
    <m/>
    <n v="8.3200500000000002"/>
    <m/>
    <x v="3"/>
    <m/>
    <s v="OPERAIO"/>
    <m/>
    <n v="6587.76"/>
    <n v="66"/>
    <n v="0"/>
    <n v="0"/>
    <n v="0"/>
    <n v="26.37"/>
    <n v="0"/>
    <n v="541.91999999999996"/>
    <n v="0"/>
    <n v="18.72"/>
    <n v="0"/>
    <n v="66.91"/>
    <n v="5.6"/>
    <n v="504.26"/>
    <n v="40.14"/>
    <n v="7857.6800000000012"/>
    <n v="608.5"/>
    <n v="13.141857025472476"/>
    <n v="0.21903095042454127"/>
    <n v="7996.8200000000015"/>
    <n v="0"/>
    <n v="0"/>
    <n v="0"/>
    <n v="0"/>
    <n v="0"/>
    <n v="0"/>
    <n v="-139.81"/>
    <n v="0"/>
    <n v="0"/>
    <n v="0"/>
    <n v="2.06"/>
    <n v="0"/>
    <n v="0"/>
    <n v="-1.39"/>
    <n v="0"/>
    <n v="0"/>
    <n v="-139.13999999999999"/>
    <s v="BSOSLL59L56L219Q"/>
  </r>
  <r>
    <s v="TC1"/>
    <s v="0100"/>
    <n v="3320"/>
    <s v="WAHAB AHMED"/>
    <s v="KERYA"/>
    <m/>
    <s v="04/01/2021"/>
    <m/>
    <n v="8.2386599999999994"/>
    <m/>
    <x v="0"/>
    <m/>
    <s v="OPERAIO"/>
    <m/>
    <n v="8059.47"/>
    <n v="2702.13"/>
    <n v="0"/>
    <n v="0"/>
    <n v="0"/>
    <n v="-87.25"/>
    <n v="-25.74"/>
    <n v="679.69"/>
    <n v="200.51"/>
    <n v="0"/>
    <n v="0"/>
    <n v="85.1"/>
    <n v="5.65"/>
    <n v="639.57999999999993"/>
    <n v="46.94"/>
    <n v="12306.080000000002"/>
    <n v="775.5"/>
    <n v="16.096376531270149"/>
    <n v="0.26827294218783582"/>
    <n v="12482.740000000002"/>
    <n v="0"/>
    <n v="0"/>
    <n v="0"/>
    <n v="0"/>
    <n v="0"/>
    <n v="0"/>
    <n v="-135.36000000000001"/>
    <n v="-39.93"/>
    <n v="0"/>
    <n v="0"/>
    <n v="0"/>
    <n v="0"/>
    <n v="0"/>
    <n v="-1.37"/>
    <n v="0"/>
    <n v="0"/>
    <n v="-176.66000000000003"/>
    <s v="WHBKRY90A41Z368Y"/>
  </r>
  <r>
    <s v="TC1"/>
    <s v="0100"/>
    <n v="3450"/>
    <s v="CUSTURA'"/>
    <s v="MARIAN"/>
    <m/>
    <s v="03/05/2021"/>
    <m/>
    <n v="9.9584299999999999"/>
    <m/>
    <x v="2"/>
    <m/>
    <s v="OPERAIO"/>
    <m/>
    <n v="8011.41"/>
    <n v="66"/>
    <n v="0"/>
    <n v="0"/>
    <n v="0"/>
    <n v="2524.46"/>
    <n v="0"/>
    <n v="821.57"/>
    <n v="0"/>
    <n v="27.39"/>
    <n v="0"/>
    <n v="76.28"/>
    <n v="32.130000000000003"/>
    <n v="822.16"/>
    <n v="60.85"/>
    <n v="12442.249999999998"/>
    <n v="619.25"/>
    <n v="16.070763019781992"/>
    <n v="0.26784605032969988"/>
    <n v="9951.8199999999979"/>
    <n v="0"/>
    <n v="0"/>
    <n v="0"/>
    <n v="0"/>
    <n v="0"/>
    <n v="0"/>
    <n v="2463.02"/>
    <n v="0"/>
    <n v="0"/>
    <n v="0"/>
    <n v="2.46"/>
    <n v="0"/>
    <n v="0"/>
    <n v="24.95"/>
    <n v="0"/>
    <n v="0"/>
    <n v="2490.4299999999998"/>
    <s v="CSTMRN73R14Z129A"/>
  </r>
  <r>
    <s v="TC1"/>
    <s v="0100"/>
    <n v="3480"/>
    <s v="BERDICA"/>
    <s v="ARDIANA"/>
    <m/>
    <s v="25/05/2021"/>
    <m/>
    <n v="8.3200500000000002"/>
    <m/>
    <x v="0"/>
    <m/>
    <s v="OPERAIO"/>
    <m/>
    <n v="8272.2900000000009"/>
    <n v="2680.32"/>
    <n v="0"/>
    <n v="0"/>
    <n v="0"/>
    <n v="-122.97"/>
    <n v="-36.28"/>
    <n v="686.4"/>
    <n v="202.49"/>
    <n v="4.16"/>
    <n v="1.23"/>
    <n v="84.41"/>
    <n v="5.4"/>
    <n v="645.44000000000005"/>
    <n v="47.4"/>
    <n v="12470.29"/>
    <n v="727.5"/>
    <n v="17.579079037800685"/>
    <n v="0.29298465063001145"/>
    <n v="12788.78"/>
    <n v="0"/>
    <n v="0"/>
    <n v="0"/>
    <n v="0"/>
    <n v="0"/>
    <n v="0"/>
    <n v="-237.85"/>
    <n v="-70.17"/>
    <n v="0"/>
    <n v="0"/>
    <n v="-6.18"/>
    <n v="-1.82"/>
    <n v="0"/>
    <n v="-2.4700000000000002"/>
    <n v="0"/>
    <n v="0"/>
    <n v="-318.49"/>
    <s v="BRDRDN70L63Z100R"/>
  </r>
  <r>
    <s v="TC1"/>
    <s v="0100"/>
    <n v="3550"/>
    <s v="OBINNA"/>
    <s v="GIFT"/>
    <m/>
    <s v="14/06/2021"/>
    <m/>
    <n v="8.63734"/>
    <m/>
    <x v="3"/>
    <m/>
    <s v="OPERAIO"/>
    <m/>
    <n v="8710.65"/>
    <n v="2743.42"/>
    <n v="0"/>
    <n v="0"/>
    <n v="0"/>
    <n v="26.52"/>
    <n v="7.82"/>
    <n v="712.58"/>
    <n v="210.21"/>
    <n v="47.51"/>
    <n v="14.02"/>
    <n v="86.43"/>
    <n v="7.49"/>
    <n v="631.46"/>
    <n v="49.21"/>
    <n v="13247.32"/>
    <n v="791.25"/>
    <n v="17.43431279620853"/>
    <n v="0.29057187993680883"/>
    <n v="13794.9"/>
    <n v="0"/>
    <n v="0"/>
    <n v="0"/>
    <n v="0"/>
    <n v="0"/>
    <n v="0"/>
    <n v="-422.84"/>
    <n v="-124.74"/>
    <n v="0"/>
    <n v="0"/>
    <n v="0"/>
    <n v="0"/>
    <n v="0"/>
    <n v="0"/>
    <n v="0"/>
    <n v="0"/>
    <n v="-547.57999999999993"/>
    <s v="BNNGFT96P59Z335T"/>
  </r>
  <r>
    <s v="TC1"/>
    <s v="0100"/>
    <n v="3590"/>
    <s v="CENTO"/>
    <s v="VANESSA"/>
    <m/>
    <s v="01/07/2021"/>
    <m/>
    <n v="1626.65"/>
    <m/>
    <x v="4"/>
    <m/>
    <s v="IMPIEGATO"/>
    <m/>
    <n v="10952.23"/>
    <n v="247.59"/>
    <n v="500"/>
    <n v="0"/>
    <n v="0"/>
    <n v="2949.56"/>
    <n v="826.85"/>
    <n v="813.32"/>
    <n v="228"/>
    <n v="172.52"/>
    <n v="48.36"/>
    <n v="39.94"/>
    <n v="15.1"/>
    <n v="769.31"/>
    <n v="56.17"/>
    <n v="17118.95"/>
    <n v="865.25"/>
    <n v="16.106859289222768"/>
    <n v="0.26844765482037947"/>
    <n v="13936.46"/>
    <n v="0"/>
    <n v="0"/>
    <n v="0"/>
    <n v="0"/>
    <n v="0"/>
    <n v="0"/>
    <n v="2478.25"/>
    <n v="694.73"/>
    <n v="0"/>
    <n v="0"/>
    <n v="0"/>
    <n v="0"/>
    <n v="0"/>
    <n v="9.51"/>
    <n v="0"/>
    <n v="0"/>
    <n v="3182.49"/>
    <s v="CNTVSS89L64F158D"/>
  </r>
  <r>
    <s v="TC1"/>
    <s v="0100"/>
    <n v="3660"/>
    <s v="BERTOLDI"/>
    <s v="ALESSANDRA"/>
    <m/>
    <s v="19/07/2021"/>
    <m/>
    <n v="1811.58"/>
    <m/>
    <x v="11"/>
    <m/>
    <s v="IMPIEGATO"/>
    <m/>
    <n v="12824.89"/>
    <n v="1968.38"/>
    <n v="300"/>
    <n v="0"/>
    <n v="0"/>
    <n v="2178.4"/>
    <n v="594.27"/>
    <n v="905.79"/>
    <n v="247.1"/>
    <n v="5.49"/>
    <n v="1.5"/>
    <n v="117.39"/>
    <n v="29.43"/>
    <n v="846.87"/>
    <n v="62.56"/>
    <n v="19782.070000000003"/>
    <n v="845"/>
    <n v="21.466390532544381"/>
    <n v="0.35777317554240634"/>
    <n v="18139.100000000002"/>
    <n v="0"/>
    <n v="0"/>
    <n v="0"/>
    <n v="0"/>
    <n v="0"/>
    <n v="0"/>
    <n v="1290.83"/>
    <n v="352.14"/>
    <n v="0"/>
    <n v="0"/>
    <n v="0"/>
    <n v="0"/>
    <n v="0"/>
    <n v="0"/>
    <n v="0"/>
    <n v="0"/>
    <n v="1642.9699999999998"/>
    <s v="BRTLSN95P42E512Y"/>
  </r>
  <r>
    <s v="TC1"/>
    <s v="0100"/>
    <n v="3960"/>
    <s v="EMENE"/>
    <s v="BLESSING"/>
    <m/>
    <s v="03/01/2022"/>
    <m/>
    <n v="8.2386599999999994"/>
    <m/>
    <x v="3"/>
    <m/>
    <s v="OPERAIO"/>
    <m/>
    <n v="8393.51"/>
    <n v="1428.57"/>
    <n v="0"/>
    <n v="0"/>
    <n v="0"/>
    <n v="587.09"/>
    <n v="173.19"/>
    <n v="679.69"/>
    <n v="200.51"/>
    <n v="41.19"/>
    <n v="12.15"/>
    <n v="85.66"/>
    <n v="12.45"/>
    <n v="588.34"/>
    <n v="46.94"/>
    <n v="12249.290000000003"/>
    <n v="736.25"/>
    <n v="15.112407470288627"/>
    <n v="0.2518734578381438"/>
    <n v="11126.510000000002"/>
    <n v="0"/>
    <n v="0"/>
    <n v="0"/>
    <n v="0"/>
    <n v="0"/>
    <n v="0"/>
    <n v="847.92"/>
    <n v="250.14"/>
    <n v="0"/>
    <n v="0"/>
    <n v="12.36"/>
    <n v="3.65"/>
    <n v="0"/>
    <n v="8.7100000000000009"/>
    <n v="0"/>
    <n v="0"/>
    <n v="1122.78"/>
    <s v="MNEBSS94A44Z335C"/>
  </r>
  <r>
    <s v="TC1"/>
    <s v="0100"/>
    <n v="3970"/>
    <s v="OROGUN"/>
    <s v="SONIA ONOME"/>
    <m/>
    <s v="03/01/2022"/>
    <m/>
    <n v="8.6373300000000004"/>
    <m/>
    <x v="3"/>
    <m/>
    <s v="OPERAIO"/>
    <m/>
    <n v="8242.6200000000008"/>
    <n v="2615.42"/>
    <n v="0"/>
    <n v="0"/>
    <n v="0"/>
    <n v="-451.21"/>
    <n v="-133.11000000000001"/>
    <n v="712.58"/>
    <n v="210.21"/>
    <n v="6.48"/>
    <n v="1.91"/>
    <n v="82.32"/>
    <n v="2.56"/>
    <n v="644.37"/>
    <n v="49.21"/>
    <n v="11983.359999999999"/>
    <n v="683.5"/>
    <n v="17.777454279444036"/>
    <n v="0.2962909046574006"/>
    <n v="12150.89"/>
    <n v="0"/>
    <n v="0"/>
    <n v="0"/>
    <n v="0"/>
    <n v="0"/>
    <n v="0"/>
    <n v="-128.36000000000001"/>
    <n v="-37.869999999999997"/>
    <n v="0"/>
    <n v="0"/>
    <n v="0"/>
    <n v="0"/>
    <n v="0"/>
    <n v="-1.3"/>
    <n v="0"/>
    <n v="0"/>
    <n v="-167.53000000000003"/>
    <s v="RGNSNM92T44Z335A"/>
  </r>
  <r>
    <s v="TC1"/>
    <s v="0100"/>
    <n v="3980"/>
    <s v="EKWE"/>
    <s v="RUTH"/>
    <m/>
    <s v="03/01/2022"/>
    <m/>
    <n v="8.2386599999999994"/>
    <m/>
    <x v="0"/>
    <m/>
    <s v="OPERAIO"/>
    <m/>
    <n v="8417.86"/>
    <n v="1445.83"/>
    <n v="0"/>
    <n v="0"/>
    <n v="0"/>
    <n v="1736.38"/>
    <n v="512.23"/>
    <n v="679.69"/>
    <n v="200.51"/>
    <n v="43.25"/>
    <n v="12.76"/>
    <n v="86.74"/>
    <n v="23.42"/>
    <n v="588.24"/>
    <n v="46.94"/>
    <n v="13793.85"/>
    <n v="880.5"/>
    <n v="13.734400908574672"/>
    <n v="0.22890668180957788"/>
    <n v="12093.14"/>
    <n v="0"/>
    <n v="0"/>
    <n v="0"/>
    <n v="0"/>
    <n v="0"/>
    <n v="0"/>
    <n v="1296.93"/>
    <n v="382.59"/>
    <n v="0"/>
    <n v="0"/>
    <n v="6.18"/>
    <n v="1.82"/>
    <n v="0"/>
    <n v="13.19"/>
    <n v="0"/>
    <n v="0"/>
    <n v="1700.71"/>
    <s v="KWERTH96D44Z335K"/>
  </r>
  <r>
    <s v="TC1"/>
    <s v="0100"/>
    <n v="4050"/>
    <s v="COLAVECCHIA"/>
    <s v="CINZIA"/>
    <m/>
    <s v="21/02/2022"/>
    <m/>
    <n v="8.2386599999999994"/>
    <m/>
    <x v="3"/>
    <m/>
    <s v="OPERAIO"/>
    <m/>
    <n v="7720.52"/>
    <n v="66"/>
    <n v="0"/>
    <n v="0"/>
    <n v="0"/>
    <n v="1991.28"/>
    <n v="0"/>
    <n v="617.09"/>
    <n v="0"/>
    <n v="74.150000000000006"/>
    <n v="0"/>
    <n v="78.739999999999995"/>
    <n v="25.55"/>
    <n v="615.0100000000001"/>
    <n v="45.71"/>
    <n v="11234.05"/>
    <n v="814"/>
    <n v="11.859373464373462"/>
    <n v="0.19765622440622438"/>
    <n v="9653.5299999999988"/>
    <n v="0"/>
    <n v="0"/>
    <n v="0"/>
    <n v="0"/>
    <n v="0"/>
    <n v="0"/>
    <n v="1535.85"/>
    <n v="0"/>
    <n v="0"/>
    <n v="0"/>
    <n v="28.84"/>
    <n v="0"/>
    <n v="0"/>
    <n v="15.83"/>
    <n v="0"/>
    <n v="0"/>
    <n v="1580.5199999999998"/>
    <s v="CLVCNZ91H45L113S"/>
  </r>
  <r>
    <s v="TC1"/>
    <s v="0100"/>
    <n v="4060"/>
    <s v="BORGATTI"/>
    <s v="ROBERTA"/>
    <m/>
    <s v="22/02/2022"/>
    <m/>
    <n v="9.1873400000000007"/>
    <m/>
    <x v="3"/>
    <m/>
    <s v="OPERAIO"/>
    <m/>
    <n v="5235.62"/>
    <n v="66"/>
    <n v="0"/>
    <n v="0"/>
    <n v="0"/>
    <n v="1631.4"/>
    <n v="0"/>
    <n v="418.85"/>
    <n v="0"/>
    <n v="280.20999999999998"/>
    <n v="0"/>
    <n v="52.53"/>
    <n v="22.2"/>
    <n v="426.79"/>
    <n v="31.02"/>
    <n v="8164.6200000000008"/>
    <n v="440.75"/>
    <n v="16.060669313669884"/>
    <n v="0.26767782189449807"/>
    <n v="7078.7400000000007"/>
    <n v="0"/>
    <n v="0"/>
    <n v="0"/>
    <n v="0"/>
    <n v="0"/>
    <n v="0"/>
    <n v="1072.8399999999999"/>
    <n v="0"/>
    <n v="0"/>
    <n v="0"/>
    <n v="2.16"/>
    <n v="0"/>
    <n v="0"/>
    <n v="10.88"/>
    <n v="0"/>
    <n v="0"/>
    <n v="1085.8800000000001"/>
    <s v="BRGRRT72S70L781V"/>
  </r>
  <r>
    <s v="TC1"/>
    <s v="0100"/>
    <n v="4120"/>
    <s v="RUBIO AREVALO"/>
    <s v="CATALINA"/>
    <m/>
    <s v="15/03/2022"/>
    <m/>
    <n v="1866.65"/>
    <m/>
    <x v="6"/>
    <m/>
    <s v="IMPIEGATO"/>
    <m/>
    <n v="11142.48"/>
    <n v="3189.42"/>
    <n v="0"/>
    <n v="0"/>
    <n v="0"/>
    <n v="2023.9"/>
    <n v="567.36"/>
    <n v="933.32"/>
    <n v="261.64"/>
    <n v="161.21"/>
    <n v="45.19"/>
    <n v="42.75"/>
    <n v="11.97"/>
    <n v="871.81"/>
    <n v="64.459999999999994"/>
    <n v="19315.509999999998"/>
    <n v="788.75"/>
    <n v="22.422846275752768"/>
    <n v="0.37371410459587945"/>
    <n v="17686.019999999997"/>
    <n v="0"/>
    <n v="0"/>
    <n v="0"/>
    <n v="0"/>
    <n v="0"/>
    <n v="0"/>
    <n v="1268.9100000000001"/>
    <n v="355.71"/>
    <n v="0"/>
    <n v="0"/>
    <n v="0"/>
    <n v="0"/>
    <n v="0"/>
    <n v="4.87"/>
    <n v="0"/>
    <n v="0"/>
    <n v="1629.49"/>
    <s v="RBRCLN85T55Z604L"/>
  </r>
  <r>
    <s v="TC1"/>
    <s v="0100"/>
    <n v="4140"/>
    <s v="DHIF"/>
    <s v="FAOUZIA"/>
    <m/>
    <s v="25/03/2022"/>
    <m/>
    <n v="8.2386599999999994"/>
    <m/>
    <x v="0"/>
    <m/>
    <s v="OPERAIO"/>
    <m/>
    <n v="0"/>
    <n v="66"/>
    <n v="0"/>
    <n v="0"/>
    <n v="0"/>
    <n v="2388.06"/>
    <n v="0"/>
    <n v="89.44"/>
    <n v="0"/>
    <n v="335.73"/>
    <n v="0"/>
    <n v="0"/>
    <n v="26.8"/>
    <n v="32.76"/>
    <n v="6.62"/>
    <n v="2945.4100000000003"/>
    <n v="0"/>
    <n v="0"/>
    <n v="0"/>
    <n v="194.05000000000018"/>
    <n v="0"/>
    <n v="0"/>
    <n v="0"/>
    <n v="0"/>
    <n v="0"/>
    <n v="0"/>
    <n v="2388.06"/>
    <n v="0"/>
    <n v="0"/>
    <n v="0"/>
    <n v="335.73"/>
    <n v="0"/>
    <n v="0"/>
    <n v="27.57"/>
    <n v="0"/>
    <n v="0"/>
    <n v="2751.36"/>
    <s v="DHFFZA62P70Z352V"/>
  </r>
  <r>
    <s v="TC1"/>
    <s v="0100"/>
    <n v="4180"/>
    <s v="PASQUALI"/>
    <s v="ELENA"/>
    <m/>
    <s v="14/03/2022"/>
    <m/>
    <n v="8.63734"/>
    <m/>
    <x v="0"/>
    <m/>
    <s v="OPERAIO"/>
    <m/>
    <n v="8630.27"/>
    <n v="2723.95"/>
    <n v="0"/>
    <n v="0"/>
    <n v="0"/>
    <n v="1268.83"/>
    <n v="374.3"/>
    <n v="712.58"/>
    <n v="210.21"/>
    <n v="6.48"/>
    <n v="1.91"/>
    <n v="85.81"/>
    <n v="18.940000000000001"/>
    <n v="660.92"/>
    <n v="49.21"/>
    <n v="14743.409999999998"/>
    <n v="741.25"/>
    <n v="17.140209106239457"/>
    <n v="0.28567015177065763"/>
    <n v="12705.179999999998"/>
    <n v="0"/>
    <n v="0"/>
    <n v="0"/>
    <n v="0"/>
    <n v="0"/>
    <n v="0"/>
    <n v="1561.72"/>
    <n v="460.71"/>
    <n v="0"/>
    <n v="0"/>
    <n v="0"/>
    <n v="0"/>
    <n v="0"/>
    <n v="15.8"/>
    <n v="0"/>
    <n v="0"/>
    <n v="2038.23"/>
    <s v="PSQLNE68T55L781X"/>
  </r>
  <r>
    <s v="TC1"/>
    <s v="0100"/>
    <n v="4210"/>
    <s v="FRONTERA"/>
    <s v="GIUSIANA"/>
    <m/>
    <s v="21/04/2022"/>
    <m/>
    <n v="8.2386599999999994"/>
    <m/>
    <x v="0"/>
    <m/>
    <s v="OPERAIO"/>
    <m/>
    <n v="6134.09"/>
    <n v="66"/>
    <n v="0"/>
    <n v="0"/>
    <n v="0"/>
    <n v="899.08"/>
    <n v="0"/>
    <n v="536.61"/>
    <n v="0"/>
    <n v="16.48"/>
    <n v="0"/>
    <n v="66.91"/>
    <n v="13.83"/>
    <n v="532.56000000000006"/>
    <n v="39.74"/>
    <n v="8305.2999999999993"/>
    <n v="573.5"/>
    <n v="13.469782040104619"/>
    <n v="0.22449636733507697"/>
    <n v="7724.9199999999992"/>
    <n v="0"/>
    <n v="0"/>
    <n v="0"/>
    <n v="0"/>
    <n v="0"/>
    <n v="0"/>
    <n v="560.15"/>
    <n v="0"/>
    <n v="0"/>
    <n v="0"/>
    <n v="14.42"/>
    <n v="0"/>
    <n v="0"/>
    <n v="5.81"/>
    <n v="0"/>
    <n v="0"/>
    <n v="580.37999999999988"/>
    <s v="FRNGSN94C51L781W"/>
  </r>
  <r>
    <s v="TC1"/>
    <s v="0100"/>
    <n v="4260"/>
    <s v="KHONDOKAR"/>
    <s v="SURUJ"/>
    <m/>
    <s v="11/05/2022"/>
    <m/>
    <n v="10.087339999999999"/>
    <m/>
    <x v="0"/>
    <m/>
    <s v="OPERAIO"/>
    <m/>
    <n v="9410.14"/>
    <n v="2843.75"/>
    <n v="0"/>
    <n v="0"/>
    <n v="0"/>
    <n v="-533.72"/>
    <n v="-157.44999999999999"/>
    <n v="832.21"/>
    <n v="245.5"/>
    <n v="12.61"/>
    <n v="3.72"/>
    <n v="89.69"/>
    <n v="2.96"/>
    <n v="651.73"/>
    <n v="57.47"/>
    <n v="13458.609999999999"/>
    <n v="697.25"/>
    <n v="19.423678737898886"/>
    <n v="0.32372797896498146"/>
    <n v="13543.159999999998"/>
    <n v="0"/>
    <n v="0"/>
    <n v="0"/>
    <n v="0"/>
    <n v="0"/>
    <n v="0"/>
    <n v="-64.78"/>
    <n v="-19.11"/>
    <n v="0"/>
    <n v="0"/>
    <n v="0"/>
    <n v="0"/>
    <n v="0"/>
    <n v="-0.66"/>
    <n v="0"/>
    <n v="0"/>
    <n v="-84.55"/>
    <s v="KHNSRJ89E01Z249A"/>
  </r>
  <r>
    <s v="TC1"/>
    <s v="0100"/>
    <n v="4290"/>
    <s v="ARAUJO"/>
    <s v="ARLETE"/>
    <m/>
    <s v="24/05/2022"/>
    <m/>
    <n v="11.1166"/>
    <m/>
    <x v="12"/>
    <m/>
    <s v="OPERAIO"/>
    <m/>
    <n v="11958.38"/>
    <n v="3416.56"/>
    <n v="600"/>
    <n v="0"/>
    <n v="0"/>
    <n v="776.05"/>
    <n v="228.93"/>
    <n v="917.12"/>
    <n v="270.55"/>
    <n v="19.45"/>
    <n v="5.74"/>
    <n v="108.18"/>
    <n v="16.309999999999999"/>
    <n v="794.3"/>
    <n v="63.34"/>
    <n v="18574.91"/>
    <n v="801"/>
    <n v="23.633957553058675"/>
    <n v="0.39389929255097794"/>
    <n v="18930.8"/>
    <n v="0"/>
    <n v="0"/>
    <n v="0"/>
    <n v="0"/>
    <n v="0"/>
    <n v="0"/>
    <n v="-272.69"/>
    <n v="-80.44"/>
    <n v="0"/>
    <n v="0"/>
    <n v="0"/>
    <n v="0"/>
    <n v="0"/>
    <n v="-2.76"/>
    <n v="0"/>
    <n v="0"/>
    <n v="-355.89"/>
    <s v="RJARLT69D45Z602V"/>
  </r>
  <r>
    <s v="TC1"/>
    <s v="0100"/>
    <n v="4300"/>
    <s v="MAESTRELLO"/>
    <s v="FRANCO"/>
    <m/>
    <s v="20/06/2022"/>
    <m/>
    <n v="2446.79"/>
    <m/>
    <x v="9"/>
    <m/>
    <s v="IMPIEGATO"/>
    <m/>
    <n v="18236.53"/>
    <n v="4768.26"/>
    <n v="1000"/>
    <n v="0"/>
    <n v="0"/>
    <n v="3210.93"/>
    <n v="875.94"/>
    <n v="1223.3900000000001"/>
    <n v="333.74"/>
    <n v="14.83"/>
    <n v="4.05"/>
    <n v="164.16"/>
    <n v="42.38"/>
    <n v="1126.8999999999999"/>
    <n v="84.5"/>
    <n v="30085.610000000004"/>
    <n v="942.25"/>
    <n v="29.104091270894141"/>
    <n v="0.48506818784823569"/>
    <n v="27423.330000000005"/>
    <n v="0"/>
    <n v="0"/>
    <n v="0"/>
    <n v="0"/>
    <n v="0"/>
    <n v="0"/>
    <n v="2075.17"/>
    <n v="566.11"/>
    <n v="0"/>
    <n v="0"/>
    <n v="0"/>
    <n v="0"/>
    <n v="0"/>
    <n v="21"/>
    <n v="0"/>
    <n v="0"/>
    <n v="2662.28"/>
    <s v="MSTFNC76R05L781B"/>
  </r>
  <r>
    <s v="TC1"/>
    <s v="0100"/>
    <n v="4320"/>
    <s v="HUSSAIN"/>
    <s v="SYED ALTAF"/>
    <m/>
    <s v="13/06/2022"/>
    <m/>
    <n v="9.4873399999999997"/>
    <m/>
    <x v="0"/>
    <m/>
    <s v="OPERAIO"/>
    <m/>
    <n v="9405.2000000000007"/>
    <n v="2842.85"/>
    <n v="0"/>
    <n v="0"/>
    <n v="0"/>
    <n v="285.95"/>
    <n v="84.36"/>
    <n v="782.71"/>
    <n v="230.9"/>
    <n v="45.06"/>
    <n v="13.29"/>
    <n v="89.66"/>
    <n v="10.61"/>
    <n v="658.65"/>
    <n v="54.05"/>
    <n v="14503.290000000003"/>
    <n v="842.5"/>
    <n v="17.672189910979231"/>
    <n v="0.29453649851632052"/>
    <n v="14888.820000000003"/>
    <n v="0"/>
    <n v="0"/>
    <n v="0"/>
    <n v="0"/>
    <n v="0"/>
    <n v="0"/>
    <n v="-295.39999999999998"/>
    <n v="-87.14"/>
    <n v="0"/>
    <n v="0"/>
    <n v="0"/>
    <n v="0"/>
    <n v="0"/>
    <n v="-2.99"/>
    <n v="0"/>
    <n v="0"/>
    <n v="-385.53"/>
    <s v="HSSSDL68A01Z236Z"/>
  </r>
  <r>
    <s v="TC1"/>
    <s v="0100"/>
    <n v="4340"/>
    <s v="MUNTEANU"/>
    <s v="NATALIA"/>
    <m/>
    <s v="09/06/2022"/>
    <m/>
    <n v="9.8457600000000003"/>
    <m/>
    <x v="0"/>
    <m/>
    <s v="OPERAIO"/>
    <m/>
    <n v="10130.69"/>
    <n v="3054.38"/>
    <n v="0"/>
    <n v="0"/>
    <n v="0"/>
    <n v="1868.82"/>
    <n v="551.29999999999995"/>
    <n v="812.28"/>
    <n v="239.62"/>
    <n v="32"/>
    <n v="9.44"/>
    <n v="96.48"/>
    <n v="25.84"/>
    <n v="743.37"/>
    <n v="56.09"/>
    <n v="17620.309999999994"/>
    <n v="897.5"/>
    <n v="18.110027855153199"/>
    <n v="0.30183379758588663"/>
    <n v="16253.749999999995"/>
    <n v="0"/>
    <n v="0"/>
    <n v="0"/>
    <n v="0"/>
    <n v="0"/>
    <n v="0"/>
    <n v="1042.49"/>
    <n v="307.52999999999997"/>
    <n v="0"/>
    <n v="0"/>
    <n v="4.59"/>
    <n v="1.35"/>
    <n v="0"/>
    <n v="10.6"/>
    <n v="0"/>
    <n v="0"/>
    <n v="1366.5599999999997"/>
    <s v="MNTNTL77T45Z140M"/>
  </r>
  <r>
    <s v="TC1"/>
    <s v="0100"/>
    <n v="4370"/>
    <s v="VINCO"/>
    <s v="CATERINA EMANUELA"/>
    <m/>
    <s v="02/07/2022"/>
    <m/>
    <n v="8.2386599999999994"/>
    <m/>
    <x v="0"/>
    <m/>
    <s v="OPERAIO"/>
    <m/>
    <n v="8213.98"/>
    <n v="2618.08"/>
    <n v="0"/>
    <n v="0"/>
    <n v="0"/>
    <n v="1003.3"/>
    <n v="295.97000000000003"/>
    <n v="679.69"/>
    <n v="200.51"/>
    <n v="30.89"/>
    <n v="9.11"/>
    <n v="82.4"/>
    <n v="16.32"/>
    <n v="624.21999999999991"/>
    <n v="46.94"/>
    <n v="13821.409999999998"/>
    <n v="658.75"/>
    <n v="19.298398481973432"/>
    <n v="0.32163997469955719"/>
    <n v="12712.819999999998"/>
    <n v="0"/>
    <n v="0"/>
    <n v="0"/>
    <n v="0"/>
    <n v="0"/>
    <n v="0"/>
    <n v="849.41"/>
    <n v="250.58"/>
    <n v="0"/>
    <n v="0"/>
    <n v="0"/>
    <n v="0"/>
    <n v="0"/>
    <n v="8.6"/>
    <n v="0"/>
    <n v="0"/>
    <n v="1108.5899999999999"/>
    <s v="VNCCRN63B54C538Q"/>
  </r>
  <r>
    <s v="TC1"/>
    <s v="0100"/>
    <n v="4400"/>
    <s v="MARINARO"/>
    <s v="LIDIA"/>
    <m/>
    <s v="04/07/2022"/>
    <m/>
    <n v="2639.92"/>
    <m/>
    <x v="11"/>
    <m/>
    <s v="IMPIEGATO"/>
    <m/>
    <n v="16499.5"/>
    <n v="4567.1400000000003"/>
    <n v="0"/>
    <n v="0"/>
    <n v="0"/>
    <n v="3340.38"/>
    <n v="911.26"/>
    <n v="1319.96"/>
    <n v="360.09"/>
    <n v="235.99"/>
    <n v="64.38"/>
    <n v="157.18"/>
    <n v="46.63"/>
    <n v="1213.1000000000001"/>
    <n v="91.17"/>
    <n v="28806.78"/>
    <n v="836"/>
    <n v="31.064916267942579"/>
    <n v="0.51774860446570969"/>
    <n v="25970.269999999997"/>
    <n v="0"/>
    <n v="0"/>
    <n v="0"/>
    <n v="0"/>
    <n v="0"/>
    <n v="0"/>
    <n v="2102.98"/>
    <n v="573.69000000000005"/>
    <n v="0"/>
    <n v="0"/>
    <n v="108"/>
    <n v="29.46"/>
    <n v="0"/>
    <n v="22.38"/>
    <n v="0"/>
    <n v="0"/>
    <n v="2836.51"/>
    <s v="MRNLDI70T58D754O"/>
  </r>
  <r>
    <s v="TC1"/>
    <s v="0100"/>
    <n v="4510"/>
    <s v="QUARSHIE"/>
    <s v="EMELIA KOMECHOE"/>
    <m/>
    <s v="21/09/2022"/>
    <m/>
    <n v="8.2386599999999994"/>
    <m/>
    <x v="3"/>
    <m/>
    <s v="OPERAIO"/>
    <m/>
    <n v="5644"/>
    <n v="-3885.5"/>
    <n v="0"/>
    <n v="0"/>
    <n v="0"/>
    <n v="1172.77"/>
    <n v="0"/>
    <n v="536.61"/>
    <n v="0"/>
    <n v="150.36000000000001"/>
    <n v="0"/>
    <n v="58.43"/>
    <n v="17.72"/>
    <n v="526.1"/>
    <n v="39.74"/>
    <n v="4260.2299999999996"/>
    <n v="597.25"/>
    <n v="5.6845039765592293"/>
    <n v="9.4741732942653825E-2"/>
    <n v="3395.07"/>
    <n v="0"/>
    <n v="0"/>
    <n v="0"/>
    <n v="0"/>
    <n v="0"/>
    <n v="0"/>
    <n v="702.02"/>
    <n v="0"/>
    <n v="0"/>
    <n v="0"/>
    <n v="154.47"/>
    <n v="0"/>
    <n v="0"/>
    <n v="8.67"/>
    <n v="0"/>
    <n v="0"/>
    <n v="865.16"/>
    <s v="QRSMKM64R65Z318D"/>
  </r>
  <r>
    <s v="TC1"/>
    <s v="0100"/>
    <n v="4600"/>
    <s v="GIULIANO"/>
    <s v="FRANCESCA"/>
    <m/>
    <s v="01/12/2022"/>
    <s v="15/06/2025"/>
    <n v="1495.39"/>
    <m/>
    <x v="11"/>
    <m/>
    <s v="APPRENDISTA IMPIEGATO"/>
    <m/>
    <n v="7708.35"/>
    <n v="1048.08"/>
    <n v="0"/>
    <n v="0"/>
    <n v="0"/>
    <n v="0"/>
    <n v="0"/>
    <n v="0"/>
    <n v="0"/>
    <n v="0"/>
    <n v="0"/>
    <n v="0"/>
    <n v="0"/>
    <n v="576.15"/>
    <n v="0"/>
    <n v="9332.58"/>
    <n v="477"/>
    <n v="17.528825995807129"/>
    <n v="0.29214709993011884"/>
    <n v="8361.25"/>
    <n v="0"/>
    <n v="0"/>
    <n v="0"/>
    <n v="0"/>
    <n v="0"/>
    <n v="0"/>
    <n v="861.54"/>
    <n v="109.79"/>
    <n v="0"/>
    <n v="0"/>
    <n v="0"/>
    <n v="0"/>
    <n v="0"/>
    <n v="0"/>
    <n v="0"/>
    <n v="0"/>
    <n v="971.33"/>
    <s v="GLNFNC96E48C357H"/>
  </r>
  <r>
    <s v="TC1"/>
    <s v="0100"/>
    <n v="4620"/>
    <s v="TORNIERI"/>
    <s v="RITA"/>
    <m/>
    <s v="01/12/2022"/>
    <m/>
    <n v="3608.32"/>
    <m/>
    <x v="6"/>
    <m/>
    <s v="QUADRO"/>
    <m/>
    <n v="26409.759999999998"/>
    <n v="6971.04"/>
    <n v="0"/>
    <n v="1545.2"/>
    <n v="0"/>
    <n v="1616.97"/>
    <n v="445.52"/>
    <n v="1804.16"/>
    <n v="497.1"/>
    <n v="0"/>
    <n v="0"/>
    <n v="96.19"/>
    <n v="13.13"/>
    <n v="4.16"/>
    <n v="124.61"/>
    <n v="39527.839999999997"/>
    <n v="874"/>
    <n v="44.310835240274599"/>
    <n v="0.73851392067124333"/>
    <n v="38727.67"/>
    <n v="0"/>
    <n v="0"/>
    <n v="0"/>
    <n v="0"/>
    <n v="0"/>
    <n v="0"/>
    <n v="625.44000000000005"/>
    <n v="172.33"/>
    <n v="0"/>
    <n v="0"/>
    <n v="0"/>
    <n v="0"/>
    <n v="0"/>
    <n v="2.4"/>
    <n v="0"/>
    <n v="0"/>
    <n v="800.17"/>
    <s v="TRNRTI67R54L781O"/>
  </r>
  <r>
    <s v="TC1"/>
    <s v="0100"/>
    <n v="4710"/>
    <s v="ATMAOUI"/>
    <s v="AZIZA"/>
    <m/>
    <s v="19/12/2022"/>
    <m/>
    <n v="9.9457599999999999"/>
    <m/>
    <x v="3"/>
    <m/>
    <s v="OPERAIO"/>
    <m/>
    <n v="10207.82"/>
    <n v="3077.64"/>
    <n v="0"/>
    <n v="0"/>
    <n v="0"/>
    <n v="1933.46"/>
    <n v="570.37"/>
    <n v="820.53"/>
    <n v="242.06"/>
    <n v="47.24"/>
    <n v="13.94"/>
    <n v="97.23"/>
    <n v="26.68"/>
    <n v="740.54000000000008"/>
    <n v="56.67"/>
    <n v="17834.18"/>
    <n v="781.75"/>
    <n v="19.545327790214266"/>
    <n v="0.32575546317023779"/>
    <n v="15279.560000000001"/>
    <n v="0"/>
    <n v="0"/>
    <n v="0"/>
    <n v="0"/>
    <n v="0"/>
    <n v="0"/>
    <n v="1952.46"/>
    <n v="575.98"/>
    <n v="0"/>
    <n v="0"/>
    <n v="4.92"/>
    <n v="1.45"/>
    <n v="0"/>
    <n v="19.809999999999999"/>
    <n v="0"/>
    <n v="0"/>
    <n v="2554.62"/>
    <s v="TMAZZA61E61Z330M"/>
  </r>
  <r>
    <s v="TC1"/>
    <s v="0100"/>
    <n v="4730"/>
    <s v="ZUCCHETTI"/>
    <s v="ROSANNA"/>
    <m/>
    <s v="09/01/2023"/>
    <m/>
    <n v="8.63734"/>
    <m/>
    <x v="0"/>
    <m/>
    <s v="OPERAIO"/>
    <m/>
    <n v="8808.02"/>
    <n v="2776.46"/>
    <n v="0"/>
    <n v="0"/>
    <n v="0"/>
    <n v="1764.61"/>
    <n v="520.55999999999995"/>
    <n v="712.58"/>
    <n v="210.21"/>
    <n v="43.19"/>
    <n v="12.74"/>
    <n v="87.5"/>
    <n v="24.01"/>
    <n v="643.51"/>
    <n v="49.21"/>
    <n v="15652.599999999999"/>
    <n v="853.5"/>
    <n v="16.146268306971294"/>
    <n v="0.2691044717828549"/>
    <n v="13780.839999999998"/>
    <n v="0"/>
    <n v="0"/>
    <n v="0"/>
    <n v="0"/>
    <n v="0"/>
    <n v="0"/>
    <n v="1434.17"/>
    <n v="423.08"/>
    <n v="0"/>
    <n v="0"/>
    <n v="0"/>
    <n v="0"/>
    <n v="0"/>
    <n v="14.51"/>
    <n v="0"/>
    <n v="0"/>
    <n v="1871.76"/>
    <s v="ZCCRNN66C55L781E"/>
  </r>
  <r>
    <s v="TC1"/>
    <s v="0100"/>
    <n v="4740"/>
    <s v="ANONGBO"/>
    <s v="EBBAH CHRISTINE"/>
    <m/>
    <s v="09/01/2023"/>
    <m/>
    <n v="1425.16"/>
    <m/>
    <x v="6"/>
    <m/>
    <s v="IMPIEGATO"/>
    <m/>
    <n v="4514.6899999999996"/>
    <n v="-1429.9"/>
    <n v="300"/>
    <n v="0"/>
    <n v="0"/>
    <n v="1855.21"/>
    <n v="0"/>
    <n v="393.77"/>
    <n v="0"/>
    <n v="1656.21"/>
    <n v="0"/>
    <n v="18.149999999999999"/>
    <n v="14.99"/>
    <n v="385.77"/>
    <n v="29.16"/>
    <n v="7438.0499999999993"/>
    <n v="387.75"/>
    <n v="12.303726627981947"/>
    <n v="0.20506211046636577"/>
    <n v="4770.7699999999995"/>
    <n v="0"/>
    <n v="0"/>
    <n v="0"/>
    <n v="0"/>
    <n v="0"/>
    <n v="0"/>
    <n v="1374.14"/>
    <n v="0"/>
    <n v="0"/>
    <n v="0"/>
    <n v="1282.94"/>
    <n v="0"/>
    <n v="0"/>
    <n v="10.199999999999999"/>
    <n v="0"/>
    <n v="0"/>
    <n v="2667.28"/>
    <s v="NNGBHC87M56Z313Q"/>
  </r>
  <r>
    <s v="TC1"/>
    <s v="0100"/>
    <n v="4760"/>
    <s v="ZANOLLI"/>
    <s v="BARBARA"/>
    <m/>
    <s v="01/02/2023"/>
    <m/>
    <n v="8.63734"/>
    <m/>
    <x v="0"/>
    <m/>
    <s v="OPERAIO"/>
    <m/>
    <n v="6926.01"/>
    <n v="2196.1999999999998"/>
    <n v="0"/>
    <n v="0"/>
    <n v="0"/>
    <n v="890.08"/>
    <n v="262.57"/>
    <n v="562.58000000000004"/>
    <n v="165.96"/>
    <n v="0"/>
    <n v="0"/>
    <n v="67.11"/>
    <n v="13.84"/>
    <n v="506.99"/>
    <n v="38.85"/>
    <n v="11630.189999999999"/>
    <n v="622.5"/>
    <n v="16.992899598393571"/>
    <n v="0.28321499330655953"/>
    <n v="10578.079999999998"/>
    <n v="0"/>
    <n v="0"/>
    <n v="0"/>
    <n v="0"/>
    <n v="0"/>
    <n v="0"/>
    <n v="825.35"/>
    <n v="243.48"/>
    <n v="0"/>
    <n v="0"/>
    <n v="-19.21"/>
    <n v="-5.67"/>
    <n v="0"/>
    <n v="8.16"/>
    <n v="0"/>
    <n v="0"/>
    <n v="1052.1099999999999"/>
    <s v="ZNLBBR70E62L781B"/>
  </r>
  <r>
    <s v="TC1"/>
    <s v="0100"/>
    <n v="4800"/>
    <s v="BORLOVAN"/>
    <s v="ALINA"/>
    <m/>
    <s v="06/02/2023"/>
    <m/>
    <n v="2449.42"/>
    <m/>
    <x v="13"/>
    <m/>
    <s v="IMPIEGATO"/>
    <m/>
    <n v="17684.55"/>
    <n v="4682.26"/>
    <n v="1000"/>
    <n v="1046.57"/>
    <n v="0"/>
    <n v="3434.53"/>
    <n v="920.45"/>
    <n v="1224.71"/>
    <n v="328.22"/>
    <n v="233.81"/>
    <n v="62.66"/>
    <n v="158.88999999999999"/>
    <n v="46.6"/>
    <n v="2.4700000000000002"/>
    <n v="84.58"/>
    <n v="29910.3"/>
    <n v="879.75"/>
    <n v="30.233350383631713"/>
    <n v="0.50388917306052849"/>
    <n v="26597.79"/>
    <n v="0"/>
    <n v="0"/>
    <n v="0"/>
    <n v="0"/>
    <n v="0"/>
    <n v="0"/>
    <n v="2474.2399999999998"/>
    <n v="663.1"/>
    <n v="0"/>
    <n v="0"/>
    <n v="117.46"/>
    <n v="31.48"/>
    <n v="0"/>
    <n v="26.23"/>
    <n v="0"/>
    <n v="0"/>
    <n v="3312.51"/>
    <s v="BRLLNA78H58Z129K"/>
  </r>
  <r>
    <s v="TC1"/>
    <s v="0100"/>
    <n v="4870"/>
    <s v="DELLEDONNE"/>
    <s v="ISABELLA"/>
    <m/>
    <s v="01/04/2023"/>
    <m/>
    <n v="1906.65"/>
    <m/>
    <x v="11"/>
    <m/>
    <s v="IMPIEGATO"/>
    <m/>
    <n v="12714.58"/>
    <n v="2161.5500000000002"/>
    <n v="0"/>
    <n v="0"/>
    <n v="0"/>
    <n v="1064.03"/>
    <n v="290.27"/>
    <n v="953.32"/>
    <n v="260.07"/>
    <n v="0"/>
    <n v="0"/>
    <n v="22.69"/>
    <n v="19.21"/>
    <n v="908.87"/>
    <n v="65.84"/>
    <n v="18460.43"/>
    <n v="788.25"/>
    <n v="22.90107199492547"/>
    <n v="0.38168453324875784"/>
    <n v="18051.77"/>
    <n v="0"/>
    <n v="0"/>
    <n v="0"/>
    <n v="0"/>
    <n v="0"/>
    <n v="0"/>
    <n v="344.56"/>
    <n v="48.96"/>
    <n v="0"/>
    <n v="0"/>
    <n v="13.26"/>
    <n v="1.88"/>
    <n v="0"/>
    <n v="0"/>
    <n v="0"/>
    <n v="0"/>
    <n v="408.66"/>
    <s v="DLLSLL93M54D611A"/>
  </r>
  <r>
    <s v="TC1"/>
    <s v="0100"/>
    <n v="4880"/>
    <s v="MOLINARI"/>
    <s v="MILENA"/>
    <m/>
    <s v="01/04/2023"/>
    <m/>
    <n v="1466.05"/>
    <m/>
    <x v="2"/>
    <m/>
    <s v="APPRENDISTA IMPIEGATO"/>
    <m/>
    <n v="9100.83"/>
    <n v="1225.6400000000001"/>
    <n v="0"/>
    <n v="0"/>
    <n v="0"/>
    <n v="1951"/>
    <n v="248.62"/>
    <n v="733.02"/>
    <n v="93.41"/>
    <n v="11.11"/>
    <n v="1.42"/>
    <n v="0"/>
    <n v="0"/>
    <n v="708.3"/>
    <n v="54.29"/>
    <n v="14127.640000000001"/>
    <n v="866"/>
    <n v="14.477678983833721"/>
    <n v="0.24129464973056203"/>
    <n v="12537.670000000002"/>
    <n v="0"/>
    <n v="0"/>
    <n v="0"/>
    <n v="0"/>
    <n v="0"/>
    <n v="0"/>
    <n v="1390.55"/>
    <n v="177.2"/>
    <n v="0"/>
    <n v="0"/>
    <n v="19.71"/>
    <n v="2.5099999999999998"/>
    <n v="0"/>
    <n v="0"/>
    <n v="0"/>
    <n v="0"/>
    <n v="1589.97"/>
    <s v="MLNMLN95H60I775R"/>
  </r>
  <r>
    <s v="TC1"/>
    <s v="0100"/>
    <n v="4930"/>
    <s v="PETRACHE"/>
    <s v="GEORGIANA"/>
    <m/>
    <s v="06/04/2023"/>
    <m/>
    <n v="8.63734"/>
    <m/>
    <x v="0"/>
    <m/>
    <s v="OPERAIO"/>
    <m/>
    <n v="8491.0499999999993"/>
    <n v="2575.35"/>
    <n v="0"/>
    <n v="0"/>
    <n v="0"/>
    <n v="423.92"/>
    <n v="125.06"/>
    <n v="712.58"/>
    <n v="210.21"/>
    <n v="12.96"/>
    <n v="3.82"/>
    <n v="83.14"/>
    <n v="10.95"/>
    <n v="636.28"/>
    <n v="49.21"/>
    <n v="13334.529999999997"/>
    <n v="750"/>
    <n v="17.169119999999996"/>
    <n v="0.28615199999999991"/>
    <n v="12876.839999999997"/>
    <n v="0"/>
    <n v="0"/>
    <n v="0"/>
    <n v="0"/>
    <n v="0"/>
    <n v="0"/>
    <n v="344.56"/>
    <n v="101.65"/>
    <n v="0"/>
    <n v="0"/>
    <n v="6.12"/>
    <n v="1.81"/>
    <n v="0"/>
    <n v="3.55"/>
    <n v="0"/>
    <n v="0"/>
    <n v="457.69000000000005"/>
    <s v="PTRGGN81S41Z129S"/>
  </r>
  <r>
    <s v="TC1"/>
    <s v="0100"/>
    <n v="5000"/>
    <s v="HOSSAIN"/>
    <s v="SHAMEM"/>
    <m/>
    <s v="21/04/2023"/>
    <m/>
    <n v="8.63734"/>
    <m/>
    <x v="1"/>
    <m/>
    <s v="OPERAIO"/>
    <m/>
    <n v="8871.01"/>
    <n v="1368.36"/>
    <n v="0"/>
    <n v="0"/>
    <n v="0"/>
    <n v="174.39"/>
    <n v="24.78"/>
    <n v="712.58"/>
    <n v="101.26"/>
    <n v="2.16"/>
    <n v="0.31"/>
    <n v="0"/>
    <n v="0"/>
    <n v="672.35"/>
    <n v="52.78"/>
    <n v="11979.980000000001"/>
    <n v="838.75"/>
    <n v="14.604137108792848"/>
    <n v="0.24340228514654746"/>
    <n v="12249.22"/>
    <n v="0"/>
    <n v="0"/>
    <n v="0"/>
    <n v="0"/>
    <n v="0"/>
    <n v="0"/>
    <n v="-239.82"/>
    <n v="-34.08"/>
    <n v="0"/>
    <n v="0"/>
    <n v="4.08"/>
    <n v="0.57999999999999996"/>
    <n v="0"/>
    <n v="0"/>
    <n v="0"/>
    <n v="0"/>
    <n v="-269.24"/>
    <s v="HSSSMM97C23Z249K"/>
  </r>
  <r>
    <s v="TC1"/>
    <s v="0100"/>
    <n v="5010"/>
    <s v="AKL"/>
    <s v="MOSTAFA EL BASSIOUNI"/>
    <m/>
    <s v="02/05/2023"/>
    <m/>
    <n v="8.2386599999999994"/>
    <m/>
    <x v="0"/>
    <m/>
    <s v="OPERAIO"/>
    <m/>
    <n v="7960.13"/>
    <n v="2617.75"/>
    <n v="0"/>
    <n v="0"/>
    <n v="0"/>
    <n v="1315.63"/>
    <n v="388.11"/>
    <n v="679.69"/>
    <n v="200.51"/>
    <n v="22.66"/>
    <n v="6.68"/>
    <n v="82.38"/>
    <n v="19.22"/>
    <n v="604.98"/>
    <n v="46.94"/>
    <n v="13944.680000000002"/>
    <n v="777"/>
    <n v="16.290965250965254"/>
    <n v="0.27151608751608758"/>
    <n v="12658.080000000002"/>
    <n v="0"/>
    <n v="0"/>
    <n v="0"/>
    <n v="0"/>
    <n v="0"/>
    <n v="0"/>
    <n v="981.73"/>
    <n v="289.61"/>
    <n v="0"/>
    <n v="0"/>
    <n v="4.08"/>
    <n v="1.2"/>
    <n v="0"/>
    <n v="9.98"/>
    <n v="0"/>
    <n v="0"/>
    <n v="1286.6000000000001"/>
    <s v="KLAMTF91M11Z336G"/>
  </r>
  <r>
    <s v="TC1"/>
    <s v="0100"/>
    <n v="5040"/>
    <s v="MEATTINI"/>
    <s v="CLARA"/>
    <m/>
    <s v="16/05/2023"/>
    <m/>
    <n v="1836.65"/>
    <m/>
    <x v="7"/>
    <m/>
    <s v="IMPIEGATO"/>
    <m/>
    <n v="12825.76"/>
    <n v="3661.52"/>
    <n v="0"/>
    <n v="0"/>
    <n v="0"/>
    <n v="3085.46"/>
    <n v="864.95"/>
    <n v="918.32"/>
    <n v="257.43"/>
    <n v="13.91"/>
    <n v="3.9"/>
    <n v="49.22"/>
    <n v="15.42"/>
    <n v="815.95999999999992"/>
    <n v="63.42"/>
    <n v="22575.269999999997"/>
    <n v="881"/>
    <n v="21.903870601589102"/>
    <n v="0.36506451002648505"/>
    <n v="19297.309999999998"/>
    <n v="0"/>
    <n v="0"/>
    <n v="0"/>
    <n v="0"/>
    <n v="0"/>
    <n v="0"/>
    <n v="2551.7399999999998"/>
    <n v="715.33"/>
    <n v="0"/>
    <n v="0"/>
    <n v="0"/>
    <n v="0"/>
    <n v="0"/>
    <n v="10.89"/>
    <n v="0"/>
    <n v="0"/>
    <n v="3277.9599999999996"/>
    <s v="MTTCLR90M50I726F"/>
  </r>
  <r>
    <s v="TC1"/>
    <s v="0100"/>
    <n v="5090"/>
    <s v="GYAMBRAH"/>
    <s v="GEORGE KIGSLEY"/>
    <m/>
    <s v="03/07/2023"/>
    <m/>
    <n v="8.1572700000000005"/>
    <m/>
    <x v="3"/>
    <m/>
    <s v="OPERAIO"/>
    <m/>
    <n v="5671.86"/>
    <n v="0"/>
    <n v="0"/>
    <n v="0"/>
    <n v="0"/>
    <n v="158.01"/>
    <n v="0"/>
    <n v="531.30999999999995"/>
    <n v="0"/>
    <n v="32.630000000000003"/>
    <n v="0"/>
    <n v="62.26"/>
    <n v="6.88"/>
    <n v="449.22999999999996"/>
    <n v="39.35"/>
    <n v="6951.5300000000007"/>
    <n v="531.5"/>
    <n v="13.660752587017875"/>
    <n v="0.22767920978363124"/>
    <n v="7260.69"/>
    <n v="0"/>
    <n v="0"/>
    <n v="0"/>
    <n v="0"/>
    <n v="0"/>
    <n v="0"/>
    <n v="-306.06"/>
    <n v="0"/>
    <n v="0"/>
    <n v="0"/>
    <n v="0"/>
    <n v="0"/>
    <n v="0"/>
    <n v="-3.1"/>
    <n v="0"/>
    <n v="0"/>
    <n v="-309.16000000000003"/>
    <s v="GYMGGK78S15Z318J"/>
  </r>
  <r>
    <s v="TC1"/>
    <s v="0100"/>
    <n v="5110"/>
    <s v="MAZZON"/>
    <s v="LEONORA"/>
    <m/>
    <s v="17/07/2023"/>
    <m/>
    <n v="2275.2600000000002"/>
    <m/>
    <x v="6"/>
    <m/>
    <s v="IMPIEGATO"/>
    <m/>
    <n v="14556.27"/>
    <n v="4111.1900000000005"/>
    <n v="0"/>
    <n v="0"/>
    <n v="0"/>
    <n v="2082.48"/>
    <n v="583.78"/>
    <n v="1137.6300000000001"/>
    <n v="318.91000000000003"/>
    <n v="0"/>
    <n v="0"/>
    <n v="69.05"/>
    <n v="15.4"/>
    <n v="1026.6300000000001"/>
    <n v="78.569999999999993"/>
    <n v="23979.91"/>
    <n v="692.75"/>
    <n v="30.402887044388304"/>
    <n v="0.50671478407313841"/>
    <n v="21061.599999999999"/>
    <n v="0"/>
    <n v="0"/>
    <n v="0"/>
    <n v="0"/>
    <n v="0"/>
    <n v="0"/>
    <n v="2029.53"/>
    <n v="568.94000000000005"/>
    <n v="0"/>
    <n v="0"/>
    <n v="241.32"/>
    <n v="67.650000000000006"/>
    <n v="0"/>
    <n v="10.87"/>
    <n v="0"/>
    <n v="0"/>
    <n v="2918.3100000000004"/>
    <s v="MZZLNR92P63L736R"/>
  </r>
  <r>
    <s v="TC1"/>
    <s v="0100"/>
    <n v="5170"/>
    <s v="CHIARINI"/>
    <s v="LORENZA"/>
    <m/>
    <s v="02/11/2023"/>
    <m/>
    <n v="8.1572700000000005"/>
    <m/>
    <x v="0"/>
    <m/>
    <s v="OPERAIO"/>
    <m/>
    <n v="6467.01"/>
    <n v="-907.2"/>
    <n v="0"/>
    <n v="0"/>
    <n v="0"/>
    <n v="-220.57"/>
    <n v="0"/>
    <n v="560.80999999999995"/>
    <n v="0"/>
    <n v="0"/>
    <n v="0"/>
    <n v="61.59"/>
    <n v="3.24"/>
    <n v="503.71"/>
    <n v="41.54"/>
    <n v="6510.130000000001"/>
    <n v="561.25"/>
    <n v="12.094699331848554"/>
    <n v="0.2015783221974759"/>
    <n v="6788.1500000000015"/>
    <n v="0"/>
    <n v="0"/>
    <n v="0"/>
    <n v="0"/>
    <n v="0"/>
    <n v="0"/>
    <n v="-275.23"/>
    <n v="0"/>
    <n v="0"/>
    <n v="0"/>
    <n v="0"/>
    <n v="0"/>
    <n v="0"/>
    <n v="-2.79"/>
    <n v="0"/>
    <n v="0"/>
    <n v="-278.02000000000004"/>
    <s v="CHRLNZ63A54L219R"/>
  </r>
  <r>
    <s v="TC1"/>
    <s v="0100"/>
    <n v="5250"/>
    <s v="GHAFOOR"/>
    <s v="HAROON"/>
    <m/>
    <s v="22/11/2023"/>
    <m/>
    <n v="9.8887300000000007"/>
    <m/>
    <x v="0"/>
    <m/>
    <s v="OPERAIO"/>
    <m/>
    <n v="9850.1"/>
    <n v="1356.49"/>
    <n v="0"/>
    <n v="0"/>
    <n v="0"/>
    <n v="563.26"/>
    <n v="154.9"/>
    <n v="815.82"/>
    <n v="224.35"/>
    <n v="22.25"/>
    <n v="6.12"/>
    <n v="0"/>
    <n v="0"/>
    <n v="715.2"/>
    <n v="56.35"/>
    <n v="13764.840000000002"/>
    <n v="864.75"/>
    <n v="15.628308759757157"/>
    <n v="0.26047181266261926"/>
    <n v="13514.580000000002"/>
    <n v="0"/>
    <n v="0"/>
    <n v="0"/>
    <n v="0"/>
    <n v="0"/>
    <n v="0"/>
    <n v="220.9"/>
    <n v="26.97"/>
    <n v="0"/>
    <n v="0"/>
    <n v="2.13"/>
    <n v="0.26"/>
    <n v="0"/>
    <n v="0"/>
    <n v="0"/>
    <n v="0"/>
    <n v="250.26"/>
    <s v="GHFHRN00S10Z236W"/>
  </r>
  <r>
    <s v="TC1"/>
    <s v="0100"/>
    <n v="5290"/>
    <s v="SPANACHI"/>
    <s v="ALINA ANDREEA"/>
    <m/>
    <s v="01/12/2023"/>
    <m/>
    <n v="8.1572700000000005"/>
    <m/>
    <x v="3"/>
    <m/>
    <s v="OPERAIO"/>
    <m/>
    <n v="6104.28"/>
    <n v="67.099999999999994"/>
    <n v="0"/>
    <n v="0"/>
    <n v="0"/>
    <n v="396.85"/>
    <n v="0"/>
    <n v="531.30999999999995"/>
    <n v="0"/>
    <n v="63.22"/>
    <n v="0"/>
    <n v="68.349999999999994"/>
    <n v="9.44"/>
    <n v="503.46"/>
    <n v="39.35"/>
    <n v="7783.3600000000015"/>
    <n v="545.5"/>
    <n v="14.139761686526127"/>
    <n v="0.23566269477543544"/>
    <n v="7713.2400000000016"/>
    <n v="0"/>
    <n v="0"/>
    <n v="0"/>
    <n v="0"/>
    <n v="0"/>
    <n v="0"/>
    <n v="40.869999999999997"/>
    <n v="0"/>
    <n v="0"/>
    <n v="0"/>
    <n v="28.55"/>
    <n v="0"/>
    <n v="0"/>
    <n v="0.7"/>
    <n v="0"/>
    <n v="0"/>
    <n v="70.12"/>
    <s v="SPNLND86D59Z129F"/>
  </r>
  <r>
    <s v="TC1"/>
    <s v="0100"/>
    <n v="5300"/>
    <s v="CHARFI"/>
    <s v="BOUCHRA"/>
    <m/>
    <s v="02/11/2023"/>
    <m/>
    <n v="8.1572700000000005"/>
    <m/>
    <x v="3"/>
    <m/>
    <s v="OPERAIO"/>
    <m/>
    <n v="6691.22"/>
    <n v="2107.4899999999998"/>
    <n v="0"/>
    <n v="0"/>
    <n v="0"/>
    <n v="29.37"/>
    <n v="8.66"/>
    <n v="672.97"/>
    <n v="198.53"/>
    <n v="34.67"/>
    <n v="10.23"/>
    <n v="68.02"/>
    <n v="7.02"/>
    <n v="597.93999999999994"/>
    <n v="46.47"/>
    <n v="10472.59"/>
    <n v="627.5"/>
    <n v="17.930772908366531"/>
    <n v="0.29884621513944221"/>
    <n v="11251.56"/>
    <n v="0"/>
    <n v="0"/>
    <n v="0"/>
    <n v="0"/>
    <n v="0"/>
    <n v="0"/>
    <n v="-601.52"/>
    <n v="-177.45"/>
    <n v="0"/>
    <n v="0"/>
    <n v="0"/>
    <n v="0"/>
    <n v="0"/>
    <n v="0"/>
    <n v="0"/>
    <n v="0"/>
    <n v="-778.97"/>
    <s v="CHRBHR77L57Z330L"/>
  </r>
  <r>
    <s v="TC1"/>
    <s v="0100"/>
    <n v="5320"/>
    <s v="FERREIRA"/>
    <s v="EDLAINE"/>
    <s v="**"/>
    <s v="01/12/2023"/>
    <s v="13/02/2025"/>
    <n v="1345.95"/>
    <m/>
    <x v="8"/>
    <m/>
    <s v="OPERAIO"/>
    <m/>
    <n v="1196.5899999999999"/>
    <n v="760"/>
    <n v="0"/>
    <n v="0"/>
    <n v="0"/>
    <n v="0"/>
    <n v="0"/>
    <n v="0"/>
    <n v="0"/>
    <n v="0"/>
    <n v="0"/>
    <n v="12.88"/>
    <n v="0"/>
    <n v="67.78"/>
    <n v="0"/>
    <n v="2037.25"/>
    <n v="63"/>
    <n v="40.508412698412691"/>
    <n v="0.67514021164021154"/>
    <n v="2552.0299999999997"/>
    <n v="0"/>
    <n v="0"/>
    <n v="0"/>
    <n v="0"/>
    <n v="0"/>
    <n v="0"/>
    <n v="-507.3"/>
    <n v="-7.48"/>
    <n v="0"/>
    <n v="0"/>
    <n v="0"/>
    <n v="0"/>
    <n v="0"/>
    <n v="0"/>
    <n v="0"/>
    <n v="0"/>
    <n v="-514.78"/>
    <s v="FRRDLN86C57Z602Z"/>
  </r>
  <r>
    <s v="TC1"/>
    <s v="0100"/>
    <n v="5330"/>
    <s v="PATRIGNANI"/>
    <s v="LEA"/>
    <m/>
    <s v="16/01/2024"/>
    <m/>
    <n v="1515.09"/>
    <m/>
    <x v="6"/>
    <m/>
    <s v="APPRENDISTA IMPIEGATO"/>
    <s v="\"/>
    <n v="10167.67"/>
    <n v="1280.7"/>
    <n v="0"/>
    <n v="0"/>
    <n v="0"/>
    <n v="1728.76"/>
    <n v="220.3"/>
    <n v="757.54"/>
    <n v="96.53"/>
    <n v="52.8"/>
    <n v="6.73"/>
    <n v="0"/>
    <n v="0"/>
    <n v="720.99"/>
    <n v="56.11"/>
    <n v="15088.13"/>
    <n v="863.75"/>
    <n v="16.337736613603475"/>
    <n v="0.2722956102267246"/>
    <n v="14111.72"/>
    <n v="0"/>
    <n v="0"/>
    <n v="0"/>
    <n v="0"/>
    <n v="0"/>
    <n v="0"/>
    <n v="866.05"/>
    <n v="110.36"/>
    <n v="0"/>
    <n v="0"/>
    <n v="0"/>
    <n v="0"/>
    <n v="0"/>
    <n v="0"/>
    <n v="0"/>
    <n v="0"/>
    <n v="976.41"/>
    <s v="PTRLEA97D52C357W"/>
  </r>
  <r>
    <s v="TC1"/>
    <s v="0100"/>
    <n v="5340"/>
    <s v="LIVIERO"/>
    <s v="MARTINA"/>
    <m/>
    <s v="22/01/2024"/>
    <m/>
    <n v="3192.21"/>
    <m/>
    <x v="4"/>
    <m/>
    <s v="QUADRO"/>
    <m/>
    <n v="23556.31"/>
    <n v="6251.7"/>
    <n v="1000"/>
    <n v="1365.62"/>
    <n v="0"/>
    <n v="2261.25"/>
    <n v="623.04"/>
    <n v="1596.11"/>
    <n v="439.78"/>
    <n v="0"/>
    <n v="0"/>
    <n v="86.16"/>
    <n v="14.81"/>
    <n v="16.45"/>
    <n v="110.24"/>
    <n v="36321.47"/>
    <n v="863.75"/>
    <n v="39.506535455861076"/>
    <n v="0.6584422575976846"/>
    <n v="34123.770000000004"/>
    <n v="0"/>
    <n v="0"/>
    <n v="0"/>
    <n v="0"/>
    <n v="0"/>
    <n v="0"/>
    <n v="1717.8"/>
    <n v="473.31"/>
    <n v="0"/>
    <n v="0"/>
    <n v="0"/>
    <n v="0"/>
    <n v="0"/>
    <n v="6.59"/>
    <n v="0"/>
    <n v="0"/>
    <n v="2197.7000000000003"/>
    <s v="LVRMTN92M51D442J"/>
  </r>
  <r>
    <s v="TC1"/>
    <s v="0100"/>
    <n v="5350"/>
    <s v="GUARNIERI"/>
    <s v="ANNALISA"/>
    <m/>
    <s v="24/01/2024"/>
    <m/>
    <n v="1345.95"/>
    <m/>
    <x v="8"/>
    <m/>
    <s v="OPERAIO"/>
    <m/>
    <n v="7748.46"/>
    <n v="136.19999999999999"/>
    <n v="0"/>
    <n v="0"/>
    <n v="0"/>
    <n v="652.16999999999996"/>
    <n v="9.6199999999999992"/>
    <n v="619.88"/>
    <n v="9.14"/>
    <n v="0"/>
    <n v="0"/>
    <n v="77.849999999999994"/>
    <n v="12.12"/>
    <n v="588.12"/>
    <n v="45.78"/>
    <n v="9899.340000000002"/>
    <n v="813"/>
    <n v="11.938413284132844"/>
    <n v="0.1989735547355474"/>
    <n v="9705.9300000000021"/>
    <n v="0"/>
    <n v="0"/>
    <n v="0"/>
    <n v="0"/>
    <n v="0"/>
    <n v="0"/>
    <n v="190.47"/>
    <n v="2.94"/>
    <n v="0"/>
    <n v="0"/>
    <n v="0"/>
    <n v="0"/>
    <n v="0"/>
    <n v="0"/>
    <n v="0"/>
    <n v="0"/>
    <n v="193.41"/>
    <s v="GRNNLS94H54A059O"/>
  </r>
  <r>
    <s v="TC1"/>
    <s v="0100"/>
    <n v="5370"/>
    <s v="AGHAHOWA"/>
    <s v="STELLA"/>
    <m/>
    <s v="01/02/2024"/>
    <m/>
    <n v="8.1572700000000005"/>
    <m/>
    <x v="3"/>
    <m/>
    <s v="OPERAIO"/>
    <m/>
    <n v="3957.75"/>
    <n v="0"/>
    <n v="0"/>
    <n v="0"/>
    <n v="0"/>
    <n v="450.85"/>
    <n v="0"/>
    <n v="371.89"/>
    <n v="0"/>
    <n v="59.14"/>
    <n v="0"/>
    <n v="42.73"/>
    <n v="8.4"/>
    <n v="351.07"/>
    <n v="27.54"/>
    <n v="5269.37"/>
    <n v="385.5"/>
    <n v="13.008249027237355"/>
    <n v="0.2168041504539559"/>
    <n v="5014.68"/>
    <n v="0"/>
    <n v="0"/>
    <n v="0"/>
    <n v="0"/>
    <n v="0"/>
    <n v="0"/>
    <n v="252.14"/>
    <n v="0"/>
    <n v="0"/>
    <n v="0"/>
    <n v="0"/>
    <n v="0"/>
    <n v="0"/>
    <n v="2.5499999999999998"/>
    <n v="0"/>
    <n v="0"/>
    <n v="254.69"/>
    <s v="GHHSLL76H50Z335K"/>
  </r>
  <r>
    <s v="TC1"/>
    <s v="0100"/>
    <n v="5400"/>
    <s v="MARANGONI"/>
    <s v="ALESSANDRO"/>
    <m/>
    <s v="12/02/2024"/>
    <m/>
    <n v="7.3415400000000002"/>
    <m/>
    <x v="0"/>
    <m/>
    <s v="APPRENDISTA OPERAIO"/>
    <m/>
    <n v="7392.48"/>
    <n v="1116.3900000000001"/>
    <n v="0"/>
    <n v="0"/>
    <n v="0"/>
    <n v="483.81"/>
    <n v="68.75"/>
    <n v="597.67999999999995"/>
    <n v="84.93"/>
    <n v="0"/>
    <n v="0"/>
    <n v="0"/>
    <n v="0"/>
    <n v="563.44999999999993"/>
    <n v="44.27"/>
    <n v="10351.76"/>
    <n v="795.75"/>
    <n v="12.950122525918944"/>
    <n v="0.21583537543198242"/>
    <n v="10305.06"/>
    <n v="0"/>
    <n v="0"/>
    <n v="0"/>
    <n v="0"/>
    <n v="0"/>
    <n v="0"/>
    <n v="40.89"/>
    <n v="5.81"/>
    <n v="0"/>
    <n v="0"/>
    <n v="0"/>
    <n v="0"/>
    <n v="0"/>
    <n v="0"/>
    <n v="0"/>
    <n v="0"/>
    <n v="46.7"/>
    <s v="MRNLSN01C20L781H"/>
  </r>
  <r>
    <s v="TC1"/>
    <s v="0100"/>
    <n v="5410"/>
    <s v="QASIM"/>
    <s v="MUHAMMAD"/>
    <m/>
    <s v="12/02/2024"/>
    <m/>
    <n v="9.8887300000000007"/>
    <m/>
    <x v="0"/>
    <m/>
    <s v="OPERAIO"/>
    <m/>
    <n v="9664.14"/>
    <n v="1466.57"/>
    <n v="0"/>
    <n v="0"/>
    <n v="0"/>
    <n v="1707.09"/>
    <n v="242.58"/>
    <n v="815.82"/>
    <n v="115.93"/>
    <n v="42.03"/>
    <n v="5.97"/>
    <n v="0"/>
    <n v="0"/>
    <n v="722.19"/>
    <n v="60.43"/>
    <n v="14842.75"/>
    <n v="915.75"/>
    <n v="15.262757302757304"/>
    <n v="0.25437928837928842"/>
    <n v="13976.87"/>
    <n v="0"/>
    <n v="0"/>
    <n v="0"/>
    <n v="0"/>
    <n v="0"/>
    <n v="0"/>
    <n v="762.42"/>
    <n v="108.34"/>
    <n v="0"/>
    <n v="0"/>
    <n v="-4.2699999999999996"/>
    <n v="-0.61"/>
    <n v="0"/>
    <n v="0"/>
    <n v="0"/>
    <n v="0"/>
    <n v="865.88"/>
    <s v="QSMMMM04P22Z236R"/>
  </r>
  <r>
    <s v="TC1"/>
    <s v="0100"/>
    <n v="5420"/>
    <s v="CERPELLONI"/>
    <s v="ANNA"/>
    <m/>
    <s v="19/02/2024"/>
    <m/>
    <n v="8.1572700000000005"/>
    <m/>
    <x v="0"/>
    <m/>
    <s v="OPERAIO"/>
    <m/>
    <n v="3043.3"/>
    <n v="0"/>
    <n v="0"/>
    <n v="0"/>
    <n v="0"/>
    <n v="352.48"/>
    <n v="0"/>
    <n v="371.89"/>
    <n v="0"/>
    <n v="2.04"/>
    <n v="0"/>
    <n v="46.73"/>
    <n v="6.92"/>
    <n v="350.26"/>
    <n v="27.54"/>
    <n v="4201.16"/>
    <n v="167.25"/>
    <n v="24.929327354260092"/>
    <n v="0.41548878923766819"/>
    <n v="4169.43"/>
    <n v="0"/>
    <n v="0"/>
    <n v="0"/>
    <n v="0"/>
    <n v="0"/>
    <n v="0"/>
    <n v="29.37"/>
    <n v="0"/>
    <n v="0"/>
    <n v="0"/>
    <n v="2.04"/>
    <n v="0"/>
    <n v="0"/>
    <n v="0.32"/>
    <n v="0"/>
    <n v="0"/>
    <n v="31.73"/>
    <s v="CRPNNA90R42L781C"/>
  </r>
  <r>
    <s v="TC1"/>
    <s v="0100"/>
    <n v="5430"/>
    <s v="OWOLABI"/>
    <s v="FELIX"/>
    <m/>
    <s v="21/02/2024"/>
    <m/>
    <n v="1345.95"/>
    <m/>
    <x v="8"/>
    <m/>
    <s v="OPERAIO"/>
    <m/>
    <n v="6857.44"/>
    <n v="118"/>
    <n v="0"/>
    <n v="0"/>
    <n v="0"/>
    <n v="-343.83"/>
    <n v="-5.07"/>
    <n v="619.88"/>
    <n v="9.14"/>
    <n v="8.16"/>
    <n v="0.12"/>
    <n v="69.930000000000007"/>
    <n v="2.71"/>
    <n v="530.87"/>
    <n v="45.78"/>
    <n v="7913.13"/>
    <n v="659.75"/>
    <n v="13.174323607427056"/>
    <n v="0.21957206012378425"/>
    <n v="8691.76"/>
    <n v="0"/>
    <n v="0"/>
    <n v="0"/>
    <n v="0"/>
    <n v="0"/>
    <n v="0"/>
    <n v="-766.78"/>
    <n v="-11.85"/>
    <n v="0"/>
    <n v="0"/>
    <n v="0"/>
    <n v="0"/>
    <n v="0"/>
    <n v="0"/>
    <n v="0"/>
    <n v="0"/>
    <n v="-778.63"/>
    <s v="WLBFLX95S30Z335Z"/>
  </r>
  <r>
    <s v="TC1"/>
    <s v="0100"/>
    <n v="5440"/>
    <s v="EKAIRIA"/>
    <s v="FAITH"/>
    <s v="**"/>
    <s v="12/02/2024"/>
    <s v="11/02/2025"/>
    <n v="1345.95"/>
    <m/>
    <x v="8"/>
    <m/>
    <s v="OPERAIO"/>
    <m/>
    <n v="1818.13"/>
    <n v="27.4"/>
    <n v="0"/>
    <n v="0"/>
    <n v="0"/>
    <n v="0"/>
    <n v="0"/>
    <n v="0"/>
    <n v="0"/>
    <n v="0"/>
    <n v="0"/>
    <n v="12.66"/>
    <n v="0"/>
    <n v="70.86"/>
    <n v="0"/>
    <n v="1929.0500000000002"/>
    <n v="126"/>
    <n v="12.130634920634924"/>
    <n v="0.20217724867724873"/>
    <n v="1528.4600000000003"/>
    <n v="0"/>
    <n v="0"/>
    <n v="0"/>
    <n v="0"/>
    <n v="0"/>
    <n v="0"/>
    <n v="394.4"/>
    <n v="6.19"/>
    <n v="0"/>
    <n v="0"/>
    <n v="0"/>
    <n v="0"/>
    <n v="0"/>
    <n v="0"/>
    <n v="0"/>
    <n v="0"/>
    <n v="400.59"/>
    <s v="KREFTH81D69Z335A"/>
  </r>
  <r>
    <s v="TC1"/>
    <s v="0100"/>
    <n v="5460"/>
    <s v="FURLAN"/>
    <s v="LUANA"/>
    <s v="**"/>
    <s v="18/03/2024"/>
    <s v="17/03/2025"/>
    <n v="1345.95"/>
    <m/>
    <x v="8"/>
    <m/>
    <s v="OPERAIO"/>
    <m/>
    <n v="0"/>
    <n v="0"/>
    <n v="0"/>
    <n v="0"/>
    <n v="0"/>
    <n v="-447.83"/>
    <n v="-6.92"/>
    <n v="0"/>
    <n v="0"/>
    <n v="0"/>
    <n v="0"/>
    <n v="0"/>
    <n v="-4.26"/>
    <n v="6.5"/>
    <n v="0"/>
    <n v="-452.51"/>
    <n v="0"/>
    <n v="0"/>
    <n v="0"/>
    <n v="2.2400000000000091"/>
    <n v="0"/>
    <n v="0"/>
    <n v="0"/>
    <n v="0"/>
    <n v="0"/>
    <n v="0"/>
    <n v="-447.83"/>
    <n v="-6.92"/>
    <n v="0"/>
    <n v="0"/>
    <n v="0"/>
    <n v="0"/>
    <n v="0"/>
    <n v="0"/>
    <n v="0"/>
    <n v="0"/>
    <n v="-454.75"/>
    <s v="FRLLNU86S62L407O"/>
  </r>
  <r>
    <s v="TC1"/>
    <s v="0100"/>
    <n v="5470"/>
    <s v="SHAFEEQ"/>
    <s v="AHMED"/>
    <m/>
    <s v="02/04/2024"/>
    <m/>
    <n v="9.8887300000000007"/>
    <m/>
    <x v="0"/>
    <m/>
    <s v="OPERAIO"/>
    <m/>
    <n v="8654.7900000000009"/>
    <n v="1336.54"/>
    <n v="0"/>
    <n v="0"/>
    <n v="0"/>
    <n v="-557.72"/>
    <n v="-79.25"/>
    <n v="815.82"/>
    <n v="115.93"/>
    <n v="19.78"/>
    <n v="2.81"/>
    <n v="0"/>
    <n v="0"/>
    <n v="649.86"/>
    <n v="60.43"/>
    <n v="11018.990000000003"/>
    <n v="673.75"/>
    <n v="16.774337662337665"/>
    <n v="0.27957229437229442"/>
    <n v="11301.710000000003"/>
    <n v="0"/>
    <n v="0"/>
    <n v="0"/>
    <n v="0"/>
    <n v="0"/>
    <n v="0"/>
    <n v="-247.54"/>
    <n v="-35.18"/>
    <n v="0"/>
    <n v="0"/>
    <n v="0"/>
    <n v="0"/>
    <n v="0"/>
    <n v="0"/>
    <n v="0"/>
    <n v="0"/>
    <n v="-282.71999999999997"/>
    <s v="SHFHMD98A01Z236I"/>
  </r>
  <r>
    <s v="TC1"/>
    <s v="0100"/>
    <n v="5480"/>
    <s v="CABIANCA"/>
    <s v="ALESSIA"/>
    <s v="**"/>
    <s v="15/04/2024"/>
    <s v="28/02/2025"/>
    <n v="8.5387299999999993"/>
    <m/>
    <x v="4"/>
    <m/>
    <s v="IMPIEGATO"/>
    <m/>
    <n v="2145.02"/>
    <n v="631.34"/>
    <n v="0"/>
    <n v="0"/>
    <n v="0"/>
    <n v="0"/>
    <n v="0"/>
    <n v="0"/>
    <n v="0"/>
    <n v="0"/>
    <n v="0"/>
    <n v="10.69"/>
    <n v="0"/>
    <n v="108.89"/>
    <n v="0"/>
    <n v="2895.94"/>
    <n v="136.5"/>
    <n v="18.382783882783883"/>
    <n v="0.3063797313797314"/>
    <n v="2509.25"/>
    <n v="0"/>
    <n v="0"/>
    <n v="0"/>
    <n v="0"/>
    <n v="0"/>
    <n v="0"/>
    <n v="297.14999999999998"/>
    <n v="87.46"/>
    <n v="0"/>
    <n v="0"/>
    <n v="0"/>
    <n v="0"/>
    <n v="0"/>
    <n v="2.08"/>
    <n v="0"/>
    <n v="0"/>
    <n v="386.68999999999994"/>
    <s v="CBNLSS95A56L781U"/>
  </r>
  <r>
    <s v="TC1"/>
    <s v="0100"/>
    <n v="5510"/>
    <s v="LUPU"/>
    <s v="GIANINA LACRAMIOARA"/>
    <m/>
    <s v="02/05/2024"/>
    <m/>
    <n v="8.1572700000000005"/>
    <m/>
    <x v="0"/>
    <m/>
    <s v="OPERAIO"/>
    <m/>
    <n v="6624.6"/>
    <n v="0"/>
    <n v="0"/>
    <n v="0"/>
    <n v="0"/>
    <n v="-71.459999999999994"/>
    <n v="0"/>
    <n v="540.13"/>
    <n v="0"/>
    <n v="28.55"/>
    <n v="0"/>
    <n v="67.86"/>
    <n v="4.74"/>
    <n v="501.19"/>
    <n v="40"/>
    <n v="7735.61"/>
    <n v="662.5"/>
    <n v="12.052241509433962"/>
    <n v="0.20087069182389936"/>
    <n v="7984.61"/>
    <n v="0"/>
    <n v="0"/>
    <n v="0"/>
    <n v="0"/>
    <n v="0"/>
    <n v="0"/>
    <n v="-246.51"/>
    <n v="0"/>
    <n v="0"/>
    <n v="0"/>
    <n v="0"/>
    <n v="0"/>
    <n v="0"/>
    <n v="-2.4900000000000002"/>
    <n v="0"/>
    <n v="0"/>
    <n v="-249"/>
    <s v="LPUGNL80B48Z129G"/>
  </r>
  <r>
    <s v="TC1"/>
    <s v="0100"/>
    <n v="5520"/>
    <s v="RAMPONI"/>
    <s v="ALESSANDRO"/>
    <m/>
    <s v="02/05/2024"/>
    <m/>
    <n v="3499.96"/>
    <m/>
    <x v="2"/>
    <m/>
    <s v="QUADRO"/>
    <m/>
    <n v="23424.75"/>
    <n v="6231.94"/>
    <n v="0"/>
    <n v="0"/>
    <n v="0"/>
    <n v="36.270000000000003"/>
    <n v="9.89"/>
    <n v="1749.98"/>
    <n v="477.39"/>
    <n v="0"/>
    <n v="0"/>
    <n v="233.94"/>
    <n v="17.010000000000002"/>
    <n v="1528.96"/>
    <n v="120.87"/>
    <n v="33831"/>
    <n v="846.5"/>
    <n v="41.009935026580038"/>
    <n v="0.68349891710966726"/>
    <n v="34714.910000000003"/>
    <n v="0"/>
    <n v="0"/>
    <n v="0"/>
    <n v="0"/>
    <n v="0"/>
    <n v="0"/>
    <n v="-681.54"/>
    <n v="-195.47"/>
    <n v="0"/>
    <n v="0"/>
    <n v="0"/>
    <n v="0"/>
    <n v="0"/>
    <n v="-6.9"/>
    <n v="0"/>
    <n v="0"/>
    <n v="-883.91"/>
    <s v="RMPLSN70R24H294V"/>
  </r>
  <r>
    <s v="TC1"/>
    <s v="0100"/>
    <n v="5530"/>
    <s v="CAMARA"/>
    <s v="MARIZA"/>
    <m/>
    <s v="13/05/2024"/>
    <m/>
    <n v="9.7332699999999992"/>
    <m/>
    <x v="12"/>
    <m/>
    <s v="OPERAIO"/>
    <m/>
    <n v="9944.99"/>
    <n v="2788.55"/>
    <n v="0"/>
    <n v="0"/>
    <n v="0"/>
    <n v="-78.260000000000005"/>
    <n v="-23.09"/>
    <n v="802.99"/>
    <n v="236.88"/>
    <n v="4.87"/>
    <n v="1.44"/>
    <n v="94.78"/>
    <n v="6.95"/>
    <n v="701.5"/>
    <n v="55.46"/>
    <n v="14537.060000000001"/>
    <n v="820.5"/>
    <n v="17.963168799512495"/>
    <n v="0.29938614665854157"/>
    <n v="14738.78"/>
    <n v="0"/>
    <n v="0"/>
    <n v="0"/>
    <n v="0"/>
    <n v="0"/>
    <n v="0"/>
    <n v="-154.56"/>
    <n v="-45.6"/>
    <n v="0"/>
    <n v="0"/>
    <n v="0"/>
    <n v="0"/>
    <n v="0"/>
    <n v="-1.56"/>
    <n v="0"/>
    <n v="0"/>
    <n v="-201.72"/>
    <s v="CMRMRZ70D70Z602R"/>
  </r>
  <r>
    <s v="TC1"/>
    <s v="0100"/>
    <n v="5550"/>
    <s v="ALI"/>
    <s v="ZEESHAN"/>
    <m/>
    <s v="03/06/2024"/>
    <m/>
    <n v="9.8887300000000007"/>
    <m/>
    <x v="0"/>
    <m/>
    <s v="OPERAIO"/>
    <m/>
    <n v="9577.8700000000008"/>
    <n v="1440.15"/>
    <n v="0"/>
    <n v="0"/>
    <n v="0"/>
    <n v="-325.64"/>
    <n v="-46.27"/>
    <n v="815.82"/>
    <n v="115.93"/>
    <n v="14.83"/>
    <n v="2.11"/>
    <n v="0"/>
    <n v="0"/>
    <n v="698.94"/>
    <n v="60.43"/>
    <n v="12354.170000000002"/>
    <n v="783.5"/>
    <n v="16.289189534141673"/>
    <n v="0.27148649223569454"/>
    <n v="12762.580000000002"/>
    <n v="0"/>
    <n v="0"/>
    <n v="0"/>
    <n v="0"/>
    <n v="0"/>
    <n v="0"/>
    <n v="-357.6"/>
    <n v="-50.81"/>
    <n v="0"/>
    <n v="0"/>
    <n v="0"/>
    <n v="0"/>
    <n v="0"/>
    <n v="0"/>
    <n v="0"/>
    <n v="0"/>
    <n v="-408.41"/>
    <s v="LAIZHN94T12Z236P"/>
  </r>
  <r>
    <s v="TC1"/>
    <s v="0100"/>
    <n v="5570"/>
    <s v="VENERI"/>
    <s v="PAOLA"/>
    <m/>
    <s v="12/06/2024"/>
    <m/>
    <n v="8.1572700000000005"/>
    <m/>
    <x v="0"/>
    <m/>
    <s v="OPERAIO"/>
    <m/>
    <n v="6921.85"/>
    <n v="0"/>
    <n v="0"/>
    <n v="0"/>
    <n v="0"/>
    <n v="175.95"/>
    <n v="0"/>
    <n v="672.97"/>
    <n v="0"/>
    <n v="34.67"/>
    <n v="0"/>
    <n v="65.92"/>
    <n v="8.41"/>
    <n v="628.72"/>
    <n v="49.84"/>
    <n v="8558.33"/>
    <n v="706.5"/>
    <n v="12.618358103326257"/>
    <n v="0.21030596838877094"/>
    <n v="8914.8700000000008"/>
    <n v="0"/>
    <n v="0"/>
    <n v="0"/>
    <n v="0"/>
    <n v="0"/>
    <n v="0"/>
    <n v="-352.97"/>
    <n v="0"/>
    <n v="0"/>
    <n v="0"/>
    <n v="0"/>
    <n v="0"/>
    <n v="0"/>
    <n v="-3.57"/>
    <n v="0"/>
    <n v="0"/>
    <n v="-356.54"/>
    <s v="VNRPLA63R53F861O"/>
  </r>
  <r>
    <s v="TC1"/>
    <s v="0100"/>
    <n v="5580"/>
    <s v="SAMAKE"/>
    <s v="SOULEYMANE"/>
    <m/>
    <s v="12/06/2024"/>
    <m/>
    <n v="8.1572700000000005"/>
    <m/>
    <x v="3"/>
    <m/>
    <s v="OPERAIO"/>
    <m/>
    <n v="7785.29"/>
    <n v="0"/>
    <n v="0"/>
    <n v="0"/>
    <n v="0"/>
    <n v="172.61"/>
    <n v="0"/>
    <n v="628.69000000000005"/>
    <n v="0"/>
    <n v="32.630000000000003"/>
    <n v="0"/>
    <n v="80.67"/>
    <n v="7.94"/>
    <n v="587.35"/>
    <n v="46.56"/>
    <n v="9341.74"/>
    <n v="719"/>
    <n v="12.835229485396384"/>
    <n v="0.21392049142327307"/>
    <n v="9228.5300000000007"/>
    <n v="0"/>
    <n v="0"/>
    <n v="0"/>
    <n v="0"/>
    <n v="0"/>
    <n v="0"/>
    <n v="112.08"/>
    <n v="0"/>
    <n v="0"/>
    <n v="0"/>
    <n v="0"/>
    <n v="0"/>
    <n v="0"/>
    <n v="1.1299999999999999"/>
    <n v="0"/>
    <n v="0"/>
    <n v="113.21"/>
    <s v="SMKSYM93A01Z329E"/>
  </r>
  <r>
    <s v="TC1"/>
    <s v="0100"/>
    <n v="5590"/>
    <s v="BULAT"/>
    <s v="MARIA"/>
    <s v="**"/>
    <s v="01/05/2024"/>
    <s v="31/03/2025"/>
    <n v="8.5387299999999993"/>
    <m/>
    <x v="4"/>
    <m/>
    <s v="IMPIEGATO"/>
    <m/>
    <n v="4746.45"/>
    <n v="1412.49"/>
    <n v="0"/>
    <n v="0"/>
    <n v="0"/>
    <n v="0"/>
    <n v="0"/>
    <n v="0"/>
    <n v="0"/>
    <n v="0"/>
    <n v="0"/>
    <n v="23.06"/>
    <n v="0"/>
    <n v="259.75"/>
    <n v="0"/>
    <n v="6441.75"/>
    <n v="329"/>
    <n v="16.825866261398176"/>
    <n v="0.28043110435663626"/>
    <n v="5535.71"/>
    <n v="0"/>
    <n v="0"/>
    <n v="0"/>
    <n v="0"/>
    <n v="0"/>
    <n v="0"/>
    <n v="700.01"/>
    <n v="206.03"/>
    <n v="0"/>
    <n v="0"/>
    <n v="0"/>
    <n v="0"/>
    <n v="0"/>
    <n v="0"/>
    <n v="0"/>
    <n v="0"/>
    <n v="906.04"/>
    <s v="BLTMRA82B64Z140H"/>
  </r>
  <r>
    <s v="TC1"/>
    <s v="0100"/>
    <n v="5600"/>
    <s v="AL RAIMI"/>
    <s v="AMEEN MOHAMMED"/>
    <m/>
    <s v="01/07/2024"/>
    <m/>
    <n v="8.1572700000000005"/>
    <m/>
    <x v="3"/>
    <m/>
    <s v="OPERAIO"/>
    <m/>
    <n v="8312.26"/>
    <n v="0"/>
    <n v="0"/>
    <n v="0"/>
    <n v="0"/>
    <n v="-155.56"/>
    <n v="0"/>
    <n v="672.97"/>
    <n v="0"/>
    <n v="16.309999999999999"/>
    <n v="0"/>
    <n v="79.150000000000006"/>
    <n v="5.08"/>
    <n v="625.59"/>
    <n v="49.84"/>
    <n v="9605.64"/>
    <n v="832.5"/>
    <n v="11.925897897897897"/>
    <n v="0.19876496496496496"/>
    <n v="9928.31"/>
    <n v="0"/>
    <n v="0"/>
    <n v="0"/>
    <n v="0"/>
    <n v="0"/>
    <n v="0"/>
    <n v="-317.39999999999998"/>
    <n v="0"/>
    <n v="0"/>
    <n v="0"/>
    <n v="-2.04"/>
    <n v="0"/>
    <n v="0"/>
    <n v="-3.23"/>
    <n v="0"/>
    <n v="0"/>
    <n v="-322.67"/>
    <s v="LRMMMH82D14Z246H"/>
  </r>
  <r>
    <s v="TC1"/>
    <s v="0100"/>
    <n v="5620"/>
    <s v="OKOH"/>
    <s v="VIVIAN"/>
    <m/>
    <s v="01/06/2024"/>
    <m/>
    <n v="1363.69"/>
    <m/>
    <x v="11"/>
    <m/>
    <s v="APPRENDISTA IMPIEGATO"/>
    <m/>
    <n v="8559.26"/>
    <n v="1266.03"/>
    <n v="0"/>
    <n v="0"/>
    <n v="0"/>
    <n v="552.25"/>
    <n v="78.47"/>
    <n v="681.85"/>
    <n v="96.89"/>
    <n v="0"/>
    <n v="0"/>
    <n v="0"/>
    <n v="0"/>
    <n v="614.16"/>
    <n v="50.5"/>
    <n v="11899.41"/>
    <n v="842.75"/>
    <n v="14.191361613764462"/>
    <n v="0.23652269356274103"/>
    <n v="11959.77"/>
    <n v="0"/>
    <n v="0"/>
    <n v="0"/>
    <n v="0"/>
    <n v="0"/>
    <n v="0"/>
    <n v="-70.41"/>
    <n v="-10.01"/>
    <n v="0"/>
    <n v="0"/>
    <n v="17.559999999999999"/>
    <n v="2.5"/>
    <n v="0"/>
    <n v="0"/>
    <n v="0"/>
    <n v="0"/>
    <n v="-60.36"/>
    <s v="KHOVVN02M69L781S"/>
  </r>
  <r>
    <s v="TC1"/>
    <s v="0100"/>
    <n v="5630"/>
    <s v="SPAGNOLO"/>
    <s v="DAVIDE"/>
    <m/>
    <s v="12/06/2024"/>
    <m/>
    <n v="2128"/>
    <m/>
    <x v="2"/>
    <m/>
    <s v="IMPIEGATO"/>
    <m/>
    <n v="13415.12"/>
    <n v="756.41"/>
    <n v="0"/>
    <n v="0"/>
    <n v="0"/>
    <n v="1690.41"/>
    <n v="473.87"/>
    <n v="1064"/>
    <n v="298.27"/>
    <n v="0"/>
    <n v="0"/>
    <n v="51.44"/>
    <n v="10.57"/>
    <n v="933.17"/>
    <n v="73.489999999999995"/>
    <n v="18766.750000000004"/>
    <n v="754"/>
    <n v="23.47327586206897"/>
    <n v="0.39122126436781618"/>
    <n v="17698.850000000002"/>
    <n v="0"/>
    <n v="0"/>
    <n v="0"/>
    <n v="0"/>
    <n v="0"/>
    <n v="0"/>
    <n v="699.4"/>
    <n v="196.06"/>
    <n v="0"/>
    <n v="0"/>
    <n v="132.19"/>
    <n v="37.06"/>
    <n v="0"/>
    <n v="3.19"/>
    <n v="0"/>
    <n v="0"/>
    <n v="1067.9000000000001"/>
    <s v="SPGDVD99E05L781Q"/>
  </r>
  <r>
    <s v="TC1"/>
    <s v="0100"/>
    <n v="5640"/>
    <s v="HUANG"/>
    <s v="SHAN MEI"/>
    <m/>
    <s v="12/06/2024"/>
    <m/>
    <n v="8.1572700000000005"/>
    <m/>
    <x v="3"/>
    <m/>
    <s v="OPERAIO"/>
    <m/>
    <n v="5524.27"/>
    <n v="0"/>
    <n v="0"/>
    <n v="0"/>
    <n v="0"/>
    <n v="165.35"/>
    <n v="0"/>
    <n v="442.75"/>
    <n v="0"/>
    <n v="18.350000000000001"/>
    <n v="0"/>
    <n v="57.06"/>
    <n v="5.97"/>
    <n v="413.63"/>
    <n v="32.79"/>
    <n v="6660.1700000000019"/>
    <n v="536"/>
    <n v="12.227388059701497"/>
    <n v="0.20378980099502494"/>
    <n v="6553.8800000000019"/>
    <n v="0"/>
    <n v="0"/>
    <n v="0"/>
    <n v="0"/>
    <n v="0"/>
    <n v="0"/>
    <n v="98.13"/>
    <n v="0"/>
    <n v="0"/>
    <n v="0"/>
    <n v="8.16"/>
    <n v="0"/>
    <n v="0"/>
    <n v="0"/>
    <n v="0"/>
    <n v="0"/>
    <n v="106.29"/>
    <s v="HNGSNM92B55Z210M"/>
  </r>
  <r>
    <s v="TC1"/>
    <s v="0100"/>
    <n v="5660"/>
    <s v="TRAINOTTI"/>
    <s v="STEFANIA"/>
    <m/>
    <s v="01/08/2024"/>
    <m/>
    <n v="1345.95"/>
    <m/>
    <x v="8"/>
    <m/>
    <s v="OPERAIO"/>
    <m/>
    <n v="7718.7"/>
    <n v="152.41"/>
    <n v="0"/>
    <n v="0"/>
    <n v="0"/>
    <n v="345.46"/>
    <n v="5.34"/>
    <n v="619.88"/>
    <n v="9.58"/>
    <n v="0"/>
    <n v="0"/>
    <n v="77.849999999999994"/>
    <n v="9.19"/>
    <n v="579.34"/>
    <n v="45.78"/>
    <n v="9563.5300000000007"/>
    <n v="814.75"/>
    <n v="12.046038662166309"/>
    <n v="0.20076731103610515"/>
    <n v="9814.51"/>
    <n v="0"/>
    <n v="0"/>
    <n v="0"/>
    <n v="0"/>
    <n v="0"/>
    <n v="0"/>
    <n v="-244.72"/>
    <n v="-3.78"/>
    <n v="0"/>
    <n v="0"/>
    <n v="0"/>
    <n v="0"/>
    <n v="0"/>
    <n v="-2.48"/>
    <n v="0"/>
    <n v="0"/>
    <n v="-250.98"/>
    <s v="TRNSFN85M54H612X"/>
  </r>
  <r>
    <s v="TC1"/>
    <s v="0100"/>
    <n v="5670"/>
    <s v="AGAPIE"/>
    <s v="MIHAITA"/>
    <m/>
    <s v="01/08/2024"/>
    <m/>
    <n v="1345.95"/>
    <m/>
    <x v="8"/>
    <m/>
    <s v="OPERAIO"/>
    <m/>
    <n v="7493.54"/>
    <n v="148.38999999999999"/>
    <n v="0"/>
    <n v="0"/>
    <n v="0"/>
    <n v="-99.11"/>
    <n v="-1.53"/>
    <n v="619.88"/>
    <n v="9.58"/>
    <n v="0"/>
    <n v="0"/>
    <n v="75.14"/>
    <n v="4.96"/>
    <n v="0"/>
    <n v="0"/>
    <n v="8250.85"/>
    <n v="800.5"/>
    <n v="11.212542161149281"/>
    <n v="0.18687570268582135"/>
    <n v="8975.64"/>
    <n v="0"/>
    <n v="0"/>
    <n v="0"/>
    <n v="0"/>
    <n v="0"/>
    <n v="0"/>
    <n v="-713.76"/>
    <n v="-11.03"/>
    <n v="0"/>
    <n v="0"/>
    <n v="0"/>
    <n v="0"/>
    <n v="0"/>
    <n v="0"/>
    <n v="0"/>
    <n v="0"/>
    <n v="-724.79"/>
    <s v="GPAMHT94H10Z129P"/>
  </r>
  <r>
    <s v="TC1"/>
    <s v="0100"/>
    <n v="5680"/>
    <s v="STURZA"/>
    <s v="RUSLAN"/>
    <m/>
    <s v="01/09/2024"/>
    <m/>
    <n v="1345.95"/>
    <m/>
    <x v="8"/>
    <m/>
    <s v="OPERAIO"/>
    <m/>
    <n v="7748.46"/>
    <n v="153.58000000000001"/>
    <n v="0"/>
    <n v="0"/>
    <n v="0"/>
    <n v="106.04"/>
    <n v="1.64"/>
    <n v="619.88"/>
    <n v="9.58"/>
    <n v="0"/>
    <n v="0"/>
    <n v="77.849999999999994"/>
    <n v="6.92"/>
    <n v="577.82000000000005"/>
    <n v="45.78"/>
    <n v="9347.5500000000011"/>
    <n v="805.25"/>
    <n v="11.833020800993481"/>
    <n v="0.19721701334989133"/>
    <n v="9528.5400000000009"/>
    <n v="0"/>
    <n v="0"/>
    <n v="0"/>
    <n v="0"/>
    <n v="0"/>
    <n v="0"/>
    <n v="-178.24"/>
    <n v="-2.75"/>
    <n v="0"/>
    <n v="0"/>
    <n v="0"/>
    <n v="0"/>
    <n v="0"/>
    <n v="0"/>
    <n v="0"/>
    <n v="0"/>
    <n v="-180.99"/>
    <s v="STRRLN82R07Z140T"/>
  </r>
  <r>
    <s v="TC1"/>
    <s v="0100"/>
    <n v="5690"/>
    <s v="BAROZZI"/>
    <s v="VALENTINA"/>
    <m/>
    <s v="01/09/2024"/>
    <m/>
    <n v="1605.99"/>
    <m/>
    <x v="7"/>
    <m/>
    <s v="IMPIEGATO"/>
    <m/>
    <n v="10447.44"/>
    <n v="3074.89"/>
    <n v="0"/>
    <n v="0"/>
    <n v="0"/>
    <n v="1157.29"/>
    <n v="340.63"/>
    <n v="802.99"/>
    <n v="236.34"/>
    <n v="165.47"/>
    <n v="48.7"/>
    <n v="40.090000000000003"/>
    <n v="8.16"/>
    <n v="698.57"/>
    <n v="55.46"/>
    <n v="17076.03"/>
    <n v="889"/>
    <n v="18.276332958380202"/>
    <n v="0.30460554930633671"/>
    <n v="16247.659999999998"/>
    <n v="0"/>
    <n v="0"/>
    <n v="0"/>
    <n v="0"/>
    <n v="0"/>
    <n v="0"/>
    <n v="638.11"/>
    <n v="187.81"/>
    <n v="0"/>
    <n v="0"/>
    <n v="0"/>
    <n v="0"/>
    <n v="0"/>
    <n v="2.4500000000000002"/>
    <n v="0"/>
    <n v="0"/>
    <n v="828.37000000000012"/>
    <s v="BRZVNT88D69L219R"/>
  </r>
  <r>
    <s v="TC1"/>
    <s v="0100"/>
    <n v="5700"/>
    <s v="MIRISAGE FERNANDO"/>
    <s v="RASIKA CHANDANEE"/>
    <m/>
    <s v="01/09/2024"/>
    <m/>
    <n v="8.1572700000000005"/>
    <m/>
    <x v="0"/>
    <m/>
    <s v="OPERAIO"/>
    <m/>
    <n v="8380.4"/>
    <n v="2809.43"/>
    <n v="0"/>
    <n v="0"/>
    <n v="0"/>
    <n v="413.17"/>
    <n v="127.67"/>
    <n v="672.97"/>
    <n v="207.95"/>
    <n v="2.04"/>
    <n v="0.63"/>
    <n v="86.58"/>
    <n v="10.36"/>
    <n v="578.03"/>
    <n v="46.47"/>
    <n v="13335.7"/>
    <n v="818.25"/>
    <n v="15.856498625114574"/>
    <n v="0.26427497708524289"/>
    <n v="12974.58"/>
    <n v="0"/>
    <n v="0"/>
    <n v="0"/>
    <n v="0"/>
    <n v="0"/>
    <n v="0"/>
    <n v="273.76"/>
    <n v="84.59"/>
    <n v="0"/>
    <n v="0"/>
    <n v="0"/>
    <n v="0"/>
    <n v="0"/>
    <n v="2.77"/>
    <n v="0"/>
    <n v="0"/>
    <n v="361.12"/>
    <s v="MRSRKC84D69Z209U"/>
  </r>
  <r>
    <s v="TC1"/>
    <s v="0100"/>
    <n v="5720"/>
    <s v="ANTWI"/>
    <s v="ANTHONY"/>
    <m/>
    <s v="04/09/2024"/>
    <m/>
    <n v="1345.95"/>
    <m/>
    <x v="8"/>
    <m/>
    <s v="OPERAIO"/>
    <m/>
    <n v="6523.08"/>
    <n v="133.55000000000001"/>
    <n v="0"/>
    <n v="0"/>
    <n v="0"/>
    <n v="-287.45999999999998"/>
    <n v="-4.4400000000000004"/>
    <n v="566.71"/>
    <n v="8.76"/>
    <n v="32.630000000000003"/>
    <n v="0.5"/>
    <n v="67.95"/>
    <n v="2.97"/>
    <n v="486.94"/>
    <n v="41.85"/>
    <n v="7573.0400000000009"/>
    <n v="621.75"/>
    <n v="13.187390430237233"/>
    <n v="0.21978984050395389"/>
    <n v="8199.26"/>
    <n v="0"/>
    <n v="0"/>
    <n v="0"/>
    <n v="0"/>
    <n v="0"/>
    <n v="0"/>
    <n v="-616.69000000000005"/>
    <n v="-9.5299999999999994"/>
    <n v="0"/>
    <n v="0"/>
    <n v="0"/>
    <n v="0"/>
    <n v="0"/>
    <n v="0"/>
    <n v="0"/>
    <n v="0"/>
    <n v="-626.22"/>
    <s v="NTWNHN86P13Z318K"/>
  </r>
  <r>
    <s v="TC1"/>
    <s v="0100"/>
    <n v="5740"/>
    <s v="MUHAMMAD"/>
    <s v="ABDULLAH"/>
    <m/>
    <s v="15/10/2024"/>
    <m/>
    <n v="8.1572700000000005"/>
    <m/>
    <x v="0"/>
    <m/>
    <s v="OPERAIO"/>
    <m/>
    <n v="8447.2800000000007"/>
    <n v="2809.43"/>
    <n v="0"/>
    <n v="0"/>
    <n v="0"/>
    <n v="8.24"/>
    <n v="2.5499999999999998"/>
    <n v="672.97"/>
    <n v="207.95"/>
    <n v="30.59"/>
    <n v="9.4499999999999993"/>
    <n v="86.58"/>
    <n v="6.78"/>
    <n v="576.65"/>
    <n v="46.47"/>
    <n v="12904.94"/>
    <n v="806.75"/>
    <n v="15.653820886272081"/>
    <n v="0.26089701477120136"/>
    <n v="12628.72"/>
    <n v="0"/>
    <n v="0"/>
    <n v="0"/>
    <n v="0"/>
    <n v="0"/>
    <n v="0"/>
    <n v="203.28"/>
    <n v="62.81"/>
    <n v="0"/>
    <n v="0"/>
    <n v="6.12"/>
    <n v="1.89"/>
    <n v="0"/>
    <n v="2.12"/>
    <n v="0"/>
    <n v="0"/>
    <n v="276.22000000000003"/>
    <s v="MHMBLL91P08Z236V"/>
  </r>
  <r>
    <s v="TC1"/>
    <s v="0100"/>
    <n v="5750"/>
    <s v="FASOLI"/>
    <s v="GIULIA"/>
    <m/>
    <s v="15/10/2024"/>
    <m/>
    <n v="9.18309"/>
    <m/>
    <x v="12"/>
    <m/>
    <s v="OPERAIO"/>
    <m/>
    <n v="8180.03"/>
    <n v="2527.62"/>
    <n v="0"/>
    <n v="0"/>
    <n v="0"/>
    <n v="143.81"/>
    <n v="44.44"/>
    <n v="651.29"/>
    <n v="201.25"/>
    <n v="20.66"/>
    <n v="6.38"/>
    <n v="76.739999999999995"/>
    <n v="7.77"/>
    <n v="555.44000000000005"/>
    <n v="44.98"/>
    <n v="12460.409999999998"/>
    <n v="676.5"/>
    <n v="18.319201773835918"/>
    <n v="0.30532002956393195"/>
    <n v="12392.939999999999"/>
    <n v="0"/>
    <n v="0"/>
    <n v="0"/>
    <n v="0"/>
    <n v="0"/>
    <n v="0"/>
    <n v="37.380000000000003"/>
    <n v="11.55"/>
    <n v="0"/>
    <n v="0"/>
    <n v="13.77"/>
    <n v="4.25"/>
    <n v="0"/>
    <n v="0.52"/>
    <n v="0"/>
    <n v="0"/>
    <n v="67.47"/>
    <s v="FSLGLI87D54L781G"/>
  </r>
  <r>
    <s v="TC1"/>
    <s v="0100"/>
    <n v="5760"/>
    <s v="DAL CERO"/>
    <s v="NADIA"/>
    <m/>
    <s v="16/10/2024"/>
    <m/>
    <n v="1345.95"/>
    <m/>
    <x v="8"/>
    <m/>
    <s v="OPERAIO"/>
    <m/>
    <n v="6040.87"/>
    <n v="121.24"/>
    <n v="0"/>
    <n v="0"/>
    <n v="0"/>
    <n v="-91.36"/>
    <n v="-1.41"/>
    <n v="516.55999999999995"/>
    <n v="7.98"/>
    <n v="0"/>
    <n v="0"/>
    <n v="60.43"/>
    <n v="4.05"/>
    <n v="434.52000000000004"/>
    <n v="38.15"/>
    <n v="7131.03"/>
    <n v="554.5"/>
    <n v="13.044364292155093"/>
    <n v="0.2174060715359182"/>
    <n v="7233.1"/>
    <n v="0"/>
    <n v="0"/>
    <n v="0"/>
    <n v="0"/>
    <n v="0"/>
    <n v="0"/>
    <n v="-99.52"/>
    <n v="-1.54"/>
    <n v="0"/>
    <n v="0"/>
    <n v="0"/>
    <n v="0"/>
    <n v="0"/>
    <n v="-1.01"/>
    <n v="0"/>
    <n v="0"/>
    <n v="-102.07"/>
    <s v="DLCNDA83E49I775O"/>
  </r>
  <r>
    <s v="TC1"/>
    <s v="0100"/>
    <n v="5770"/>
    <s v="DOBANDA"/>
    <s v="ADRIANA"/>
    <s v="**"/>
    <s v="18/10/2024"/>
    <s v="04/04/2025"/>
    <n v="8.5387299999999993"/>
    <m/>
    <x v="4"/>
    <m/>
    <s v="IMPIEGATO"/>
    <m/>
    <n v="4592.6400000000003"/>
    <n v="1358.34"/>
    <n v="0"/>
    <n v="0"/>
    <n v="0"/>
    <n v="0"/>
    <n v="0"/>
    <n v="0"/>
    <n v="0"/>
    <n v="0"/>
    <n v="0"/>
    <n v="23.39"/>
    <n v="0"/>
    <n v="199.97"/>
    <n v="0"/>
    <n v="6174.3400000000011"/>
    <n v="335.45"/>
    <n v="17.720465046951858"/>
    <n v="0.29534108411586429"/>
    <n v="5944.3300000000008"/>
    <n v="0"/>
    <n v="0"/>
    <n v="0"/>
    <n v="0"/>
    <n v="0"/>
    <n v="0"/>
    <n v="176.75"/>
    <n v="52.02"/>
    <n v="0"/>
    <n v="0"/>
    <n v="0"/>
    <n v="0"/>
    <n v="0"/>
    <n v="1.24"/>
    <n v="0"/>
    <n v="0"/>
    <n v="230.01000000000002"/>
    <s v="DBNDRN97C69Z140M"/>
  </r>
  <r>
    <s v="TC1"/>
    <s v="0100"/>
    <n v="5780"/>
    <s v="ALOUI"/>
    <s v="ABDERRAHMAN"/>
    <m/>
    <s v="04/11/2024"/>
    <m/>
    <n v="1345.95"/>
    <m/>
    <x v="8"/>
    <m/>
    <s v="OPERAIO"/>
    <m/>
    <n v="7748.46"/>
    <n v="153.58000000000001"/>
    <n v="0"/>
    <n v="0"/>
    <n v="0"/>
    <n v="612.20000000000005"/>
    <n v="9.4600000000000009"/>
    <n v="619.88"/>
    <n v="9.58"/>
    <n v="0"/>
    <n v="0"/>
    <n v="77.849999999999994"/>
    <n v="11.74"/>
    <n v="574.92000000000007"/>
    <n v="45.78"/>
    <n v="9863.4499999999989"/>
    <n v="854.75"/>
    <n v="11.629692892658671"/>
    <n v="0.19382821487764451"/>
    <n v="9940.48"/>
    <n v="0"/>
    <n v="0"/>
    <n v="0"/>
    <n v="0"/>
    <n v="0"/>
    <n v="0"/>
    <n v="-75.86"/>
    <n v="-1.17"/>
    <n v="0"/>
    <n v="0"/>
    <n v="0"/>
    <n v="0"/>
    <n v="0"/>
    <n v="0"/>
    <n v="0"/>
    <n v="0"/>
    <n v="-77.03"/>
    <s v="LAOBRR87D06Z330V"/>
  </r>
  <r>
    <s v="TC1"/>
    <s v="0100"/>
    <n v="5790"/>
    <s v="GIACOMAZZI"/>
    <s v="MARA"/>
    <m/>
    <s v="04/11/2024"/>
    <m/>
    <n v="1605.99"/>
    <m/>
    <x v="4"/>
    <m/>
    <s v="IMPIEGATO"/>
    <m/>
    <n v="7043.94"/>
    <n v="2044.83"/>
    <n v="0"/>
    <n v="0"/>
    <n v="0"/>
    <n v="503.99"/>
    <n v="141.28"/>
    <n v="563.51"/>
    <n v="157.97"/>
    <n v="73"/>
    <n v="20.46"/>
    <n v="24.72"/>
    <n v="4.37"/>
    <n v="488.45000000000005"/>
    <n v="38.92"/>
    <n v="11105.44"/>
    <n v="622.75"/>
    <n v="17.953111200321157"/>
    <n v="0.2992185200053526"/>
    <n v="11180.3"/>
    <n v="0"/>
    <n v="0"/>
    <n v="0"/>
    <n v="0"/>
    <n v="0"/>
    <n v="0"/>
    <n v="-58.3"/>
    <n v="-16.34"/>
    <n v="0"/>
    <n v="0"/>
    <n v="0"/>
    <n v="0"/>
    <n v="0"/>
    <n v="-0.22"/>
    <n v="0"/>
    <n v="0"/>
    <n v="-74.86"/>
    <s v="GCMMRA86H42B296G"/>
  </r>
  <r>
    <s v="TC1"/>
    <s v="0100"/>
    <n v="5800"/>
    <s v="BEE"/>
    <s v="AGNESE"/>
    <m/>
    <s v="11/11/2024"/>
    <m/>
    <n v="11.81812"/>
    <m/>
    <x v="12"/>
    <m/>
    <s v="OPERAIO"/>
    <m/>
    <n v="12375.18"/>
    <n v="3628.11"/>
    <n v="300"/>
    <n v="0"/>
    <n v="0"/>
    <n v="1395.96"/>
    <n v="411.81"/>
    <n v="974.99"/>
    <n v="287.62"/>
    <n v="5.91"/>
    <n v="1.74"/>
    <n v="114.99"/>
    <n v="22.63"/>
    <n v="838.54000000000008"/>
    <n v="67.34"/>
    <n v="20124.820000000007"/>
    <n v="928"/>
    <n v="21.257758620689664"/>
    <n v="0.3542959770114944"/>
    <n v="19727.200000000008"/>
    <n v="0"/>
    <n v="0"/>
    <n v="0"/>
    <n v="0"/>
    <n v="0"/>
    <n v="0"/>
    <n v="298.76"/>
    <n v="88.13"/>
    <n v="0"/>
    <n v="0"/>
    <n v="5.91"/>
    <n v="1.74"/>
    <n v="0"/>
    <n v="3.08"/>
    <n v="0"/>
    <n v="0"/>
    <n v="397.62"/>
    <s v="BEEGNS82H63F241S"/>
  </r>
  <r>
    <s v="TC1"/>
    <s v="0100"/>
    <n v="5810"/>
    <s v="TASELLARI"/>
    <s v="ENEIDA"/>
    <m/>
    <s v="01/10/2024"/>
    <m/>
    <n v="1345.95"/>
    <m/>
    <x v="8"/>
    <m/>
    <s v="OPERAIO"/>
    <m/>
    <n v="7717.68"/>
    <n v="152.43"/>
    <n v="0"/>
    <n v="0"/>
    <n v="0"/>
    <n v="127.66"/>
    <n v="1.97"/>
    <n v="619.88"/>
    <n v="9.58"/>
    <n v="0"/>
    <n v="0"/>
    <n v="77.849999999999994"/>
    <n v="7.12"/>
    <n v="576.41"/>
    <n v="45.78"/>
    <n v="9336.3600000000024"/>
    <n v="762"/>
    <n v="12.295380577427824"/>
    <n v="0.20492300962379709"/>
    <n v="9369.0800000000017"/>
    <n v="0"/>
    <n v="0"/>
    <n v="0"/>
    <n v="0"/>
    <n v="0"/>
    <n v="0"/>
    <n v="-32.22"/>
    <n v="-0.5"/>
    <n v="0"/>
    <n v="0"/>
    <n v="0"/>
    <n v="0"/>
    <n v="0"/>
    <n v="0"/>
    <n v="0"/>
    <n v="0"/>
    <n v="-32.72"/>
    <s v="TSLNDE91C53Z100V"/>
  </r>
  <r>
    <s v="TC1"/>
    <s v="0100"/>
    <n v="5820"/>
    <s v="VIRSCHII"/>
    <s v="ANDREEA"/>
    <m/>
    <s v="19/11/2024"/>
    <m/>
    <n v="8.5387299999999993"/>
    <m/>
    <x v="4"/>
    <m/>
    <s v="IMPIEGATO"/>
    <m/>
    <n v="7876.79"/>
    <n v="2349.33"/>
    <n v="0"/>
    <n v="0"/>
    <n v="0"/>
    <n v="516.25"/>
    <n v="151.94999999999999"/>
    <n v="556.16"/>
    <n v="163.69"/>
    <n v="0"/>
    <n v="0"/>
    <n v="52.01"/>
    <n v="7.51"/>
    <n v="478.85"/>
    <n v="38.4"/>
    <n v="12190.94"/>
    <n v="738"/>
    <n v="16.356422764227645"/>
    <n v="0.27260704607046077"/>
    <n v="12071.04"/>
    <n v="0"/>
    <n v="0"/>
    <n v="0"/>
    <n v="0"/>
    <n v="0"/>
    <n v="0"/>
    <n v="92.13"/>
    <n v="27.12"/>
    <n v="0"/>
    <n v="0"/>
    <n v="0"/>
    <n v="0"/>
    <n v="0"/>
    <n v="0.65"/>
    <n v="0"/>
    <n v="0"/>
    <n v="119.9"/>
    <s v="VRSNDR05P57Z129Z"/>
  </r>
  <r>
    <s v="TC1"/>
    <s v="0100"/>
    <n v="5830"/>
    <s v="EKOH"/>
    <s v="FIDELIS IKEVILO"/>
    <m/>
    <s v="02/12/2024"/>
    <m/>
    <n v="7.2579200000000004"/>
    <m/>
    <x v="9"/>
    <m/>
    <s v="APPRENDISTA OPERAIO"/>
    <m/>
    <n v="7415.78"/>
    <n v="1119.83"/>
    <n v="0"/>
    <n v="0"/>
    <n v="0"/>
    <n v="556.9"/>
    <n v="79.14"/>
    <n v="598.78"/>
    <n v="85.09"/>
    <n v="301.2"/>
    <n v="42.8"/>
    <n v="0"/>
    <n v="0"/>
    <n v="550.83000000000004"/>
    <n v="44.35"/>
    <n v="10794.7"/>
    <n v="875.5"/>
    <n v="12.158012564249001"/>
    <n v="0.20263354273748335"/>
    <n v="10644.34"/>
    <n v="0"/>
    <n v="0"/>
    <n v="0"/>
    <n v="0"/>
    <n v="0"/>
    <n v="0"/>
    <n v="118.96"/>
    <n v="16.899999999999999"/>
    <n v="0"/>
    <n v="0"/>
    <n v="12.7"/>
    <n v="1.8"/>
    <n v="0"/>
    <n v="0"/>
    <n v="0"/>
    <n v="0"/>
    <n v="150.35999999999999"/>
    <s v="KHEFLS02H07G224A"/>
  </r>
  <r>
    <s v="TC1"/>
    <s v="0100"/>
    <n v="5840"/>
    <s v="HOBORICI"/>
    <s v="IULIANA GABRIELA"/>
    <s v="**"/>
    <s v="02/12/2024"/>
    <s v="09/02/2025"/>
    <n v="8.1572700000000005"/>
    <m/>
    <x v="3"/>
    <m/>
    <s v="OPERAIO"/>
    <m/>
    <n v="1599.48"/>
    <n v="0"/>
    <n v="0"/>
    <n v="0"/>
    <n v="0"/>
    <n v="0"/>
    <n v="0"/>
    <n v="0"/>
    <n v="0"/>
    <n v="0"/>
    <n v="0"/>
    <n v="15.25"/>
    <n v="0"/>
    <n v="118.54"/>
    <n v="0"/>
    <n v="1733.27"/>
    <n v="45"/>
    <n v="37.80488888888889"/>
    <n v="0.63008148148148146"/>
    <n v="1701.22"/>
    <n v="0"/>
    <n v="0"/>
    <n v="0"/>
    <n v="0"/>
    <n v="0"/>
    <n v="0"/>
    <n v="11.34"/>
    <n v="0"/>
    <n v="0"/>
    <n v="0"/>
    <n v="20.39"/>
    <n v="0"/>
    <n v="0"/>
    <n v="0.32"/>
    <n v="0"/>
    <n v="0"/>
    <n v="32.049999999999997"/>
    <s v="HBRLGB76H66Z129G"/>
  </r>
  <r>
    <s v="TC1"/>
    <s v="0100"/>
    <n v="5850"/>
    <s v="MALAFFO"/>
    <s v="LORETTA"/>
    <m/>
    <s v="02/12/2024"/>
    <m/>
    <n v="8.1572700000000005"/>
    <m/>
    <x v="0"/>
    <m/>
    <s v="OPERAIO"/>
    <m/>
    <n v="8372.2099999999991"/>
    <n v="2774.22"/>
    <n v="0"/>
    <n v="0"/>
    <n v="0"/>
    <n v="303.7"/>
    <n v="93.84"/>
    <n v="672.97"/>
    <n v="207.95"/>
    <n v="65.260000000000005"/>
    <n v="20.170000000000002"/>
    <n v="85.5"/>
    <n v="9.93"/>
    <n v="574.08000000000004"/>
    <n v="46.47"/>
    <n v="13226.3"/>
    <n v="807"/>
    <n v="16.317596034696404"/>
    <n v="0.27195993391160672"/>
    <n v="13168.3"/>
    <n v="0"/>
    <n v="0"/>
    <n v="0"/>
    <n v="0"/>
    <n v="0"/>
    <n v="0"/>
    <n v="43.97"/>
    <n v="13.59"/>
    <n v="0"/>
    <n v="0"/>
    <n v="0"/>
    <n v="0"/>
    <n v="0"/>
    <n v="0.44"/>
    <n v="0"/>
    <n v="0"/>
    <n v="58"/>
    <s v="MLFLTT67T69L781D"/>
  </r>
  <r>
    <s v="TC1"/>
    <s v="0100"/>
    <n v="5860"/>
    <s v="UR RAHMAN"/>
    <s v="DAUD"/>
    <m/>
    <s v="02/12/2024"/>
    <m/>
    <n v="9.8887300000000007"/>
    <m/>
    <x v="0"/>
    <m/>
    <s v="OPERAIO"/>
    <m/>
    <n v="9550.6"/>
    <n v="3010.26"/>
    <n v="0"/>
    <n v="0"/>
    <n v="0"/>
    <n v="548.63"/>
    <n v="169.53"/>
    <n v="815.82"/>
    <n v="252.09"/>
    <n v="74.17"/>
    <n v="22.92"/>
    <n v="92.8"/>
    <n v="13.71"/>
    <n v="659.19"/>
    <n v="56.35"/>
    <n v="15266.07"/>
    <n v="815.5"/>
    <n v="18.598038013488654"/>
    <n v="0.30996730022481089"/>
    <n v="15166.7"/>
    <n v="0"/>
    <n v="0"/>
    <n v="0"/>
    <n v="0"/>
    <n v="0"/>
    <n v="0"/>
    <n v="75.91"/>
    <n v="23.46"/>
    <n v="0"/>
    <n v="0"/>
    <n v="0"/>
    <n v="0"/>
    <n v="0"/>
    <n v="0"/>
    <n v="0"/>
    <n v="0"/>
    <n v="99.37"/>
    <s v="RRHDDA99A01Z236B"/>
  </r>
  <r>
    <s v="TC1"/>
    <s v="0100"/>
    <n v="5870"/>
    <s v="GRASSO"/>
    <s v="GRETA"/>
    <s v="**"/>
    <s v="26/11/2024"/>
    <s v="10/04/2025"/>
    <n v="8.5387299999999993"/>
    <m/>
    <x v="4"/>
    <m/>
    <s v="IMPIEGATO"/>
    <m/>
    <n v="3634.01"/>
    <n v="1037.79"/>
    <n v="0"/>
    <n v="0"/>
    <n v="0"/>
    <n v="0"/>
    <n v="0"/>
    <n v="0"/>
    <n v="0"/>
    <n v="0"/>
    <n v="0"/>
    <n v="22.84"/>
    <n v="0"/>
    <n v="204.33"/>
    <n v="0"/>
    <n v="4898.97"/>
    <n v="287.5"/>
    <n v="16.760417391304347"/>
    <n v="0.27934028985507248"/>
    <n v="4818.62"/>
    <n v="0"/>
    <n v="0"/>
    <n v="0"/>
    <n v="0"/>
    <n v="0"/>
    <n v="0"/>
    <n v="62.76"/>
    <n v="17.59"/>
    <n v="0"/>
    <n v="0"/>
    <n v="0"/>
    <n v="0"/>
    <n v="0"/>
    <n v="0"/>
    <n v="0"/>
    <n v="0"/>
    <n v="80.349999999999994"/>
    <s v="GRSGRT04R55A944M"/>
  </r>
  <r>
    <s v="TC1"/>
    <s v="0100"/>
    <n v="5880"/>
    <s v="WALLNER"/>
    <s v="LUCA"/>
    <m/>
    <s v="02/01/2025"/>
    <m/>
    <n v="1605.99"/>
    <m/>
    <x v="4"/>
    <m/>
    <s v="IMPIEGATO"/>
    <m/>
    <n v="5546.62"/>
    <n v="0"/>
    <n v="0"/>
    <n v="0"/>
    <n v="0"/>
    <n v="451.23"/>
    <n v="0"/>
    <n v="443.73"/>
    <n v="0"/>
    <n v="90.03"/>
    <n v="0"/>
    <n v="19.11"/>
    <n v="3.78"/>
    <n v="410.87"/>
    <n v="32.86"/>
    <n v="6998.2299999999987"/>
    <n v="499.25"/>
    <n v="14.017486229344014"/>
    <n v="0.23362477048906691"/>
    <n v="6998.2299999999987"/>
    <n v="0"/>
    <n v="0"/>
    <n v="0"/>
    <n v="0"/>
    <n v="0"/>
    <n v="0"/>
    <n v="0"/>
    <n v="0"/>
    <n v="0"/>
    <n v="0"/>
    <n v="0"/>
    <n v="0"/>
    <n v="0"/>
    <n v="0"/>
    <n v="0"/>
    <n v="0"/>
    <n v="0"/>
    <s v="WLLLCU80R09C890W"/>
  </r>
  <r>
    <s v="TC1"/>
    <s v="0100"/>
    <n v="5890"/>
    <s v="CALORE"/>
    <s v="MADDALENA"/>
    <s v="**"/>
    <s v="02/01/2025"/>
    <s v="28/05/2025"/>
    <n v="1345.95"/>
    <m/>
    <x v="8"/>
    <m/>
    <s v="OPERAIO"/>
    <m/>
    <n v="4679.18"/>
    <n v="91"/>
    <n v="0"/>
    <n v="0"/>
    <n v="0"/>
    <n v="0"/>
    <n v="0"/>
    <n v="0"/>
    <n v="0"/>
    <n v="0"/>
    <n v="0"/>
    <n v="0"/>
    <n v="0"/>
    <n v="348.72"/>
    <n v="0"/>
    <n v="5118.9000000000005"/>
    <n v="339.25"/>
    <n v="15.088872512896096"/>
    <n v="0.25148120854826828"/>
    <n v="5118.9000000000005"/>
    <n v="0"/>
    <n v="0"/>
    <n v="0"/>
    <n v="0"/>
    <n v="0"/>
    <n v="0"/>
    <n v="0"/>
    <n v="0"/>
    <n v="0"/>
    <n v="0"/>
    <n v="0"/>
    <n v="0"/>
    <n v="0"/>
    <n v="0"/>
    <n v="0"/>
    <n v="0"/>
    <n v="0"/>
    <s v="CLRMDL87T54A001F"/>
  </r>
  <r>
    <s v="TC1"/>
    <s v="0100"/>
    <n v="5900"/>
    <s v="POLTRONIERI"/>
    <s v="PAOLO GIUSEPPE"/>
    <m/>
    <s v="02/01/2025"/>
    <m/>
    <n v="8.1572700000000005"/>
    <m/>
    <x v="9"/>
    <m/>
    <s v="OPERAIO"/>
    <m/>
    <n v="7273.03"/>
    <n v="148.13"/>
    <n v="0"/>
    <n v="0"/>
    <n v="0"/>
    <n v="637.49"/>
    <n v="9.85"/>
    <n v="606.54999999999995"/>
    <n v="9.3699999999999992"/>
    <n v="185.58"/>
    <n v="2.87"/>
    <n v="80.87"/>
    <n v="13.61"/>
    <n v="553.99"/>
    <n v="44.79"/>
    <n v="9566.1300000000028"/>
    <n v="721.5"/>
    <n v="13.258669438669443"/>
    <n v="0.22097782397782406"/>
    <n v="9566.1300000000028"/>
    <n v="0"/>
    <n v="0"/>
    <n v="0"/>
    <n v="0"/>
    <n v="0"/>
    <n v="0"/>
    <n v="0"/>
    <n v="0"/>
    <n v="0"/>
    <n v="0"/>
    <n v="0"/>
    <n v="0"/>
    <n v="0"/>
    <n v="0"/>
    <n v="0"/>
    <n v="0"/>
    <n v="0"/>
    <s v="PLTPGS64E01L781K"/>
  </r>
  <r>
    <s v="TC1"/>
    <s v="0100"/>
    <n v="5910"/>
    <s v="BACJA"/>
    <s v="BLEDAR"/>
    <m/>
    <s v="20/01/2025"/>
    <s v="30/06/2025"/>
    <n v="8.1572700000000005"/>
    <m/>
    <x v="3"/>
    <m/>
    <s v="OPERAIO"/>
    <m/>
    <n v="4033.16"/>
    <n v="79.94"/>
    <n v="0"/>
    <n v="0"/>
    <n v="0"/>
    <n v="0"/>
    <n v="0"/>
    <n v="0"/>
    <n v="0"/>
    <n v="0"/>
    <n v="0"/>
    <n v="40.08"/>
    <n v="0"/>
    <n v="285.57"/>
    <n v="0"/>
    <n v="4438.7499999999991"/>
    <n v="376"/>
    <n v="11.805186170212764"/>
    <n v="0.19675310283687938"/>
    <n v="4438.7499999999991"/>
    <n v="0"/>
    <n v="0"/>
    <n v="0"/>
    <n v="0"/>
    <n v="0"/>
    <n v="0"/>
    <n v="0"/>
    <n v="0"/>
    <n v="0"/>
    <n v="0"/>
    <n v="0"/>
    <n v="0"/>
    <n v="0"/>
    <n v="0"/>
    <n v="0"/>
    <n v="0"/>
    <n v="0"/>
    <s v="BCJBDR84R08Z100U"/>
  </r>
  <r>
    <s v="TC1"/>
    <s v="0100"/>
    <n v="5920"/>
    <s v="URSO"/>
    <s v="ADRIANO"/>
    <m/>
    <s v="27/01/2025"/>
    <m/>
    <n v="1905.99"/>
    <m/>
    <x v="7"/>
    <m/>
    <s v="IMPIEGATO"/>
    <m/>
    <n v="8426.75"/>
    <n v="2241.59"/>
    <n v="0"/>
    <n v="0"/>
    <n v="0"/>
    <n v="498.45"/>
    <n v="146.71"/>
    <n v="417.97"/>
    <n v="123.02"/>
    <n v="337.88"/>
    <n v="99.45"/>
    <n v="17.55"/>
    <n v="4.82"/>
    <n v="338.18"/>
    <n v="28.87"/>
    <n v="12681.24"/>
    <n v="568.75"/>
    <n v="22.296685714285715"/>
    <n v="0.37161142857142859"/>
    <n v="12681.24"/>
    <n v="0"/>
    <n v="0"/>
    <n v="0"/>
    <n v="0"/>
    <n v="0"/>
    <n v="0"/>
    <n v="0"/>
    <n v="0"/>
    <n v="0"/>
    <n v="0"/>
    <n v="0"/>
    <n v="0"/>
    <n v="0"/>
    <n v="0"/>
    <n v="0"/>
    <n v="0"/>
    <n v="0"/>
    <s v="RSUDRN86D05F205E"/>
  </r>
  <r>
    <s v="TC1"/>
    <s v="0100"/>
    <n v="5930"/>
    <s v="ZAMBELLI"/>
    <s v="FRANCESCA"/>
    <s v="**"/>
    <s v="01/02/2025"/>
    <s v="31/03/2025"/>
    <n v="1345.95"/>
    <m/>
    <x v="8"/>
    <m/>
    <s v="OPERAIO"/>
    <m/>
    <n v="2197.63"/>
    <n v="40.479999999999997"/>
    <n v="0"/>
    <n v="0"/>
    <n v="0"/>
    <n v="0"/>
    <n v="0"/>
    <n v="0"/>
    <n v="0"/>
    <n v="0"/>
    <n v="0"/>
    <n v="18.8"/>
    <n v="0"/>
    <n v="164.38"/>
    <n v="0"/>
    <n v="2421.2900000000004"/>
    <n v="187.25"/>
    <n v="12.930787716955944"/>
    <n v="0.21551312861593239"/>
    <n v="2421.2900000000004"/>
    <n v="0"/>
    <n v="0"/>
    <n v="0"/>
    <n v="0"/>
    <n v="0"/>
    <n v="0"/>
    <n v="0"/>
    <n v="0"/>
    <n v="0"/>
    <n v="0"/>
    <n v="0"/>
    <n v="0"/>
    <n v="0"/>
    <n v="0"/>
    <n v="0"/>
    <n v="0"/>
    <n v="0"/>
    <s v="ZMBFNC75D42E512T"/>
  </r>
  <r>
    <s v="TC1"/>
    <s v="0100"/>
    <n v="5940"/>
    <s v="FERRARESE"/>
    <s v="GIULIA"/>
    <m/>
    <s v="29/01/2025"/>
    <m/>
    <n v="8.1572700000000005"/>
    <m/>
    <x v="0"/>
    <m/>
    <s v="OPERAIO"/>
    <m/>
    <n v="7123.67"/>
    <n v="0"/>
    <n v="0"/>
    <n v="0"/>
    <n v="0"/>
    <n v="230.04"/>
    <n v="0"/>
    <n v="560.80999999999995"/>
    <n v="0"/>
    <n v="46.9"/>
    <n v="0"/>
    <n v="67.86"/>
    <n v="7.98"/>
    <n v="507.8"/>
    <n v="41.54"/>
    <n v="8586.6"/>
    <n v="519"/>
    <n v="16.544508670520234"/>
    <n v="0.27574181117533725"/>
    <n v="8586.6"/>
    <n v="0"/>
    <n v="0"/>
    <n v="0"/>
    <n v="0"/>
    <n v="0"/>
    <n v="0"/>
    <n v="0"/>
    <n v="0"/>
    <n v="0"/>
    <n v="0"/>
    <n v="0"/>
    <n v="0"/>
    <n v="0"/>
    <n v="0"/>
    <n v="0"/>
    <n v="0"/>
    <n v="0"/>
    <s v="FRRGLI85H61M172X"/>
  </r>
  <r>
    <s v="TC1"/>
    <s v="0100"/>
    <n v="5950"/>
    <s v="JANCE"/>
    <s v="KLARITA"/>
    <m/>
    <s v="03/02/2025"/>
    <m/>
    <n v="8.5387299999999993"/>
    <m/>
    <x v="4"/>
    <m/>
    <s v="IMPIEGATO"/>
    <m/>
    <n v="5098.01"/>
    <n v="1554.37"/>
    <n v="0"/>
    <n v="0"/>
    <n v="0"/>
    <n v="460.66"/>
    <n v="135.59"/>
    <n v="386.21"/>
    <n v="113.67"/>
    <n v="0"/>
    <n v="0"/>
    <n v="34.08"/>
    <n v="5.94"/>
    <n v="332.1"/>
    <n v="26.66"/>
    <n v="8147.29"/>
    <n v="520.5"/>
    <n v="15.652814601344861"/>
    <n v="0.26088024335574767"/>
    <n v="8147.29"/>
    <n v="0"/>
    <n v="0"/>
    <n v="0"/>
    <n v="0"/>
    <n v="0"/>
    <n v="0"/>
    <n v="0"/>
    <n v="0"/>
    <n v="0"/>
    <n v="0"/>
    <n v="0"/>
    <n v="0"/>
    <n v="0"/>
    <n v="0"/>
    <n v="0"/>
    <n v="0"/>
    <n v="0"/>
    <s v="JNCKRT76E48Z100B"/>
  </r>
  <r>
    <s v="TC1"/>
    <s v="0100"/>
    <n v="5960"/>
    <s v="ELEMETA EJOH"/>
    <s v="MITTERAND"/>
    <m/>
    <s v="01/02/2025"/>
    <m/>
    <n v="1345.95"/>
    <m/>
    <x v="8"/>
    <m/>
    <s v="OPERAIO"/>
    <m/>
    <n v="6457.04"/>
    <n v="125.96"/>
    <n v="0"/>
    <n v="0"/>
    <n v="0"/>
    <n v="83.61"/>
    <n v="1.29"/>
    <n v="516.55999999999995"/>
    <n v="7.98"/>
    <n v="0"/>
    <n v="0"/>
    <n v="0"/>
    <n v="0"/>
    <n v="476.57"/>
    <n v="38.15"/>
    <n v="7707.159999999998"/>
    <n v="648.75"/>
    <n v="11.880015414258185"/>
    <n v="0.19800025690430309"/>
    <n v="7707.159999999998"/>
    <n v="0"/>
    <n v="0"/>
    <n v="0"/>
    <n v="0"/>
    <n v="0"/>
    <n v="0"/>
    <n v="0"/>
    <n v="0"/>
    <n v="0"/>
    <n v="0"/>
    <n v="0"/>
    <n v="0"/>
    <n v="0"/>
    <n v="0"/>
    <n v="0"/>
    <n v="0"/>
    <n v="0"/>
    <s v="LMTMTR93T15Z306Q"/>
  </r>
  <r>
    <s v="TC1"/>
    <s v="0100"/>
    <n v="5970"/>
    <s v="OPPI"/>
    <s v="BEATRICE"/>
    <m/>
    <s v="11/02/2025"/>
    <m/>
    <n v="7128"/>
    <m/>
    <x v="10"/>
    <m/>
    <s v="IMPIEGATO"/>
    <m/>
    <n v="12479.24"/>
    <n v="0"/>
    <n v="0"/>
    <n v="868.44"/>
    <n v="0"/>
    <n v="254.88"/>
    <n v="0"/>
    <n v="937.93"/>
    <n v="0"/>
    <n v="0"/>
    <n v="0"/>
    <n v="8.35"/>
    <n v="4.58"/>
    <n v="0"/>
    <n v="69.47"/>
    <n v="14622.89"/>
    <n v="212"/>
    <n v="68.975896226415088"/>
    <n v="1.1495982704402514"/>
    <n v="14622.89"/>
    <n v="0"/>
    <n v="0"/>
    <n v="0"/>
    <n v="0"/>
    <n v="0"/>
    <n v="0"/>
    <n v="0"/>
    <n v="0"/>
    <n v="0"/>
    <n v="0"/>
    <n v="0"/>
    <n v="0"/>
    <n v="0"/>
    <n v="0"/>
    <n v="0"/>
    <n v="0"/>
    <n v="0"/>
    <s v="PPOBRC75C65D150R"/>
  </r>
  <r>
    <s v="TC1"/>
    <s v="0100"/>
    <n v="5980"/>
    <s v="BENINI"/>
    <s v="CHIARA"/>
    <m/>
    <s v="17/02/2025"/>
    <m/>
    <n v="1956"/>
    <m/>
    <x v="4"/>
    <m/>
    <s v="IMPIEGATO"/>
    <m/>
    <n v="9127.77"/>
    <n v="2592.83"/>
    <n v="0"/>
    <n v="0"/>
    <n v="0"/>
    <n v="211.13"/>
    <n v="59.19"/>
    <n v="652"/>
    <n v="182.78"/>
    <n v="5.93"/>
    <n v="1.66"/>
    <n v="34.72"/>
    <n v="3.33"/>
    <n v="562.96"/>
    <n v="45.03"/>
    <n v="13479.33"/>
    <n v="613.5"/>
    <n v="21.971198044009778"/>
    <n v="0.36618663406682966"/>
    <n v="13479.33"/>
    <n v="0"/>
    <n v="0"/>
    <n v="0"/>
    <n v="0"/>
    <n v="0"/>
    <n v="0"/>
    <n v="0"/>
    <n v="0"/>
    <n v="0"/>
    <n v="0"/>
    <n v="0"/>
    <n v="0"/>
    <n v="0"/>
    <n v="0"/>
    <n v="0"/>
    <n v="0"/>
    <n v="0"/>
    <s v="BNNCHR95E50F861K"/>
  </r>
  <r>
    <s v="TC1"/>
    <s v="0100"/>
    <n v="5990"/>
    <s v="QUATTRINA"/>
    <s v="ADELE"/>
    <s v="**"/>
    <s v="17/02/2025"/>
    <s v="30/03/2025"/>
    <n v="8.5387299999999993"/>
    <m/>
    <x v="4"/>
    <m/>
    <s v="IMPIEGATO"/>
    <m/>
    <n v="1211.8699999999999"/>
    <n v="359.67"/>
    <n v="0"/>
    <n v="0"/>
    <n v="0"/>
    <n v="0"/>
    <n v="0"/>
    <n v="0"/>
    <n v="0"/>
    <n v="0"/>
    <n v="0"/>
    <n v="7.69"/>
    <n v="0"/>
    <n v="59.09"/>
    <n v="0"/>
    <n v="1638.32"/>
    <n v="108.5"/>
    <n v="15.099723502304148"/>
    <n v="0.25166205837173578"/>
    <n v="1638.32"/>
    <n v="0"/>
    <n v="0"/>
    <n v="0"/>
    <n v="0"/>
    <n v="0"/>
    <n v="0"/>
    <n v="0"/>
    <n v="0"/>
    <n v="0"/>
    <n v="0"/>
    <n v="0"/>
    <n v="0"/>
    <n v="0"/>
    <n v="0"/>
    <n v="0"/>
    <n v="0"/>
    <n v="0"/>
    <s v="QTTDLA04C47E349J"/>
  </r>
  <r>
    <s v="TC1"/>
    <s v="0100"/>
    <n v="6000"/>
    <s v="MURARI"/>
    <s v="CARLOTTA"/>
    <m/>
    <s v="20/02/2025"/>
    <m/>
    <n v="8.1572700000000005"/>
    <m/>
    <x v="0"/>
    <m/>
    <s v="OPERAIO"/>
    <m/>
    <n v="4458.4399999999996"/>
    <n v="0"/>
    <n v="0"/>
    <n v="0"/>
    <n v="0"/>
    <n v="174.89"/>
    <n v="0"/>
    <n v="324.69"/>
    <n v="0"/>
    <n v="0"/>
    <n v="0"/>
    <n v="44.77"/>
    <n v="4.76"/>
    <n v="297.82"/>
    <n v="24.05"/>
    <n v="5329.42"/>
    <n v="441.5"/>
    <n v="12.071166477916195"/>
    <n v="0.20118610796526992"/>
    <n v="5329.42"/>
    <n v="0"/>
    <n v="0"/>
    <n v="0"/>
    <n v="0"/>
    <n v="0"/>
    <n v="0"/>
    <n v="0"/>
    <n v="0"/>
    <n v="0"/>
    <n v="0"/>
    <n v="0"/>
    <n v="0"/>
    <n v="0"/>
    <n v="0"/>
    <n v="0"/>
    <n v="0"/>
    <n v="0"/>
    <s v="MRRCLT91E47F861U"/>
  </r>
  <r>
    <s v="TC1"/>
    <s v="0100"/>
    <n v="6010"/>
    <s v="SALBEGO"/>
    <s v="SARA"/>
    <m/>
    <s v="21/02/2025"/>
    <m/>
    <n v="8.1572700000000005"/>
    <m/>
    <x v="0"/>
    <m/>
    <s v="OPERAIO"/>
    <m/>
    <n v="4267.04"/>
    <n v="0"/>
    <n v="0"/>
    <n v="0"/>
    <n v="0"/>
    <n v="207.52"/>
    <n v="0"/>
    <n v="324.69"/>
    <n v="0"/>
    <n v="8.16"/>
    <n v="0"/>
    <n v="43.47"/>
    <n v="5.15"/>
    <n v="297.82"/>
    <n v="24.05"/>
    <n v="5177.8999999999996"/>
    <n v="391"/>
    <n v="13.242710997442455"/>
    <n v="0.22071184995737425"/>
    <n v="5177.8999999999996"/>
    <n v="0"/>
    <n v="0"/>
    <n v="0"/>
    <n v="0"/>
    <n v="0"/>
    <n v="0"/>
    <n v="0"/>
    <n v="0"/>
    <n v="0"/>
    <n v="0"/>
    <n v="0"/>
    <n v="0"/>
    <n v="0"/>
    <n v="0"/>
    <n v="0"/>
    <n v="0"/>
    <n v="0"/>
    <s v="SLBSRA94L66Z104D"/>
  </r>
  <r>
    <s v="TC1"/>
    <s v="0100"/>
    <n v="6020"/>
    <s v="BERNARDO"/>
    <s v="PAMELA"/>
    <m/>
    <s v="03/03/2025"/>
    <m/>
    <n v="1365.09"/>
    <m/>
    <x v="4"/>
    <m/>
    <s v="APPRENDISTA OPERAIO"/>
    <m/>
    <n v="5987.11"/>
    <n v="800.37"/>
    <n v="0"/>
    <n v="0"/>
    <n v="0"/>
    <n v="542.4"/>
    <n v="69.12"/>
    <n v="455.03"/>
    <n v="57.98"/>
    <n v="229.58"/>
    <n v="29.26"/>
    <n v="0"/>
    <n v="0"/>
    <n v="421.33"/>
    <n v="33.700000000000003"/>
    <n v="8625.8799999999992"/>
    <n v="643.5"/>
    <n v="13.404630924630924"/>
    <n v="0.2234105154105154"/>
    <n v="8625.8799999999992"/>
    <n v="0"/>
    <n v="0"/>
    <n v="0"/>
    <n v="0"/>
    <n v="0"/>
    <n v="0"/>
    <n v="0"/>
    <n v="0"/>
    <n v="0"/>
    <n v="0"/>
    <n v="0"/>
    <n v="0"/>
    <n v="0"/>
    <n v="0"/>
    <n v="0"/>
    <n v="0"/>
    <n v="0"/>
    <s v="BRNPML00T50E335Z"/>
  </r>
  <r>
    <s v="TC1"/>
    <s v="0100"/>
    <n v="6030"/>
    <s v="VELTRI"/>
    <s v="ANGELO"/>
    <m/>
    <s v="10/03/2025"/>
    <m/>
    <n v="2518.9899999999998"/>
    <m/>
    <x v="14"/>
    <m/>
    <s v="IMPIEGATO"/>
    <m/>
    <n v="9825.23"/>
    <n v="2725.62"/>
    <n v="0"/>
    <n v="0"/>
    <n v="0"/>
    <n v="649.75"/>
    <n v="177.25"/>
    <n v="839.66"/>
    <n v="229.06"/>
    <n v="770.96"/>
    <n v="210.32"/>
    <n v="93.58"/>
    <n v="21.53"/>
    <n v="728.35"/>
    <n v="57.99"/>
    <n v="16329.3"/>
    <n v="545.75"/>
    <n v="29.92084287677508"/>
    <n v="0.49868071461291802"/>
    <n v="16329.3"/>
    <n v="0"/>
    <n v="0"/>
    <n v="0"/>
    <n v="0"/>
    <n v="0"/>
    <n v="0"/>
    <n v="0"/>
    <n v="0"/>
    <n v="0"/>
    <n v="0"/>
    <n v="0"/>
    <n v="0"/>
    <n v="0"/>
    <n v="0"/>
    <n v="0"/>
    <n v="0"/>
    <n v="0"/>
    <s v="VLTNGL89L20L049Q"/>
  </r>
  <r>
    <s v="TC1"/>
    <s v="0100"/>
    <n v="6040"/>
    <s v="CAGALLI"/>
    <s v="MARTINA"/>
    <m/>
    <s v="10/03/2025"/>
    <m/>
    <n v="1365.09"/>
    <m/>
    <x v="11"/>
    <m/>
    <s v="APPRENDISTA OPERAIO"/>
    <m/>
    <n v="5324.49"/>
    <n v="801.79"/>
    <n v="0"/>
    <n v="0"/>
    <n v="0"/>
    <n v="290.06"/>
    <n v="41.22"/>
    <n v="455.03"/>
    <n v="64.66"/>
    <n v="35.159999999999997"/>
    <n v="5"/>
    <n v="0"/>
    <n v="0"/>
    <n v="421.33"/>
    <n v="33.700000000000003"/>
    <n v="7472.44"/>
    <n v="525"/>
    <n v="14.233219047619047"/>
    <n v="0.23722031746031744"/>
    <n v="7472.44"/>
    <n v="0"/>
    <n v="0"/>
    <n v="0"/>
    <n v="0"/>
    <n v="0"/>
    <n v="0"/>
    <n v="0"/>
    <n v="0"/>
    <n v="0"/>
    <n v="0"/>
    <n v="0"/>
    <n v="0"/>
    <n v="0"/>
    <n v="0"/>
    <n v="0"/>
    <n v="0"/>
    <n v="0"/>
    <s v="CGLMTN99S67E349Z"/>
  </r>
  <r>
    <s v="TC1"/>
    <s v="0100"/>
    <n v="6050"/>
    <s v="MANFRIN"/>
    <s v="ELENA"/>
    <m/>
    <s v="13/03/2025"/>
    <m/>
    <n v="8.5387299999999993"/>
    <m/>
    <x v="0"/>
    <m/>
    <s v="OPERAIO"/>
    <m/>
    <n v="5355.05"/>
    <n v="1698.87"/>
    <n v="0"/>
    <n v="0"/>
    <n v="0"/>
    <n v="474.41"/>
    <n v="146.59"/>
    <n v="469.63"/>
    <n v="145.12"/>
    <n v="12.81"/>
    <n v="3.96"/>
    <n v="52.37"/>
    <n v="9.11"/>
    <n v="403.57"/>
    <n v="32.43"/>
    <n v="8803.92"/>
    <n v="549.5"/>
    <n v="16.021692447679708"/>
    <n v="0.26702820746132849"/>
    <n v="8803.92"/>
    <n v="0"/>
    <n v="0"/>
    <n v="0"/>
    <n v="0"/>
    <n v="0"/>
    <n v="0"/>
    <n v="0"/>
    <n v="0"/>
    <n v="0"/>
    <n v="0"/>
    <n v="0"/>
    <n v="0"/>
    <n v="0"/>
    <n v="0"/>
    <n v="0"/>
    <n v="0"/>
    <n v="0"/>
    <s v="MNFLNE89S65G224E"/>
  </r>
  <r>
    <s v="TC1"/>
    <s v="0100"/>
    <n v="6060"/>
    <s v="MASIH"/>
    <s v="LIAQAT"/>
    <m/>
    <s v="17/03/2025"/>
    <m/>
    <n v="8.1572700000000005"/>
    <m/>
    <x v="0"/>
    <m/>
    <s v="OPERAIO"/>
    <m/>
    <n v="5008.58"/>
    <n v="1611.44"/>
    <n v="0"/>
    <n v="0"/>
    <n v="0"/>
    <n v="378.66"/>
    <n v="117.01"/>
    <n v="336.49"/>
    <n v="103.98"/>
    <n v="67.3"/>
    <n v="20.8"/>
    <n v="49.67"/>
    <n v="7.45"/>
    <n v="381.57"/>
    <n v="23.23"/>
    <n v="8106.1799999999994"/>
    <n v="529.5"/>
    <n v="15.30912181303116"/>
    <n v="0.25515203021718602"/>
    <n v="8106.1799999999994"/>
    <n v="0"/>
    <n v="0"/>
    <n v="0"/>
    <n v="0"/>
    <n v="0"/>
    <n v="0"/>
    <n v="0"/>
    <n v="0"/>
    <n v="0"/>
    <n v="0"/>
    <n v="0"/>
    <n v="0"/>
    <n v="0"/>
    <n v="0"/>
    <n v="0"/>
    <n v="0"/>
    <n v="0"/>
    <s v="MSHLQT75T24Z236C"/>
  </r>
  <r>
    <s v="TC1"/>
    <s v="0100"/>
    <n v="6070"/>
    <s v="RIMBU"/>
    <s v="SVETLANA"/>
    <m/>
    <s v="18/03/2025"/>
    <m/>
    <n v="8.1572700000000005"/>
    <m/>
    <x v="0"/>
    <m/>
    <s v="OPERAIO"/>
    <m/>
    <n v="4462.3100000000004"/>
    <n v="0"/>
    <n v="0"/>
    <n v="0"/>
    <n v="0"/>
    <n v="258.33999999999997"/>
    <n v="0"/>
    <n v="336.49"/>
    <n v="0"/>
    <n v="0"/>
    <n v="0"/>
    <n v="42.47"/>
    <n v="5.67"/>
    <n v="310.95999999999998"/>
    <n v="24.92"/>
    <n v="5441.1600000000008"/>
    <n v="396.5"/>
    <n v="13.722976040353091"/>
    <n v="0.22871626733921818"/>
    <n v="5441.1600000000008"/>
    <n v="0"/>
    <n v="0"/>
    <n v="0"/>
    <n v="0"/>
    <n v="0"/>
    <n v="0"/>
    <n v="0"/>
    <n v="0"/>
    <n v="0"/>
    <n v="0"/>
    <n v="0"/>
    <n v="0"/>
    <n v="0"/>
    <n v="0"/>
    <n v="0"/>
    <n v="0"/>
    <n v="0"/>
    <s v="RMBSTL71C48Z140J"/>
  </r>
  <r>
    <s v="TC1"/>
    <s v="0100"/>
    <n v="6080"/>
    <s v="BALTATESCU"/>
    <s v="IULIAN"/>
    <m/>
    <s v="24/03/2025"/>
    <m/>
    <n v="8.1572700000000005"/>
    <m/>
    <x v="3"/>
    <m/>
    <s v="OPERAIO"/>
    <m/>
    <n v="4618.8500000000004"/>
    <n v="0"/>
    <n v="0"/>
    <n v="0"/>
    <n v="0"/>
    <n v="-159.72"/>
    <n v="0"/>
    <n v="336.49"/>
    <n v="0"/>
    <n v="34.67"/>
    <n v="0"/>
    <n v="0"/>
    <n v="0"/>
    <n v="310.95999999999998"/>
    <n v="24.92"/>
    <n v="5166.17"/>
    <n v="421.75"/>
    <n v="12.249365737996444"/>
    <n v="0.20415609563327405"/>
    <n v="5166.17"/>
    <n v="0"/>
    <n v="0"/>
    <n v="0"/>
    <n v="0"/>
    <n v="0"/>
    <n v="0"/>
    <n v="0"/>
    <n v="0"/>
    <n v="0"/>
    <n v="0"/>
    <n v="0"/>
    <n v="0"/>
    <n v="0"/>
    <n v="0"/>
    <n v="0"/>
    <n v="0"/>
    <n v="0"/>
    <s v="BLTLNI90L02Z129M"/>
  </r>
  <r>
    <s v="TC1"/>
    <s v="0100"/>
    <n v="6090"/>
    <s v="TIOZZO COMPINI"/>
    <s v="MONICA"/>
    <m/>
    <s v="24/03/2025"/>
    <m/>
    <n v="8.1572700000000005"/>
    <m/>
    <x v="0"/>
    <m/>
    <s v="OPERAIO"/>
    <m/>
    <n v="2527.92"/>
    <n v="0"/>
    <n v="0"/>
    <n v="0"/>
    <n v="0"/>
    <n v="91.2"/>
    <n v="0"/>
    <n v="185.94"/>
    <n v="0"/>
    <n v="0"/>
    <n v="0"/>
    <n v="25.74"/>
    <n v="2.64"/>
    <n v="171.84"/>
    <n v="13.77"/>
    <n v="3019.05"/>
    <n v="265.5"/>
    <n v="11.371186440677965"/>
    <n v="0.18951977401129941"/>
    <n v="3019.05"/>
    <n v="0"/>
    <n v="0"/>
    <n v="0"/>
    <n v="0"/>
    <n v="0"/>
    <n v="0"/>
    <n v="0"/>
    <n v="0"/>
    <n v="0"/>
    <n v="0"/>
    <n v="0"/>
    <n v="0"/>
    <n v="0"/>
    <n v="0"/>
    <n v="0"/>
    <n v="0"/>
    <n v="0"/>
    <s v="TZZMNC77M63G693G"/>
  </r>
  <r>
    <s v="TC1"/>
    <s v="0100"/>
    <n v="6100"/>
    <s v="ACHIUWA"/>
    <s v="MARGARET CHIDI"/>
    <m/>
    <s v="24/03/2025"/>
    <m/>
    <n v="8.1572700000000005"/>
    <m/>
    <x v="0"/>
    <m/>
    <s v="OPERAIO"/>
    <m/>
    <n v="4366.45"/>
    <n v="0"/>
    <n v="0"/>
    <n v="0"/>
    <n v="0"/>
    <n v="156.37"/>
    <n v="0"/>
    <n v="336.49"/>
    <n v="0"/>
    <n v="4.08"/>
    <n v="0"/>
    <n v="41.8"/>
    <n v="4.74"/>
    <n v="310.95999999999998"/>
    <n v="24.92"/>
    <n v="5245.81"/>
    <n v="454.25"/>
    <n v="11.548288387451842"/>
    <n v="0.19247147312419738"/>
    <n v="5245.81"/>
    <n v="0"/>
    <n v="0"/>
    <n v="0"/>
    <n v="0"/>
    <n v="0"/>
    <n v="0"/>
    <n v="0"/>
    <n v="0"/>
    <n v="0"/>
    <n v="0"/>
    <n v="0"/>
    <n v="0"/>
    <n v="0"/>
    <n v="0"/>
    <n v="0"/>
    <n v="0"/>
    <n v="0"/>
    <s v="CHWMGR67T53Z335S"/>
  </r>
  <r>
    <s v="TC1"/>
    <s v="0100"/>
    <n v="6110"/>
    <s v="SIGNORATO"/>
    <s v="GIOVANNI"/>
    <m/>
    <s v="25/03/2025"/>
    <m/>
    <n v="8.1572700000000005"/>
    <m/>
    <x v="3"/>
    <m/>
    <s v="OPERAIO"/>
    <m/>
    <n v="3591.51"/>
    <n v="0"/>
    <n v="0"/>
    <n v="0"/>
    <n v="0"/>
    <n v="41.36"/>
    <n v="0"/>
    <n v="265.66000000000003"/>
    <n v="0"/>
    <n v="0"/>
    <n v="0"/>
    <n v="0"/>
    <n v="0"/>
    <n v="245.49"/>
    <n v="19.670000000000002"/>
    <n v="4163.6900000000005"/>
    <n v="344.25"/>
    <n v="12.094960058097314"/>
    <n v="0.20158266763495522"/>
    <n v="4163.6900000000005"/>
    <n v="0"/>
    <n v="0"/>
    <n v="0"/>
    <n v="0"/>
    <n v="0"/>
    <n v="0"/>
    <n v="0"/>
    <n v="0"/>
    <n v="0"/>
    <n v="0"/>
    <n v="0"/>
    <n v="0"/>
    <n v="0"/>
    <n v="0"/>
    <n v="0"/>
    <n v="0"/>
    <n v="0"/>
    <s v="SGNGNN93S04L781C"/>
  </r>
  <r>
    <s v="TC1"/>
    <s v="0100"/>
    <n v="6120"/>
    <s v="VINCO"/>
    <s v="LAURA"/>
    <m/>
    <s v="03/04/2025"/>
    <m/>
    <n v="1694.41"/>
    <m/>
    <x v="6"/>
    <m/>
    <s v="IMPIEGATO"/>
    <m/>
    <n v="6749.69"/>
    <n v="1926.06"/>
    <n v="0"/>
    <n v="0"/>
    <n v="0"/>
    <n v="78.760000000000005"/>
    <n v="22.08"/>
    <n v="423.6"/>
    <n v="118.75"/>
    <n v="5.13"/>
    <n v="1.44"/>
    <n v="25.89"/>
    <n v="1.95"/>
    <n v="358.48"/>
    <n v="29.25"/>
    <n v="9741.08"/>
    <n v="404.25"/>
    <n v="24.096672850958566"/>
    <n v="0.40161121418264278"/>
    <n v="9741.08"/>
    <n v="0"/>
    <n v="0"/>
    <n v="0"/>
    <n v="0"/>
    <n v="0"/>
    <n v="0"/>
    <n v="0"/>
    <n v="0"/>
    <n v="0"/>
    <n v="0"/>
    <n v="0"/>
    <n v="0"/>
    <n v="0"/>
    <n v="0"/>
    <n v="0"/>
    <n v="0"/>
    <n v="0"/>
    <s v="VNCLRA70A63L781K"/>
  </r>
  <r>
    <s v="TC1"/>
    <s v="0100"/>
    <n v="6130"/>
    <s v="FLORIANI"/>
    <s v="SOLEIMA"/>
    <m/>
    <s v="01/04/2025"/>
    <s v="30/06/2025"/>
    <n v="1345.95"/>
    <m/>
    <x v="8"/>
    <m/>
    <s v="OPERAIO"/>
    <m/>
    <n v="942.82"/>
    <n v="19.14"/>
    <n v="0"/>
    <n v="0"/>
    <n v="0"/>
    <n v="0"/>
    <n v="0"/>
    <n v="0"/>
    <n v="0"/>
    <n v="0"/>
    <n v="0"/>
    <n v="0"/>
    <n v="0"/>
    <n v="68.459999999999994"/>
    <n v="0"/>
    <n v="1030.42"/>
    <n v="69.5"/>
    <n v="14.826187050359714"/>
    <n v="0.24710311750599523"/>
    <n v="1030.42"/>
    <n v="0"/>
    <n v="0"/>
    <n v="0"/>
    <n v="0"/>
    <n v="0"/>
    <n v="0"/>
    <n v="0"/>
    <n v="0"/>
    <n v="0"/>
    <n v="0"/>
    <n v="0"/>
    <n v="0"/>
    <n v="0"/>
    <n v="0"/>
    <n v="0"/>
    <n v="0"/>
    <n v="0"/>
    <s v="FLRSLM88A44A471T"/>
  </r>
  <r>
    <s v="TC1"/>
    <s v="0100"/>
    <n v="6140"/>
    <s v="SECHI"/>
    <s v="VALERIA"/>
    <m/>
    <s v="01/04/2025"/>
    <m/>
    <n v="1345.95"/>
    <m/>
    <x v="8"/>
    <m/>
    <s v="OPERAIO"/>
    <m/>
    <n v="3874.23"/>
    <n v="76.56"/>
    <n v="0"/>
    <n v="0"/>
    <n v="0"/>
    <n v="139.08000000000001"/>
    <n v="2.15"/>
    <n v="309.94"/>
    <n v="4.79"/>
    <n v="0"/>
    <n v="0"/>
    <n v="0"/>
    <n v="0"/>
    <n v="285.92"/>
    <n v="22.88"/>
    <n v="4715.55"/>
    <n v="398.75"/>
    <n v="11.825830721003134"/>
    <n v="0.19709717868338558"/>
    <n v="4715.55"/>
    <n v="0"/>
    <n v="0"/>
    <n v="0"/>
    <n v="0"/>
    <n v="0"/>
    <n v="0"/>
    <n v="0"/>
    <n v="0"/>
    <n v="0"/>
    <n v="0"/>
    <n v="0"/>
    <n v="0"/>
    <n v="0"/>
    <n v="0"/>
    <n v="0"/>
    <n v="0"/>
    <n v="0"/>
    <s v="SCHVLR87A54I452L"/>
  </r>
  <r>
    <s v="TC1"/>
    <s v="0100"/>
    <n v="6150"/>
    <s v="FERREIRA"/>
    <s v="EDLAINE"/>
    <m/>
    <s v="14/05/2025"/>
    <m/>
    <n v="1345.95"/>
    <m/>
    <x v="8"/>
    <m/>
    <s v="OPERAIO"/>
    <m/>
    <n v="2058.3000000000002"/>
    <n v="39.82"/>
    <n v="0"/>
    <n v="0"/>
    <n v="0"/>
    <n v="246.35"/>
    <n v="3.63"/>
    <n v="206.63"/>
    <n v="3.05"/>
    <n v="0"/>
    <n v="0"/>
    <n v="0"/>
    <n v="0"/>
    <n v="190.75"/>
    <n v="15.25"/>
    <n v="2763.7800000000007"/>
    <n v="243"/>
    <n v="11.373580246913583"/>
    <n v="0.18955967078189306"/>
    <n v="2763.7800000000007"/>
    <n v="0"/>
    <n v="0"/>
    <n v="0"/>
    <n v="0"/>
    <n v="0"/>
    <n v="0"/>
    <n v="0"/>
    <n v="0"/>
    <n v="0"/>
    <n v="0"/>
    <n v="0"/>
    <n v="0"/>
    <n v="0"/>
    <n v="0"/>
    <n v="0"/>
    <n v="0"/>
    <n v="0"/>
    <s v="FRRDLN86C57Z602Z"/>
  </r>
  <r>
    <s v="TC1"/>
    <s v="0100"/>
    <n v="80520"/>
    <s v="ELEMETA EJOH"/>
    <s v="MITTERAND"/>
    <s v="**"/>
    <s v="18/07/2024"/>
    <s v="31/01/2025"/>
    <n v="0"/>
    <m/>
    <x v="8"/>
    <m/>
    <s v="OPERAIO"/>
    <m/>
    <n v="550"/>
    <n v="0"/>
    <n v="0"/>
    <n v="0"/>
    <n v="0"/>
    <n v="0"/>
    <n v="0"/>
    <n v="0"/>
    <n v="0"/>
    <n v="0"/>
    <n v="0"/>
    <n v="16.079999999999998"/>
    <n v="0"/>
    <n v="0"/>
    <n v="0"/>
    <n v="566.08000000000004"/>
    <n v="0"/>
    <n v="0"/>
    <n v="0"/>
    <n v="566.08000000000004"/>
    <n v="0"/>
    <n v="0"/>
    <n v="0"/>
    <n v="0"/>
    <n v="0"/>
    <n v="0"/>
    <n v="0"/>
    <n v="0"/>
    <n v="0"/>
    <n v="0"/>
    <n v="0"/>
    <n v="0"/>
    <n v="0"/>
    <n v="0"/>
    <n v="0"/>
    <n v="0"/>
    <n v="0"/>
    <s v="LMTMTR93T15Z306Q"/>
  </r>
  <r>
    <s v="TC1"/>
    <s v="0100"/>
    <n v="80550"/>
    <s v="CAGALLI"/>
    <s v="MARTINA"/>
    <s v="**"/>
    <s v="09/09/2024"/>
    <s v="07/03/2025"/>
    <n v="0"/>
    <m/>
    <x v="11"/>
    <m/>
    <s v="IMPIEGATO"/>
    <m/>
    <n v="1005"/>
    <n v="0"/>
    <n v="0"/>
    <n v="0"/>
    <n v="0"/>
    <n v="0"/>
    <n v="0"/>
    <n v="0"/>
    <n v="0"/>
    <n v="0"/>
    <n v="0"/>
    <n v="36.020000000000003"/>
    <n v="0"/>
    <n v="0"/>
    <n v="0"/>
    <n v="1041.02"/>
    <n v="0"/>
    <n v="0"/>
    <n v="0"/>
    <n v="1041.02"/>
    <n v="0"/>
    <n v="0"/>
    <n v="0"/>
    <n v="0"/>
    <n v="0"/>
    <n v="0"/>
    <n v="0"/>
    <n v="0"/>
    <n v="0"/>
    <n v="0"/>
    <n v="0"/>
    <n v="0"/>
    <n v="0"/>
    <n v="0"/>
    <n v="0"/>
    <n v="0"/>
    <n v="0"/>
    <s v="CGLMTN99S67E349Z"/>
  </r>
  <r>
    <s v="TC1"/>
    <s v="0100"/>
    <n v="80560"/>
    <s v="BERNARDO"/>
    <s v="PAMELA"/>
    <s v="**"/>
    <s v="02/09/2024"/>
    <s v="28/02/2025"/>
    <n v="0"/>
    <m/>
    <x v="4"/>
    <m/>
    <s v="IMPIEGATO"/>
    <m/>
    <n v="1315"/>
    <n v="0"/>
    <n v="0"/>
    <n v="0"/>
    <n v="0"/>
    <n v="0"/>
    <n v="0"/>
    <n v="0"/>
    <n v="0"/>
    <n v="0"/>
    <n v="0"/>
    <n v="23.19"/>
    <n v="0"/>
    <n v="0"/>
    <n v="0"/>
    <n v="1338.19"/>
    <n v="0"/>
    <n v="0"/>
    <n v="0"/>
    <n v="1338.19"/>
    <n v="0"/>
    <n v="0"/>
    <n v="0"/>
    <n v="0"/>
    <n v="0"/>
    <n v="0"/>
    <n v="0"/>
    <n v="0"/>
    <n v="0"/>
    <n v="0"/>
    <n v="0"/>
    <n v="0"/>
    <n v="0"/>
    <n v="0"/>
    <n v="0"/>
    <n v="0"/>
    <n v="0"/>
    <s v="BRNPML00T50E335Z"/>
  </r>
  <r>
    <s v="TC1"/>
    <s v="0100"/>
    <n v="80570"/>
    <s v="FERRARESE"/>
    <s v="GIULIA"/>
    <s v="**"/>
    <s v="21/10/2024"/>
    <s v="21/01/2025"/>
    <n v="0"/>
    <m/>
    <x v="0"/>
    <m/>
    <s v="OPERAIO"/>
    <m/>
    <n v="0"/>
    <n v="0"/>
    <n v="0"/>
    <n v="0"/>
    <n v="0"/>
    <n v="0"/>
    <n v="0"/>
    <n v="0"/>
    <n v="0"/>
    <n v="0"/>
    <n v="0"/>
    <n v="11.58"/>
    <n v="0"/>
    <n v="0"/>
    <n v="0"/>
    <n v="11.58"/>
    <n v="0"/>
    <n v="0"/>
    <n v="0"/>
    <n v="11.58"/>
    <n v="0"/>
    <n v="0"/>
    <n v="0"/>
    <n v="0"/>
    <n v="0"/>
    <n v="0"/>
    <n v="0"/>
    <n v="0"/>
    <n v="0"/>
    <n v="0"/>
    <n v="0"/>
    <n v="0"/>
    <n v="0"/>
    <n v="0"/>
    <n v="0"/>
    <n v="0"/>
    <n v="0"/>
    <s v="FRRGLI85H61M172X"/>
  </r>
  <r>
    <s v="TC1"/>
    <s v="0100"/>
    <n v="80580"/>
    <s v="FLORIANI"/>
    <s v="SOLEIMA"/>
    <s v="**"/>
    <s v="01/10/2024"/>
    <s v="31/03/2025"/>
    <n v="0"/>
    <m/>
    <x v="8"/>
    <m/>
    <s v="OPERAIO"/>
    <m/>
    <n v="1500"/>
    <n v="0"/>
    <n v="0"/>
    <n v="0"/>
    <n v="0"/>
    <n v="0"/>
    <n v="0"/>
    <n v="0"/>
    <n v="0"/>
    <n v="0"/>
    <n v="0"/>
    <n v="48.24"/>
    <n v="0"/>
    <n v="0"/>
    <n v="0"/>
    <n v="1548.24"/>
    <n v="0"/>
    <n v="0"/>
    <n v="0"/>
    <n v="1548.24"/>
    <n v="0"/>
    <n v="0"/>
    <n v="0"/>
    <n v="0"/>
    <n v="0"/>
    <n v="0"/>
    <n v="0"/>
    <n v="0"/>
    <n v="0"/>
    <n v="0"/>
    <n v="0"/>
    <n v="0"/>
    <n v="0"/>
    <n v="0"/>
    <n v="0"/>
    <n v="0"/>
    <n v="0"/>
    <s v="FLRSLM88A44A471T"/>
  </r>
  <r>
    <s v="TC1"/>
    <s v="0100"/>
    <n v="80590"/>
    <s v="SECHI"/>
    <s v="VALERIA"/>
    <s v="**"/>
    <s v="01/10/2024"/>
    <s v="31/03/2025"/>
    <n v="0"/>
    <m/>
    <x v="8"/>
    <m/>
    <s v="OPERAIO"/>
    <m/>
    <n v="1500"/>
    <n v="0"/>
    <n v="0"/>
    <n v="0"/>
    <n v="0"/>
    <n v="0"/>
    <n v="0"/>
    <n v="0"/>
    <n v="0"/>
    <n v="0"/>
    <n v="0"/>
    <n v="48.24"/>
    <n v="0"/>
    <n v="0"/>
    <n v="0"/>
    <n v="1548.24"/>
    <n v="0"/>
    <n v="0"/>
    <n v="0"/>
    <n v="1548.24"/>
    <n v="0"/>
    <n v="0"/>
    <n v="0"/>
    <n v="0"/>
    <n v="0"/>
    <n v="0"/>
    <n v="0"/>
    <n v="0"/>
    <n v="0"/>
    <n v="0"/>
    <n v="0"/>
    <n v="0"/>
    <n v="0"/>
    <n v="0"/>
    <n v="0"/>
    <n v="0"/>
    <n v="0"/>
    <s v="SCHVLR87A54I452L"/>
  </r>
  <r>
    <s v="TC1"/>
    <s v="0100"/>
    <n v="80600"/>
    <s v="IGUMA"/>
    <s v="MATHIDA"/>
    <s v="**"/>
    <s v="28/11/2024"/>
    <s v="31/12/2024"/>
    <n v="0"/>
    <m/>
    <x v="8"/>
    <m/>
    <s v="OPERAIO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MIMHD00D68Z335D"/>
  </r>
  <r>
    <s v="TC1"/>
    <s v="0100"/>
    <n v="80610"/>
    <s v="POLTRONIERI"/>
    <s v="PAOLO GIUSEPPE"/>
    <s v="**"/>
    <s v="20/11/2024"/>
    <s v="31/12/2024"/>
    <n v="0"/>
    <m/>
    <x v="9"/>
    <m/>
    <s v="OPERAIO"/>
    <m/>
    <n v="0"/>
    <n v="0"/>
    <n v="0"/>
    <n v="0"/>
    <n v="0"/>
    <n v="0"/>
    <n v="0"/>
    <n v="0"/>
    <n v="0"/>
    <n v="0"/>
    <n v="0"/>
    <n v="23.91"/>
    <n v="0"/>
    <n v="0"/>
    <n v="0"/>
    <n v="23.91"/>
    <n v="0"/>
    <n v="0"/>
    <n v="0"/>
    <n v="23.91"/>
    <n v="0"/>
    <n v="0"/>
    <n v="0"/>
    <n v="0"/>
    <n v="0"/>
    <n v="0"/>
    <n v="0"/>
    <n v="0"/>
    <n v="0"/>
    <n v="0"/>
    <n v="0"/>
    <n v="0"/>
    <n v="0"/>
    <n v="0"/>
    <n v="0"/>
    <n v="0"/>
    <n v="0"/>
    <s v="PLTPGS64E01L781K"/>
  </r>
  <r>
    <s v="TC1"/>
    <s v="0100"/>
    <n v="80620"/>
    <s v="ASIBOR"/>
    <s v="HOPE"/>
    <s v="**"/>
    <s v="26/11/2024"/>
    <s v="28/02/2025"/>
    <n v="0"/>
    <m/>
    <x v="8"/>
    <m/>
    <s v="OPERAIO"/>
    <m/>
    <n v="900"/>
    <n v="0"/>
    <n v="0"/>
    <n v="0"/>
    <n v="0"/>
    <n v="0"/>
    <n v="0"/>
    <n v="0"/>
    <n v="0"/>
    <n v="0"/>
    <n v="0"/>
    <n v="31.52"/>
    <n v="0"/>
    <n v="0"/>
    <n v="0"/>
    <n v="931.52"/>
    <n v="0"/>
    <n v="0"/>
    <n v="0"/>
    <n v="931.52"/>
    <n v="0"/>
    <n v="0"/>
    <n v="0"/>
    <n v="0"/>
    <n v="0"/>
    <n v="0"/>
    <n v="0"/>
    <n v="0"/>
    <n v="0"/>
    <n v="0"/>
    <n v="0"/>
    <n v="0"/>
    <n v="0"/>
    <n v="0"/>
    <n v="0"/>
    <n v="0"/>
    <n v="0"/>
    <s v="SBRHPO93H08Z335X"/>
  </r>
  <r>
    <s v="TC1"/>
    <s v="0100"/>
    <n v="80630"/>
    <s v="SALBEGO"/>
    <s v="SARA"/>
    <s v="**"/>
    <s v="20/11/2024"/>
    <s v="20/02/2025"/>
    <n v="0"/>
    <m/>
    <x v="0"/>
    <m/>
    <s v="OPERAIO"/>
    <m/>
    <n v="0"/>
    <n v="0"/>
    <n v="0"/>
    <n v="0"/>
    <n v="0"/>
    <n v="0"/>
    <n v="0"/>
    <n v="0"/>
    <n v="0"/>
    <n v="0"/>
    <n v="0"/>
    <n v="27.02"/>
    <n v="0"/>
    <n v="0"/>
    <n v="0"/>
    <n v="27.02"/>
    <n v="0"/>
    <n v="0"/>
    <n v="0"/>
    <n v="27.02"/>
    <n v="0"/>
    <n v="0"/>
    <n v="0"/>
    <n v="0"/>
    <n v="0"/>
    <n v="0"/>
    <n v="0"/>
    <n v="0"/>
    <n v="0"/>
    <n v="0"/>
    <n v="0"/>
    <n v="0"/>
    <n v="0"/>
    <n v="0"/>
    <n v="0"/>
    <n v="0"/>
    <n v="0"/>
    <s v="SLBSRA94L66Z104D"/>
  </r>
  <r>
    <s v="TC1"/>
    <s v="0100"/>
    <n v="80640"/>
    <s v="YOUSEF"/>
    <s v="ELIAS MILAD"/>
    <m/>
    <s v="06/12/2024"/>
    <m/>
    <n v="0"/>
    <m/>
    <x v="8"/>
    <m/>
    <s v="OPERAIO"/>
    <m/>
    <n v="2850"/>
    <n v="0"/>
    <n v="0"/>
    <n v="0"/>
    <n v="0"/>
    <n v="0"/>
    <n v="0"/>
    <n v="0"/>
    <n v="0"/>
    <n v="0"/>
    <n v="0"/>
    <n v="96.48"/>
    <n v="0"/>
    <n v="0"/>
    <n v="0"/>
    <n v="2946.48"/>
    <n v="152"/>
    <n v="19.384736842105262"/>
    <n v="0.32307894736842102"/>
    <n v="2946.48"/>
    <n v="0"/>
    <n v="0"/>
    <n v="0"/>
    <n v="0"/>
    <n v="0"/>
    <n v="0"/>
    <n v="0"/>
    <n v="0"/>
    <n v="0"/>
    <n v="0"/>
    <n v="0"/>
    <n v="0"/>
    <n v="0"/>
    <n v="0"/>
    <n v="0"/>
    <n v="0"/>
    <n v="0"/>
    <s v="YSFLML83A03Z700M"/>
  </r>
  <r>
    <s v="TC1"/>
    <s v="0100"/>
    <n v="80650"/>
    <s v="PROFIR"/>
    <s v="CRISTIAN"/>
    <m/>
    <s v="16/12/2024"/>
    <s v="30/06/2025"/>
    <n v="0"/>
    <m/>
    <x v="8"/>
    <m/>
    <s v="OPERAIO"/>
    <m/>
    <n v="2850"/>
    <n v="0"/>
    <n v="0"/>
    <n v="0"/>
    <n v="0"/>
    <n v="0"/>
    <n v="0"/>
    <n v="0"/>
    <n v="0"/>
    <n v="0"/>
    <n v="0"/>
    <n v="96.48"/>
    <n v="0"/>
    <n v="0"/>
    <n v="0"/>
    <n v="2946.48"/>
    <n v="152"/>
    <n v="19.384736842105262"/>
    <n v="0.32307894736842102"/>
    <n v="2946.48"/>
    <n v="0"/>
    <n v="0"/>
    <n v="0"/>
    <n v="0"/>
    <n v="0"/>
    <n v="0"/>
    <n v="0"/>
    <n v="0"/>
    <n v="0"/>
    <n v="0"/>
    <n v="0"/>
    <n v="0"/>
    <n v="0"/>
    <n v="0"/>
    <n v="0"/>
    <n v="0"/>
    <n v="0"/>
    <s v="PRFCST86R16Z129H"/>
  </r>
  <r>
    <s v="TC1"/>
    <s v="0100"/>
    <n v="80660"/>
    <s v="KOLA"/>
    <s v="ALBANA"/>
    <s v="**"/>
    <s v="02/01/2025"/>
    <s v="28/03/2025"/>
    <n v="0"/>
    <m/>
    <x v="3"/>
    <m/>
    <s v="OPERAIO"/>
    <m/>
    <n v="0"/>
    <n v="0"/>
    <n v="0"/>
    <n v="0"/>
    <n v="0"/>
    <n v="0"/>
    <n v="0"/>
    <n v="0"/>
    <n v="0"/>
    <n v="0"/>
    <n v="0"/>
    <n v="47.6"/>
    <n v="0"/>
    <n v="0"/>
    <n v="0"/>
    <n v="47.6"/>
    <n v="0"/>
    <n v="0"/>
    <n v="0"/>
    <n v="47.6"/>
    <n v="0"/>
    <n v="0"/>
    <n v="0"/>
    <n v="0"/>
    <n v="0"/>
    <n v="0"/>
    <n v="0"/>
    <n v="0"/>
    <n v="0"/>
    <n v="0"/>
    <n v="0"/>
    <n v="0"/>
    <n v="0"/>
    <n v="0"/>
    <n v="0"/>
    <n v="0"/>
    <n v="0"/>
    <s v="KLOLBN77D50Z100H"/>
  </r>
  <r>
    <s v="TC1"/>
    <s v="0100"/>
    <n v="80670"/>
    <s v="SIGNORATO"/>
    <s v="GIOVANNI"/>
    <s v="**"/>
    <s v="20/01/2025"/>
    <s v="20/03/2025"/>
    <n v="0"/>
    <m/>
    <x v="3"/>
    <m/>
    <s v="OPERAIO"/>
    <m/>
    <n v="0"/>
    <n v="0"/>
    <n v="0"/>
    <n v="0"/>
    <n v="0"/>
    <n v="0"/>
    <n v="0"/>
    <n v="0"/>
    <n v="0"/>
    <n v="0"/>
    <n v="0"/>
    <n v="34.1"/>
    <n v="0"/>
    <n v="0"/>
    <n v="0"/>
    <n v="34.1"/>
    <n v="0"/>
    <n v="0"/>
    <n v="0"/>
    <n v="34.1"/>
    <n v="0"/>
    <n v="0"/>
    <n v="0"/>
    <n v="0"/>
    <n v="0"/>
    <n v="0"/>
    <n v="0"/>
    <n v="0"/>
    <n v="0"/>
    <n v="0"/>
    <n v="0"/>
    <n v="0"/>
    <n v="0"/>
    <n v="0"/>
    <n v="0"/>
    <n v="0"/>
    <n v="0"/>
    <s v="SGNGNN93S04L781C"/>
  </r>
  <r>
    <s v="TC1"/>
    <s v="0100"/>
    <n v="80680"/>
    <s v="BOUGHANMI"/>
    <s v="THORAYA"/>
    <s v="**"/>
    <s v="28/01/2025"/>
    <s v="12/02/2025"/>
    <n v="0"/>
    <m/>
    <x v="8"/>
    <m/>
    <s v="OPERAIO"/>
    <m/>
    <n v="240"/>
    <n v="0"/>
    <n v="0"/>
    <n v="0"/>
    <n v="0"/>
    <n v="0"/>
    <n v="0"/>
    <n v="0"/>
    <n v="0"/>
    <n v="0"/>
    <n v="0"/>
    <n v="9.01"/>
    <n v="0"/>
    <n v="0"/>
    <n v="0"/>
    <n v="249.01"/>
    <n v="0"/>
    <n v="0"/>
    <n v="0"/>
    <n v="249.01"/>
    <n v="0"/>
    <n v="0"/>
    <n v="0"/>
    <n v="0"/>
    <n v="0"/>
    <n v="0"/>
    <n v="0"/>
    <n v="0"/>
    <n v="0"/>
    <n v="0"/>
    <n v="0"/>
    <n v="0"/>
    <n v="0"/>
    <n v="0"/>
    <n v="0"/>
    <n v="0"/>
    <n v="0"/>
    <s v="BGHTRY05E53G224T"/>
  </r>
  <r>
    <s v="TC1"/>
    <s v="0100"/>
    <n v="80690"/>
    <s v="SPREA"/>
    <s v="LAURA"/>
    <s v="**"/>
    <s v="13/01/2025"/>
    <s v="14/04/2025"/>
    <n v="0"/>
    <m/>
    <x v="10"/>
    <m/>
    <s v="IMPIEGATO"/>
    <m/>
    <n v="1395"/>
    <n v="0"/>
    <n v="0"/>
    <n v="0"/>
    <n v="0"/>
    <n v="0"/>
    <n v="0"/>
    <n v="0"/>
    <n v="0"/>
    <n v="0"/>
    <n v="0"/>
    <n v="20.45"/>
    <n v="0"/>
    <n v="0"/>
    <n v="0"/>
    <n v="1415.45"/>
    <n v="0"/>
    <n v="0"/>
    <n v="0"/>
    <n v="1415.45"/>
    <n v="0"/>
    <n v="0"/>
    <n v="0"/>
    <n v="0"/>
    <n v="0"/>
    <n v="0"/>
    <n v="0"/>
    <n v="0"/>
    <n v="0"/>
    <n v="0"/>
    <n v="0"/>
    <n v="0"/>
    <n v="0"/>
    <n v="0"/>
    <n v="0"/>
    <n v="0"/>
    <n v="0"/>
    <s v="SPRLRA00S57L781V"/>
  </r>
  <r>
    <s v="TC1"/>
    <s v="0100"/>
    <n v="80700"/>
    <s v="FISCALE"/>
    <s v="TOMMASO"/>
    <m/>
    <s v="03/04/2025"/>
    <s v="30/06/2025"/>
    <n v="0"/>
    <m/>
    <x v="3"/>
    <m/>
    <s v="OPERAIO"/>
    <m/>
    <n v="0"/>
    <n v="0"/>
    <n v="0"/>
    <n v="0"/>
    <n v="0"/>
    <n v="0"/>
    <n v="0"/>
    <n v="0"/>
    <n v="0"/>
    <n v="0"/>
    <n v="0"/>
    <n v="47.6"/>
    <n v="0"/>
    <n v="0"/>
    <n v="0"/>
    <n v="47.6"/>
    <n v="0"/>
    <n v="0"/>
    <n v="0"/>
    <n v="47.6"/>
    <n v="0"/>
    <n v="0"/>
    <n v="0"/>
    <n v="0"/>
    <n v="0"/>
    <n v="0"/>
    <n v="0"/>
    <n v="0"/>
    <n v="0"/>
    <n v="0"/>
    <n v="0"/>
    <n v="0"/>
    <n v="0"/>
    <n v="0"/>
    <n v="0"/>
    <n v="0"/>
    <n v="0"/>
    <s v="FSCTMS04T27F205W"/>
  </r>
  <r>
    <s v="TC1"/>
    <s v="0100"/>
    <n v="80710"/>
    <s v="TANTO"/>
    <s v="GINEVRA"/>
    <m/>
    <s v="24/03/2025"/>
    <m/>
    <n v="0"/>
    <m/>
    <x v="6"/>
    <m/>
    <s v="IMPIEGATO"/>
    <m/>
    <n v="1455"/>
    <n v="0"/>
    <n v="0"/>
    <n v="0"/>
    <n v="0"/>
    <n v="0"/>
    <n v="0"/>
    <n v="0"/>
    <n v="0"/>
    <n v="0"/>
    <n v="0"/>
    <n v="21.23"/>
    <n v="0"/>
    <n v="0"/>
    <n v="0"/>
    <n v="1476.23"/>
    <n v="0"/>
    <n v="0"/>
    <n v="0"/>
    <n v="1476.23"/>
    <n v="0"/>
    <n v="0"/>
    <n v="0"/>
    <n v="0"/>
    <n v="0"/>
    <n v="0"/>
    <n v="0"/>
    <n v="0"/>
    <n v="0"/>
    <n v="0"/>
    <n v="0"/>
    <n v="0"/>
    <n v="0"/>
    <n v="0"/>
    <n v="0"/>
    <n v="0"/>
    <n v="0"/>
    <s v="TNTGVR97A65L781C"/>
  </r>
  <r>
    <s v="TC1"/>
    <s v="0100"/>
    <n v="80720"/>
    <s v="FOKS"/>
    <s v="MONICA"/>
    <m/>
    <s v="08/04/2025"/>
    <m/>
    <n v="0"/>
    <m/>
    <x v="8"/>
    <m/>
    <s v="OPERAIO"/>
    <m/>
    <n v="2000"/>
    <n v="0"/>
    <n v="0"/>
    <n v="0"/>
    <n v="0"/>
    <n v="0"/>
    <n v="0"/>
    <n v="0"/>
    <n v="0"/>
    <n v="0"/>
    <n v="0"/>
    <n v="45.03"/>
    <n v="0"/>
    <n v="0"/>
    <n v="0"/>
    <n v="2045.03"/>
    <n v="0"/>
    <n v="0"/>
    <n v="0"/>
    <n v="2045.03"/>
    <n v="0"/>
    <n v="0"/>
    <n v="0"/>
    <n v="0"/>
    <n v="0"/>
    <n v="0"/>
    <n v="0"/>
    <n v="0"/>
    <n v="0"/>
    <n v="0"/>
    <n v="0"/>
    <n v="0"/>
    <n v="0"/>
    <n v="0"/>
    <n v="0"/>
    <n v="0"/>
    <n v="0"/>
    <s v="FKSMNC71E54L781Q"/>
  </r>
  <r>
    <s v="TC1"/>
    <s v="0100"/>
    <n v="80730"/>
    <s v="MOHAMED LATIF"/>
    <s v="MOHAMED RIYAZ"/>
    <m/>
    <s v="23/04/2025"/>
    <m/>
    <n v="0"/>
    <m/>
    <x v="8"/>
    <m/>
    <s v="OPERAIO"/>
    <m/>
    <n v="1020"/>
    <n v="0"/>
    <n v="0"/>
    <n v="0"/>
    <n v="0"/>
    <n v="0"/>
    <n v="0"/>
    <n v="0"/>
    <n v="0"/>
    <n v="0"/>
    <n v="0"/>
    <n v="36.659999999999997"/>
    <n v="0"/>
    <n v="0"/>
    <n v="0"/>
    <n v="1056.6600000000001"/>
    <n v="0"/>
    <n v="0"/>
    <n v="0"/>
    <n v="1056.6600000000001"/>
    <n v="0"/>
    <n v="0"/>
    <n v="0"/>
    <n v="0"/>
    <n v="0"/>
    <n v="0"/>
    <n v="0"/>
    <n v="0"/>
    <n v="0"/>
    <n v="0"/>
    <n v="0"/>
    <n v="0"/>
    <n v="0"/>
    <n v="0"/>
    <n v="0"/>
    <n v="0"/>
    <n v="0"/>
    <s v="MHMMMD79H13Z209W"/>
  </r>
  <r>
    <s v="TC1"/>
    <s v="0100"/>
    <n v="80740"/>
    <s v="OKOYORMON"/>
    <s v="PETERS"/>
    <m/>
    <s v="23/04/2025"/>
    <m/>
    <n v="0"/>
    <m/>
    <x v="8"/>
    <m/>
    <s v="OPERAIO"/>
    <m/>
    <n v="1020"/>
    <n v="0"/>
    <n v="0"/>
    <n v="0"/>
    <n v="0"/>
    <n v="0"/>
    <n v="0"/>
    <n v="0"/>
    <n v="0"/>
    <n v="0"/>
    <n v="0"/>
    <n v="36.659999999999997"/>
    <n v="0"/>
    <n v="0"/>
    <n v="0"/>
    <n v="1056.6600000000001"/>
    <n v="0"/>
    <n v="0"/>
    <n v="0"/>
    <n v="1056.6600000000001"/>
    <n v="0"/>
    <n v="0"/>
    <n v="0"/>
    <n v="0"/>
    <n v="0"/>
    <n v="0"/>
    <n v="0"/>
    <n v="0"/>
    <n v="0"/>
    <n v="0"/>
    <n v="0"/>
    <n v="0"/>
    <n v="0"/>
    <n v="0"/>
    <n v="0"/>
    <n v="0"/>
    <n v="0"/>
    <s v="KYRPRS70L23Z335X"/>
  </r>
  <r>
    <s v="TC1"/>
    <s v="0100"/>
    <n v="80750"/>
    <s v="IOVITA"/>
    <s v="ECATERINA"/>
    <m/>
    <s v="08/04/2025"/>
    <m/>
    <n v="0"/>
    <m/>
    <x v="8"/>
    <m/>
    <s v="OPERAIO"/>
    <m/>
    <n v="1575"/>
    <n v="0"/>
    <n v="0"/>
    <n v="0"/>
    <n v="0"/>
    <n v="0"/>
    <n v="0"/>
    <n v="0"/>
    <n v="0"/>
    <n v="0"/>
    <n v="0"/>
    <n v="45.03"/>
    <n v="0"/>
    <n v="0"/>
    <n v="0"/>
    <n v="1620.03"/>
    <n v="0"/>
    <n v="0"/>
    <n v="0"/>
    <n v="1620.03"/>
    <n v="0"/>
    <n v="0"/>
    <n v="0"/>
    <n v="0"/>
    <n v="0"/>
    <n v="0"/>
    <n v="0"/>
    <n v="0"/>
    <n v="0"/>
    <n v="0"/>
    <n v="0"/>
    <n v="0"/>
    <n v="0"/>
    <n v="0"/>
    <n v="0"/>
    <n v="0"/>
    <n v="0"/>
    <s v="VTICRN76D43Z140M"/>
  </r>
  <r>
    <s v="TC1"/>
    <s v="0100"/>
    <n v="80760"/>
    <s v="SINGH"/>
    <s v="HARJINDER"/>
    <m/>
    <s v="07/04/2025"/>
    <m/>
    <n v="0"/>
    <m/>
    <x v="8"/>
    <m/>
    <s v="OPERAIO"/>
    <m/>
    <n v="1260"/>
    <n v="0"/>
    <n v="0"/>
    <n v="0"/>
    <n v="0"/>
    <n v="0"/>
    <n v="0"/>
    <n v="0"/>
    <n v="0"/>
    <n v="0"/>
    <n v="0"/>
    <n v="45.66"/>
    <n v="0"/>
    <n v="0"/>
    <n v="0"/>
    <n v="1305.6600000000001"/>
    <n v="0"/>
    <n v="0"/>
    <n v="0"/>
    <n v="1305.6600000000001"/>
    <n v="0"/>
    <n v="0"/>
    <n v="0"/>
    <n v="0"/>
    <n v="0"/>
    <n v="0"/>
    <n v="0"/>
    <n v="0"/>
    <n v="0"/>
    <n v="0"/>
    <n v="0"/>
    <n v="0"/>
    <n v="0"/>
    <n v="0"/>
    <n v="0"/>
    <n v="0"/>
    <n v="0"/>
    <s v="SNGHJN86R02Z222A"/>
  </r>
  <r>
    <s v="TC1"/>
    <s v="0100"/>
    <n v="80770"/>
    <s v="ENABUELE"/>
    <s v="QUEEN"/>
    <m/>
    <s v="09/04/2025"/>
    <m/>
    <n v="0"/>
    <m/>
    <x v="8"/>
    <m/>
    <s v="OPERAIO"/>
    <m/>
    <n v="1215"/>
    <n v="0"/>
    <n v="0"/>
    <n v="0"/>
    <n v="0"/>
    <n v="0"/>
    <n v="0"/>
    <n v="0"/>
    <n v="0"/>
    <n v="0"/>
    <n v="0"/>
    <n v="44.38"/>
    <n v="0"/>
    <n v="0"/>
    <n v="0"/>
    <n v="1259.3800000000001"/>
    <n v="0"/>
    <n v="0"/>
    <n v="0"/>
    <n v="1259.3800000000001"/>
    <n v="0"/>
    <n v="0"/>
    <n v="0"/>
    <n v="0"/>
    <n v="0"/>
    <n v="0"/>
    <n v="0"/>
    <n v="0"/>
    <n v="0"/>
    <n v="0"/>
    <n v="0"/>
    <n v="0"/>
    <n v="0"/>
    <n v="0"/>
    <n v="0"/>
    <n v="0"/>
    <n v="0"/>
    <s v="NBLQNU88P61Z335J"/>
  </r>
  <r>
    <s v="TC1"/>
    <s v="0100"/>
    <n v="80780"/>
    <s v="LISNIC"/>
    <s v="NICOLETA"/>
    <m/>
    <s v="12/05/2025"/>
    <m/>
    <n v="0"/>
    <m/>
    <x v="8"/>
    <m/>
    <s v="OPERAIO"/>
    <m/>
    <n v="735"/>
    <n v="0"/>
    <n v="0"/>
    <n v="0"/>
    <n v="0"/>
    <n v="0"/>
    <n v="0"/>
    <n v="0"/>
    <n v="0"/>
    <n v="0"/>
    <n v="0"/>
    <n v="27.66"/>
    <n v="0"/>
    <n v="0"/>
    <n v="0"/>
    <n v="762.66"/>
    <n v="0"/>
    <n v="0"/>
    <n v="0"/>
    <n v="762.66"/>
    <n v="0"/>
    <n v="0"/>
    <n v="0"/>
    <n v="0"/>
    <n v="0"/>
    <n v="0"/>
    <n v="0"/>
    <n v="0"/>
    <n v="0"/>
    <n v="0"/>
    <n v="0"/>
    <n v="0"/>
    <n v="0"/>
    <n v="0"/>
    <n v="0"/>
    <n v="0"/>
    <n v="0"/>
    <s v="LSNNLT99E56Z140L"/>
  </r>
  <r>
    <s v="TC1"/>
    <s v="0100"/>
    <n v="80790"/>
    <s v="ILEA"/>
    <s v="ADINA RODICA"/>
    <m/>
    <s v="02/06/2025"/>
    <m/>
    <n v="0"/>
    <m/>
    <x v="8"/>
    <m/>
    <s v="OPERAIO"/>
    <m/>
    <n v="450"/>
    <n v="0"/>
    <n v="0"/>
    <n v="0"/>
    <n v="0"/>
    <n v="0"/>
    <n v="0"/>
    <n v="0"/>
    <n v="0"/>
    <n v="0"/>
    <n v="0"/>
    <n v="16.079999999999998"/>
    <n v="0"/>
    <n v="0"/>
    <n v="0"/>
    <n v="466.08"/>
    <n v="0"/>
    <n v="0"/>
    <n v="0"/>
    <n v="466.08"/>
    <n v="0"/>
    <n v="0"/>
    <n v="0"/>
    <n v="0"/>
    <n v="0"/>
    <n v="0"/>
    <n v="0"/>
    <n v="0"/>
    <n v="0"/>
    <n v="0"/>
    <n v="0"/>
    <n v="0"/>
    <n v="0"/>
    <n v="0"/>
    <n v="0"/>
    <n v="0"/>
    <n v="0"/>
    <s v="LIEDRD76C67Z129E"/>
  </r>
  <r>
    <s v="TC1"/>
    <s v="0100"/>
    <n v="80800"/>
    <s v="VAROTTO"/>
    <s v="TAMARA"/>
    <m/>
    <s v="02/06/2025"/>
    <m/>
    <n v="0"/>
    <m/>
    <x v="8"/>
    <m/>
    <s v="OPERAIO"/>
    <m/>
    <n v="550"/>
    <n v="0"/>
    <n v="0"/>
    <n v="0"/>
    <n v="0"/>
    <n v="0"/>
    <n v="0"/>
    <n v="0"/>
    <n v="0"/>
    <n v="0"/>
    <n v="0"/>
    <n v="16.079999999999998"/>
    <n v="0"/>
    <n v="0"/>
    <n v="0"/>
    <n v="566.08000000000004"/>
    <n v="0"/>
    <n v="0"/>
    <n v="0"/>
    <n v="566.08000000000004"/>
    <n v="0"/>
    <n v="0"/>
    <n v="0"/>
    <n v="0"/>
    <n v="0"/>
    <n v="0"/>
    <n v="0"/>
    <n v="0"/>
    <n v="0"/>
    <n v="0"/>
    <n v="0"/>
    <n v="0"/>
    <n v="0"/>
    <n v="0"/>
    <n v="0"/>
    <n v="0"/>
    <n v="0"/>
    <s v="VRTTMR74A67G693V"/>
  </r>
  <r>
    <s v="TC1"/>
    <s v="0100"/>
    <n v="100000"/>
    <s v="FISCALE"/>
    <s v="ANNA"/>
    <m/>
    <s v="01/01/2022"/>
    <m/>
    <n v="0"/>
    <m/>
    <x v="10"/>
    <m/>
    <s v="AMMINISTR.SIND.COLLAB."/>
    <m/>
    <n v="7500"/>
    <n v="1200"/>
    <n v="0"/>
    <n v="0"/>
    <n v="0"/>
    <n v="0"/>
    <n v="0"/>
    <n v="0"/>
    <n v="0"/>
    <n v="0"/>
    <n v="0"/>
    <n v="0"/>
    <n v="0"/>
    <n v="0"/>
    <n v="0"/>
    <n v="8700"/>
    <n v="0"/>
    <n v="0"/>
    <n v="0"/>
    <n v="8700"/>
    <n v="0"/>
    <n v="0"/>
    <n v="0"/>
    <n v="0"/>
    <n v="0"/>
    <n v="0"/>
    <n v="0"/>
    <n v="0"/>
    <n v="0"/>
    <n v="0"/>
    <n v="0"/>
    <n v="0"/>
    <n v="0"/>
    <n v="0"/>
    <n v="0"/>
    <n v="0"/>
    <n v="0"/>
    <s v="FSCNNA88A55L781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666FE-0D58-4939-926D-6CFFB6BA1378}" name="PivotTable1" cacheId="919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2:B17" firstHeaderRow="1" firstDataRow="1" firstDataCol="1"/>
  <pivotFields count="5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">
        <item x="0"/>
        <item x="3"/>
        <item x="5"/>
        <item x="8"/>
        <item x="9"/>
        <item x="2"/>
        <item x="11"/>
        <item x="13"/>
        <item x="12"/>
        <item x="10"/>
        <item x="6"/>
        <item x="4"/>
        <item h="1" x="7"/>
        <item x="1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</pivotFields>
  <rowFields count="1">
    <field x="1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 t="grand">
      <x/>
    </i>
  </rowItems>
  <colItems count="1">
    <i/>
  </colItems>
  <dataFields count="1">
    <dataField name="Somma di Totale A.C. PRG" fld="33" baseField="0" baseItem="0" numFmtId="165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Libre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05"/>
  <sheetViews>
    <sheetView zoomScaleNormal="100" workbookViewId="0">
      <selection activeCell="L1" sqref="L1"/>
    </sheetView>
  </sheetViews>
  <sheetFormatPr defaultColWidth="11.5703125" defaultRowHeight="16.899999999999999"/>
  <cols>
    <col min="1" max="1" width="12.28515625" style="1" customWidth="1"/>
    <col min="2" max="3" width="11.5703125" style="1"/>
    <col min="4" max="4" width="21.85546875" style="1" customWidth="1"/>
    <col min="5" max="5" width="23.7109375" style="1" customWidth="1"/>
    <col min="6" max="6" width="19.42578125" style="1" customWidth="1"/>
    <col min="7" max="7" width="16.85546875" style="1" customWidth="1"/>
    <col min="8" max="8" width="16.42578125" style="1" customWidth="1"/>
    <col min="9" max="9" width="11.5703125" style="1"/>
    <col min="10" max="10" width="13.140625" style="1" customWidth="1"/>
    <col min="11" max="11" width="15.85546875" style="1" customWidth="1"/>
    <col min="12" max="12" width="11.5703125" style="1"/>
    <col min="13" max="13" width="25.28515625" style="1" customWidth="1"/>
    <col min="14" max="14" width="13.7109375" style="1" customWidth="1"/>
    <col min="15" max="15" width="16.42578125" style="1" customWidth="1"/>
    <col min="16" max="16" width="16.5703125" style="1" customWidth="1"/>
    <col min="17" max="17" width="20.42578125" style="1" customWidth="1"/>
    <col min="18" max="18" width="14" style="1" customWidth="1"/>
    <col min="19" max="19" width="14.28515625" style="1" customWidth="1"/>
    <col min="20" max="20" width="14" style="1" customWidth="1"/>
    <col min="21" max="21" width="19.140625" style="1" customWidth="1"/>
    <col min="22" max="22" width="17.140625" style="1" customWidth="1"/>
    <col min="23" max="23" width="22.28515625" style="1" customWidth="1"/>
    <col min="24" max="24" width="14" style="1" customWidth="1"/>
    <col min="25" max="25" width="19.28515625" style="1" customWidth="1"/>
    <col min="26" max="26" width="16.140625" style="1" customWidth="1"/>
    <col min="27" max="27" width="16.42578125" style="1" customWidth="1"/>
    <col min="28" max="28" width="15.5703125" style="1" customWidth="1"/>
    <col min="29" max="29" width="16.28515625" style="1" customWidth="1"/>
    <col min="30" max="30" width="12.140625" style="1" customWidth="1"/>
    <col min="31" max="31" width="17.85546875" style="1" customWidth="1"/>
    <col min="32" max="32" width="15" style="1" customWidth="1"/>
    <col min="33" max="33" width="15.85546875" style="1" customWidth="1"/>
    <col min="34" max="34" width="16" style="1" customWidth="1"/>
    <col min="35" max="35" width="21" style="1" customWidth="1"/>
    <col min="36" max="36" width="16.140625" style="1" customWidth="1"/>
    <col min="37" max="37" width="16.28515625" style="1" customWidth="1"/>
    <col min="38" max="38" width="20.140625" style="1" customWidth="1"/>
    <col min="39" max="39" width="13.85546875" style="1" customWidth="1"/>
    <col min="40" max="40" width="14" style="1" customWidth="1"/>
    <col min="41" max="41" width="13.7109375" style="1" customWidth="1"/>
    <col min="42" max="42" width="18.85546875" style="1" customWidth="1"/>
    <col min="43" max="43" width="16.85546875" style="1" customWidth="1"/>
    <col min="44" max="44" width="22.140625" style="1" customWidth="1"/>
    <col min="45" max="45" width="13.7109375" style="1" customWidth="1"/>
    <col min="46" max="46" width="19" style="1" customWidth="1"/>
    <col min="47" max="47" width="15.85546875" style="1" customWidth="1"/>
    <col min="48" max="48" width="16.140625" style="1" customWidth="1"/>
    <col min="49" max="49" width="15.28515625" style="1" customWidth="1"/>
    <col min="50" max="50" width="16" style="1" customWidth="1"/>
    <col min="51" max="51" width="11.5703125" style="1"/>
    <col min="52" max="52" width="22.42578125" style="1" customWidth="1"/>
    <col min="53" max="16384" width="11.5703125" style="1"/>
  </cols>
  <sheetData>
    <row r="1" spans="1:52" s="3" customFormat="1" ht="14.8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2" ht="14.85" customHeight="1">
      <c r="A2" s="1" t="s">
        <v>52</v>
      </c>
      <c r="B2" s="1" t="s">
        <v>53</v>
      </c>
      <c r="C2" s="1">
        <v>50</v>
      </c>
      <c r="D2" s="1" t="s">
        <v>54</v>
      </c>
      <c r="E2" s="1" t="s">
        <v>55</v>
      </c>
      <c r="G2" s="1" t="s">
        <v>56</v>
      </c>
      <c r="H2" s="4"/>
      <c r="I2" s="1">
        <v>9.5817700000000006</v>
      </c>
      <c r="K2" s="1">
        <v>1</v>
      </c>
      <c r="M2" s="1" t="s">
        <v>57</v>
      </c>
      <c r="O2" s="1">
        <v>9927.92</v>
      </c>
      <c r="P2" s="5">
        <v>66</v>
      </c>
      <c r="Q2" s="5">
        <v>0</v>
      </c>
      <c r="R2" s="5">
        <v>0</v>
      </c>
      <c r="S2" s="5">
        <v>0</v>
      </c>
      <c r="T2" s="5">
        <v>432.62</v>
      </c>
      <c r="U2" s="5">
        <v>0</v>
      </c>
      <c r="V2" s="5">
        <v>790.5</v>
      </c>
      <c r="W2" s="5">
        <v>0</v>
      </c>
      <c r="X2" s="5">
        <v>35.93</v>
      </c>
      <c r="Y2" s="5">
        <v>0</v>
      </c>
      <c r="Z2" s="5">
        <v>94.55</v>
      </c>
      <c r="AA2" s="5">
        <v>11.99</v>
      </c>
      <c r="AB2" s="5">
        <v>784.85</v>
      </c>
      <c r="AC2" s="5">
        <v>58.55</v>
      </c>
      <c r="AD2" s="5">
        <v>12202.91</v>
      </c>
      <c r="AE2" s="5">
        <v>897.5</v>
      </c>
      <c r="AF2" s="5">
        <v>13.647130919220055</v>
      </c>
      <c r="AG2" s="5">
        <v>0.22745218198700093</v>
      </c>
      <c r="AH2" s="5">
        <v>12248.3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-44.94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-0.45</v>
      </c>
      <c r="AW2" s="5">
        <v>0</v>
      </c>
      <c r="AX2" s="5">
        <v>0</v>
      </c>
      <c r="AY2" s="5">
        <v>-45.39</v>
      </c>
      <c r="AZ2" s="5" t="s">
        <v>58</v>
      </c>
    </row>
    <row r="3" spans="1:52" ht="14.85" customHeight="1">
      <c r="A3" s="1" t="s">
        <v>52</v>
      </c>
      <c r="B3" s="1" t="s">
        <v>53</v>
      </c>
      <c r="C3" s="1">
        <v>150</v>
      </c>
      <c r="D3" s="1" t="s">
        <v>59</v>
      </c>
      <c r="E3" s="1" t="s">
        <v>60</v>
      </c>
      <c r="G3" s="1" t="s">
        <v>61</v>
      </c>
      <c r="H3" s="4"/>
      <c r="I3" s="1">
        <v>11.329319999999999</v>
      </c>
      <c r="K3" s="1">
        <v>17</v>
      </c>
      <c r="M3" s="1" t="s">
        <v>57</v>
      </c>
      <c r="O3" s="1">
        <v>12102.16</v>
      </c>
      <c r="P3" s="5">
        <v>3523.71</v>
      </c>
      <c r="Q3" s="5">
        <v>0</v>
      </c>
      <c r="R3" s="5">
        <v>0</v>
      </c>
      <c r="S3" s="5">
        <v>0</v>
      </c>
      <c r="T3" s="5">
        <v>2569.15</v>
      </c>
      <c r="U3" s="5">
        <v>757.9</v>
      </c>
      <c r="V3" s="5">
        <v>934.67</v>
      </c>
      <c r="W3" s="5">
        <v>275.73</v>
      </c>
      <c r="X3" s="5">
        <v>48.15</v>
      </c>
      <c r="Y3" s="5">
        <v>14.2</v>
      </c>
      <c r="Z3" s="5">
        <v>111.63</v>
      </c>
      <c r="AA3" s="5">
        <v>33.83</v>
      </c>
      <c r="AB3" s="5">
        <v>1023.39</v>
      </c>
      <c r="AC3" s="5">
        <v>64.55</v>
      </c>
      <c r="AD3" s="5">
        <v>21459.070000000003</v>
      </c>
      <c r="AE3" s="5">
        <v>826.5</v>
      </c>
      <c r="AF3" s="5">
        <v>23.023678160919545</v>
      </c>
      <c r="AG3" s="5">
        <v>0.3837279693486591</v>
      </c>
      <c r="AH3" s="5">
        <v>19029.070000000003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1859.1</v>
      </c>
      <c r="AP3" s="5">
        <v>548.42999999999995</v>
      </c>
      <c r="AQ3" s="5">
        <v>0</v>
      </c>
      <c r="AR3" s="5">
        <v>0</v>
      </c>
      <c r="AS3" s="5">
        <v>2.8</v>
      </c>
      <c r="AT3" s="5">
        <v>0.83</v>
      </c>
      <c r="AU3" s="5">
        <v>0</v>
      </c>
      <c r="AV3" s="5">
        <v>18.84</v>
      </c>
      <c r="AW3" s="5">
        <v>0</v>
      </c>
      <c r="AX3" s="5">
        <v>0</v>
      </c>
      <c r="AY3" s="5">
        <v>2430</v>
      </c>
      <c r="AZ3" s="5" t="s">
        <v>62</v>
      </c>
    </row>
    <row r="4" spans="1:52" ht="14.85" customHeight="1">
      <c r="A4" s="1" t="s">
        <v>52</v>
      </c>
      <c r="B4" s="1" t="s">
        <v>53</v>
      </c>
      <c r="C4" s="1">
        <v>240</v>
      </c>
      <c r="D4" s="1" t="s">
        <v>63</v>
      </c>
      <c r="E4" s="1" t="s">
        <v>64</v>
      </c>
      <c r="G4" s="1" t="s">
        <v>65</v>
      </c>
      <c r="H4" s="4"/>
      <c r="I4" s="1">
        <v>1911.06</v>
      </c>
      <c r="K4" s="1">
        <v>8</v>
      </c>
      <c r="M4" s="1" t="s">
        <v>66</v>
      </c>
      <c r="O4" s="1">
        <v>3410.55</v>
      </c>
      <c r="P4" s="5">
        <v>1007.74</v>
      </c>
      <c r="Q4" s="5">
        <v>0</v>
      </c>
      <c r="R4" s="5">
        <v>700.12</v>
      </c>
      <c r="S4" s="5">
        <v>0</v>
      </c>
      <c r="T4" s="5">
        <v>1168.53</v>
      </c>
      <c r="U4" s="5">
        <v>313.17</v>
      </c>
      <c r="V4" s="5">
        <v>817.26</v>
      </c>
      <c r="W4" s="5">
        <v>219.03</v>
      </c>
      <c r="X4" s="5">
        <v>0</v>
      </c>
      <c r="Y4" s="5">
        <v>0</v>
      </c>
      <c r="Z4" s="5">
        <v>28.18</v>
      </c>
      <c r="AA4" s="5">
        <v>18.920000000000002</v>
      </c>
      <c r="AB4" s="5">
        <v>1.07</v>
      </c>
      <c r="AC4" s="5">
        <v>56.44</v>
      </c>
      <c r="AD4" s="5">
        <v>7741.0099999999993</v>
      </c>
      <c r="AE4" s="5">
        <v>161.75</v>
      </c>
      <c r="AF4" s="5">
        <v>45.224853168469856</v>
      </c>
      <c r="AG4" s="5">
        <v>0.7537475528078309</v>
      </c>
      <c r="AH4" s="5">
        <v>7315.119999999999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327.43</v>
      </c>
      <c r="AP4" s="5">
        <v>87.75</v>
      </c>
      <c r="AQ4" s="5">
        <v>0</v>
      </c>
      <c r="AR4" s="5">
        <v>0</v>
      </c>
      <c r="AS4" s="5">
        <v>5.79</v>
      </c>
      <c r="AT4" s="5">
        <v>1.55</v>
      </c>
      <c r="AU4" s="5">
        <v>0</v>
      </c>
      <c r="AV4" s="5">
        <v>3.37</v>
      </c>
      <c r="AW4" s="5">
        <v>0</v>
      </c>
      <c r="AX4" s="5">
        <v>0</v>
      </c>
      <c r="AY4" s="5">
        <v>425.89000000000004</v>
      </c>
      <c r="AZ4" s="5" t="s">
        <v>67</v>
      </c>
    </row>
    <row r="5" spans="1:52" ht="14.85" customHeight="1">
      <c r="A5" s="1" t="s">
        <v>52</v>
      </c>
      <c r="B5" s="1" t="s">
        <v>53</v>
      </c>
      <c r="C5" s="1">
        <v>260</v>
      </c>
      <c r="D5" s="1" t="s">
        <v>68</v>
      </c>
      <c r="E5" s="1" t="s">
        <v>69</v>
      </c>
      <c r="G5" s="1" t="s">
        <v>70</v>
      </c>
      <c r="H5" s="4"/>
      <c r="I5" s="1">
        <v>11.844519999999999</v>
      </c>
      <c r="K5" s="1">
        <v>2</v>
      </c>
      <c r="M5" s="1" t="s">
        <v>57</v>
      </c>
      <c r="O5" s="1">
        <v>12726.09</v>
      </c>
      <c r="P5" s="5">
        <v>3667.65</v>
      </c>
      <c r="Q5" s="5">
        <v>0</v>
      </c>
      <c r="R5" s="5">
        <v>834.4</v>
      </c>
      <c r="S5" s="5">
        <v>0</v>
      </c>
      <c r="T5" s="5">
        <v>4047.51</v>
      </c>
      <c r="U5" s="5">
        <v>1174.5899999999999</v>
      </c>
      <c r="V5" s="5">
        <v>977.17</v>
      </c>
      <c r="W5" s="5">
        <v>283.57</v>
      </c>
      <c r="X5" s="5">
        <v>56.26</v>
      </c>
      <c r="Y5" s="5">
        <v>16.329999999999998</v>
      </c>
      <c r="Z5" s="5">
        <v>118.2</v>
      </c>
      <c r="AA5" s="5">
        <v>48.39</v>
      </c>
      <c r="AB5" s="5">
        <v>2.0699999999999998</v>
      </c>
      <c r="AC5" s="5">
        <v>67.489999999999995</v>
      </c>
      <c r="AD5" s="5">
        <v>24019.72</v>
      </c>
      <c r="AE5" s="5">
        <v>864.25</v>
      </c>
      <c r="AF5" s="5">
        <v>22.399433034422909</v>
      </c>
      <c r="AG5" s="5">
        <v>0.37332388390704846</v>
      </c>
      <c r="AH5" s="5">
        <v>19358.71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3584.51</v>
      </c>
      <c r="AP5" s="5">
        <v>1040.22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36.28</v>
      </c>
      <c r="AW5" s="5">
        <v>0</v>
      </c>
      <c r="AX5" s="5">
        <v>0</v>
      </c>
      <c r="AY5" s="5">
        <v>4661.01</v>
      </c>
      <c r="AZ5" s="5" t="s">
        <v>71</v>
      </c>
    </row>
    <row r="6" spans="1:52" ht="14.85" customHeight="1">
      <c r="A6" s="1" t="s">
        <v>52</v>
      </c>
      <c r="B6" s="1" t="s">
        <v>53</v>
      </c>
      <c r="C6" s="1">
        <v>270</v>
      </c>
      <c r="D6" s="1" t="s">
        <v>72</v>
      </c>
      <c r="E6" s="1" t="s">
        <v>73</v>
      </c>
      <c r="G6" s="1" t="s">
        <v>74</v>
      </c>
      <c r="H6" s="4"/>
      <c r="I6" s="1">
        <v>5098.37</v>
      </c>
      <c r="K6" s="1">
        <v>14</v>
      </c>
      <c r="M6" s="1" t="s">
        <v>75</v>
      </c>
      <c r="O6" s="1">
        <v>33829.4</v>
      </c>
      <c r="P6" s="5">
        <v>9137.99</v>
      </c>
      <c r="Q6" s="5">
        <v>0</v>
      </c>
      <c r="R6" s="5">
        <v>0</v>
      </c>
      <c r="S6" s="5">
        <v>0</v>
      </c>
      <c r="T6" s="5">
        <v>5014.63</v>
      </c>
      <c r="U6" s="5">
        <v>1367.99</v>
      </c>
      <c r="V6" s="5">
        <v>2549.1799999999998</v>
      </c>
      <c r="W6" s="5">
        <v>695.42</v>
      </c>
      <c r="X6" s="5">
        <v>0</v>
      </c>
      <c r="Y6" s="5">
        <v>0</v>
      </c>
      <c r="Z6" s="5">
        <v>138.11000000000001</v>
      </c>
      <c r="AA6" s="5">
        <v>31.41</v>
      </c>
      <c r="AB6" s="5">
        <v>2255.5300000000002</v>
      </c>
      <c r="AC6" s="5">
        <v>176.07</v>
      </c>
      <c r="AD6" s="5">
        <v>55195.73</v>
      </c>
      <c r="AE6" s="5">
        <v>758.5</v>
      </c>
      <c r="AF6" s="5">
        <v>67.46619644034277</v>
      </c>
      <c r="AG6" s="5">
        <v>1.1244366073390462</v>
      </c>
      <c r="AH6" s="5">
        <v>51173.109999999993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3150.17</v>
      </c>
      <c r="AP6" s="5">
        <v>859.37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13.08</v>
      </c>
      <c r="AW6" s="5">
        <v>0</v>
      </c>
      <c r="AX6" s="5">
        <v>0</v>
      </c>
      <c r="AY6" s="5">
        <v>4022.62</v>
      </c>
      <c r="AZ6" s="5" t="s">
        <v>76</v>
      </c>
    </row>
    <row r="7" spans="1:52" ht="14.85" customHeight="1">
      <c r="A7" s="1" t="s">
        <v>52</v>
      </c>
      <c r="B7" s="1" t="s">
        <v>53</v>
      </c>
      <c r="C7" s="1">
        <v>310</v>
      </c>
      <c r="D7" s="1" t="s">
        <v>77</v>
      </c>
      <c r="E7" s="1" t="s">
        <v>78</v>
      </c>
      <c r="G7" s="1" t="s">
        <v>79</v>
      </c>
      <c r="H7" s="4"/>
      <c r="I7" s="1">
        <v>9.9320699999999995</v>
      </c>
      <c r="K7" s="1">
        <v>5</v>
      </c>
      <c r="M7" s="1" t="s">
        <v>57</v>
      </c>
      <c r="O7" s="1">
        <v>9077.08</v>
      </c>
      <c r="P7" s="5">
        <v>2756.1</v>
      </c>
      <c r="Q7" s="5">
        <v>0</v>
      </c>
      <c r="R7" s="5">
        <v>0</v>
      </c>
      <c r="S7" s="5">
        <v>0</v>
      </c>
      <c r="T7" s="5">
        <v>1319.87</v>
      </c>
      <c r="U7" s="5">
        <v>389.36</v>
      </c>
      <c r="V7" s="5">
        <v>819.4</v>
      </c>
      <c r="W7" s="5">
        <v>241.72</v>
      </c>
      <c r="X7" s="5">
        <v>29.8</v>
      </c>
      <c r="Y7" s="5">
        <v>8.7899999999999991</v>
      </c>
      <c r="Z7" s="5">
        <v>86.85</v>
      </c>
      <c r="AA7" s="5">
        <v>20.65</v>
      </c>
      <c r="AB7" s="5">
        <v>903.99</v>
      </c>
      <c r="AC7" s="5">
        <v>56.59</v>
      </c>
      <c r="AD7" s="5">
        <v>15710.2</v>
      </c>
      <c r="AE7" s="5">
        <v>705.25</v>
      </c>
      <c r="AF7" s="5">
        <v>20.418759305210916</v>
      </c>
      <c r="AG7" s="5">
        <v>0.3403126550868486</v>
      </c>
      <c r="AH7" s="5">
        <v>14400.329999999998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991.22</v>
      </c>
      <c r="AP7" s="5">
        <v>292.41000000000003</v>
      </c>
      <c r="AQ7" s="5">
        <v>0</v>
      </c>
      <c r="AR7" s="5">
        <v>0</v>
      </c>
      <c r="AS7" s="5">
        <v>12.42</v>
      </c>
      <c r="AT7" s="5">
        <v>3.66</v>
      </c>
      <c r="AU7" s="5">
        <v>0</v>
      </c>
      <c r="AV7" s="5">
        <v>10.16</v>
      </c>
      <c r="AW7" s="5">
        <v>0</v>
      </c>
      <c r="AX7" s="5">
        <v>0</v>
      </c>
      <c r="AY7" s="5">
        <v>1309.8700000000003</v>
      </c>
      <c r="AZ7" s="5" t="s">
        <v>80</v>
      </c>
    </row>
    <row r="8" spans="1:52" ht="14.85" customHeight="1">
      <c r="A8" s="1" t="s">
        <v>52</v>
      </c>
      <c r="B8" s="1" t="s">
        <v>53</v>
      </c>
      <c r="C8" s="1">
        <v>380</v>
      </c>
      <c r="D8" s="1" t="s">
        <v>81</v>
      </c>
      <c r="E8" s="1" t="s">
        <v>82</v>
      </c>
      <c r="G8" s="1" t="s">
        <v>83</v>
      </c>
      <c r="H8" s="4"/>
      <c r="I8" s="1">
        <v>2007.43</v>
      </c>
      <c r="K8" s="1">
        <v>13</v>
      </c>
      <c r="M8" s="1" t="s">
        <v>66</v>
      </c>
      <c r="O8" s="1">
        <v>13560.2</v>
      </c>
      <c r="P8" s="5">
        <v>3587.19</v>
      </c>
      <c r="Q8" s="5">
        <v>0</v>
      </c>
      <c r="R8" s="5">
        <v>0</v>
      </c>
      <c r="S8" s="5">
        <v>0</v>
      </c>
      <c r="T8" s="5">
        <v>3485.99</v>
      </c>
      <c r="U8" s="5">
        <v>977.23</v>
      </c>
      <c r="V8" s="5">
        <v>882.68</v>
      </c>
      <c r="W8" s="5">
        <v>247.44</v>
      </c>
      <c r="X8" s="5">
        <v>27.37</v>
      </c>
      <c r="Y8" s="5">
        <v>7.67</v>
      </c>
      <c r="Z8" s="5">
        <v>36.049999999999997</v>
      </c>
      <c r="AA8" s="5">
        <v>16.87</v>
      </c>
      <c r="AB8" s="5">
        <v>876.75</v>
      </c>
      <c r="AC8" s="5">
        <v>60.96</v>
      </c>
      <c r="AD8" s="5">
        <v>23766.399999999991</v>
      </c>
      <c r="AE8" s="5">
        <v>760.5</v>
      </c>
      <c r="AF8" s="5">
        <v>26.648415516107814</v>
      </c>
      <c r="AG8" s="5">
        <v>0.4441402586017969</v>
      </c>
      <c r="AH8" s="5">
        <v>20266.119999999992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2725.72</v>
      </c>
      <c r="AP8" s="5">
        <v>764.1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10.46</v>
      </c>
      <c r="AW8" s="5">
        <v>0</v>
      </c>
      <c r="AX8" s="5">
        <v>0</v>
      </c>
      <c r="AY8" s="5">
        <v>3500.28</v>
      </c>
      <c r="AZ8" s="5" t="s">
        <v>84</v>
      </c>
    </row>
    <row r="9" spans="1:52" ht="14.85" customHeight="1">
      <c r="A9" s="1" t="s">
        <v>52</v>
      </c>
      <c r="B9" s="1" t="s">
        <v>53</v>
      </c>
      <c r="C9" s="1">
        <v>420</v>
      </c>
      <c r="D9" s="1" t="s">
        <v>85</v>
      </c>
      <c r="E9" s="1" t="s">
        <v>86</v>
      </c>
      <c r="G9" s="1" t="s">
        <v>87</v>
      </c>
      <c r="H9" s="4"/>
      <c r="I9" s="1">
        <v>10.48316</v>
      </c>
      <c r="K9" s="1">
        <v>2</v>
      </c>
      <c r="M9" s="1" t="s">
        <v>57</v>
      </c>
      <c r="O9" s="1">
        <v>10711.16</v>
      </c>
      <c r="P9" s="5">
        <v>3225.73</v>
      </c>
      <c r="Q9" s="5">
        <v>0</v>
      </c>
      <c r="R9" s="5">
        <v>0</v>
      </c>
      <c r="S9" s="5">
        <v>0</v>
      </c>
      <c r="T9" s="5">
        <v>1960.04</v>
      </c>
      <c r="U9" s="5">
        <v>578.21</v>
      </c>
      <c r="V9" s="5">
        <v>864.86</v>
      </c>
      <c r="W9" s="5">
        <v>255.13</v>
      </c>
      <c r="X9" s="5">
        <v>7.86</v>
      </c>
      <c r="Y9" s="5">
        <v>2.3199999999999998</v>
      </c>
      <c r="Z9" s="5">
        <v>102.02</v>
      </c>
      <c r="AA9" s="5">
        <v>26.98</v>
      </c>
      <c r="AB9" s="5">
        <v>906.92</v>
      </c>
      <c r="AC9" s="5">
        <v>59.73</v>
      </c>
      <c r="AD9" s="5">
        <v>18700.96</v>
      </c>
      <c r="AE9" s="5">
        <v>797.75</v>
      </c>
      <c r="AF9" s="5">
        <v>20.035537449075523</v>
      </c>
      <c r="AG9" s="5">
        <v>0.3339256241512587</v>
      </c>
      <c r="AH9" s="5">
        <v>15983.349999999999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2082.27</v>
      </c>
      <c r="AP9" s="5">
        <v>614.27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21.07</v>
      </c>
      <c r="AW9" s="5">
        <v>0</v>
      </c>
      <c r="AX9" s="5">
        <v>0</v>
      </c>
      <c r="AY9" s="5">
        <v>2717.61</v>
      </c>
      <c r="AZ9" s="5" t="s">
        <v>88</v>
      </c>
    </row>
    <row r="10" spans="1:52" ht="14.85" customHeight="1">
      <c r="A10" s="1" t="s">
        <v>52</v>
      </c>
      <c r="B10" s="1" t="s">
        <v>53</v>
      </c>
      <c r="C10" s="1">
        <v>440</v>
      </c>
      <c r="D10" s="1" t="s">
        <v>89</v>
      </c>
      <c r="E10" s="1" t="s">
        <v>90</v>
      </c>
      <c r="F10" s="1" t="s">
        <v>91</v>
      </c>
      <c r="G10" s="1" t="s">
        <v>92</v>
      </c>
      <c r="H10" s="4" t="s">
        <v>93</v>
      </c>
      <c r="I10" s="1">
        <v>9.6056500000000007</v>
      </c>
      <c r="K10" s="1">
        <v>14</v>
      </c>
      <c r="M10" s="1" t="s">
        <v>66</v>
      </c>
      <c r="O10" s="1">
        <v>4361.3999999999996</v>
      </c>
      <c r="P10" s="5">
        <v>1223.5899999999999</v>
      </c>
      <c r="Q10" s="5">
        <v>0</v>
      </c>
      <c r="R10" s="5">
        <v>233.1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30.57</v>
      </c>
      <c r="AA10" s="5">
        <v>0</v>
      </c>
      <c r="AB10" s="5">
        <v>2.44</v>
      </c>
      <c r="AC10" s="5">
        <v>0</v>
      </c>
      <c r="AD10" s="5">
        <v>5851.1</v>
      </c>
      <c r="AE10" s="5">
        <v>239</v>
      </c>
      <c r="AF10" s="5">
        <v>19.430041841004183</v>
      </c>
      <c r="AG10" s="5">
        <v>0.32383403068340305</v>
      </c>
      <c r="AH10" s="5">
        <v>4643.78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941.35</v>
      </c>
      <c r="AP10" s="5">
        <v>259.37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6.6</v>
      </c>
      <c r="AW10" s="5">
        <v>0</v>
      </c>
      <c r="AX10" s="5">
        <v>0</v>
      </c>
      <c r="AY10" s="5">
        <v>1207.32</v>
      </c>
      <c r="AZ10" s="5" t="s">
        <v>94</v>
      </c>
    </row>
    <row r="11" spans="1:52" ht="14.85" customHeight="1">
      <c r="A11" s="1" t="s">
        <v>52</v>
      </c>
      <c r="B11" s="1" t="s">
        <v>53</v>
      </c>
      <c r="C11" s="1">
        <v>540</v>
      </c>
      <c r="D11" s="1" t="s">
        <v>95</v>
      </c>
      <c r="E11" s="1" t="s">
        <v>96</v>
      </c>
      <c r="G11" s="1" t="s">
        <v>97</v>
      </c>
      <c r="H11" s="4" t="s">
        <v>98</v>
      </c>
      <c r="I11" s="1">
        <v>4588.42</v>
      </c>
      <c r="K11" s="1">
        <v>15</v>
      </c>
      <c r="M11" s="1" t="s">
        <v>66</v>
      </c>
      <c r="O11" s="1">
        <v>53174.879999999997</v>
      </c>
      <c r="P11" s="5">
        <v>1988.27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204.04</v>
      </c>
      <c r="AA11" s="5">
        <v>0</v>
      </c>
      <c r="AB11" s="5">
        <v>2483.14</v>
      </c>
      <c r="AC11" s="5">
        <v>0</v>
      </c>
      <c r="AD11" s="5">
        <v>57850.329999999994</v>
      </c>
      <c r="AE11" s="5">
        <v>919</v>
      </c>
      <c r="AF11" s="5">
        <v>53.717105549510329</v>
      </c>
      <c r="AG11" s="5">
        <v>0.89528509249183885</v>
      </c>
      <c r="AH11" s="5">
        <v>49366.01999999999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8451.8700000000008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32.44</v>
      </c>
      <c r="AW11" s="5">
        <v>0</v>
      </c>
      <c r="AX11" s="5">
        <v>0</v>
      </c>
      <c r="AY11" s="5">
        <v>8484.3100000000013</v>
      </c>
      <c r="AZ11" s="5" t="s">
        <v>99</v>
      </c>
    </row>
    <row r="12" spans="1:52" ht="14.85" customHeight="1">
      <c r="A12" s="1" t="s">
        <v>52</v>
      </c>
      <c r="B12" s="1" t="s">
        <v>53</v>
      </c>
      <c r="C12" s="1">
        <v>550</v>
      </c>
      <c r="D12" s="1" t="s">
        <v>100</v>
      </c>
      <c r="E12" s="1" t="s">
        <v>101</v>
      </c>
      <c r="G12" s="1" t="s">
        <v>102</v>
      </c>
      <c r="H12" s="4"/>
      <c r="I12" s="1">
        <v>9.4831599999999998</v>
      </c>
      <c r="K12" s="1">
        <v>1</v>
      </c>
      <c r="M12" s="1" t="s">
        <v>57</v>
      </c>
      <c r="O12" s="1">
        <v>6768.8</v>
      </c>
      <c r="P12" s="5">
        <v>66</v>
      </c>
      <c r="Q12" s="5">
        <v>0</v>
      </c>
      <c r="R12" s="5">
        <v>0</v>
      </c>
      <c r="S12" s="5">
        <v>0</v>
      </c>
      <c r="T12" s="5">
        <v>2924.04</v>
      </c>
      <c r="U12" s="5">
        <v>0</v>
      </c>
      <c r="V12" s="5">
        <v>782.36</v>
      </c>
      <c r="W12" s="5">
        <v>0</v>
      </c>
      <c r="X12" s="5">
        <v>4.74</v>
      </c>
      <c r="Y12" s="5">
        <v>0</v>
      </c>
      <c r="Z12" s="5">
        <v>64.45</v>
      </c>
      <c r="AA12" s="5">
        <v>35.35</v>
      </c>
      <c r="AB12" s="5">
        <v>826.85</v>
      </c>
      <c r="AC12" s="5">
        <v>57.95</v>
      </c>
      <c r="AD12" s="5">
        <v>11530.540000000003</v>
      </c>
      <c r="AE12" s="5">
        <v>337</v>
      </c>
      <c r="AF12" s="5">
        <v>26.1852818991098</v>
      </c>
      <c r="AG12" s="5">
        <v>0.43642136498516332</v>
      </c>
      <c r="AH12" s="5">
        <v>8824.4400000000023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2674.25</v>
      </c>
      <c r="AP12" s="5">
        <v>0</v>
      </c>
      <c r="AQ12" s="5">
        <v>0</v>
      </c>
      <c r="AR12" s="5">
        <v>0</v>
      </c>
      <c r="AS12" s="5">
        <v>4.74</v>
      </c>
      <c r="AT12" s="5">
        <v>0</v>
      </c>
      <c r="AU12" s="5">
        <v>0</v>
      </c>
      <c r="AV12" s="5">
        <v>27.11</v>
      </c>
      <c r="AW12" s="5">
        <v>0</v>
      </c>
      <c r="AX12" s="5">
        <v>0</v>
      </c>
      <c r="AY12" s="5">
        <v>2706.1</v>
      </c>
      <c r="AZ12" s="5" t="s">
        <v>103</v>
      </c>
    </row>
    <row r="13" spans="1:52" ht="14.85" customHeight="1">
      <c r="A13" s="1" t="s">
        <v>52</v>
      </c>
      <c r="B13" s="1" t="s">
        <v>53</v>
      </c>
      <c r="C13" s="1">
        <v>590</v>
      </c>
      <c r="D13" s="1" t="s">
        <v>104</v>
      </c>
      <c r="E13" s="1" t="s">
        <v>105</v>
      </c>
      <c r="G13" s="1" t="s">
        <v>106</v>
      </c>
      <c r="H13" s="4"/>
      <c r="I13" s="1">
        <v>10.883760000000001</v>
      </c>
      <c r="K13" s="1">
        <v>1</v>
      </c>
      <c r="M13" s="1" t="s">
        <v>57</v>
      </c>
      <c r="O13" s="1">
        <v>11370.82</v>
      </c>
      <c r="P13" s="5">
        <v>3365.86</v>
      </c>
      <c r="Q13" s="5">
        <v>0</v>
      </c>
      <c r="R13" s="5">
        <v>766.89</v>
      </c>
      <c r="S13" s="5">
        <v>0</v>
      </c>
      <c r="T13" s="5">
        <v>4915</v>
      </c>
      <c r="U13" s="5">
        <v>1426.33</v>
      </c>
      <c r="V13" s="5">
        <v>897.91</v>
      </c>
      <c r="W13" s="5">
        <v>260.57</v>
      </c>
      <c r="X13" s="5">
        <v>38.090000000000003</v>
      </c>
      <c r="Y13" s="5">
        <v>11.05</v>
      </c>
      <c r="Z13" s="5">
        <v>108.32</v>
      </c>
      <c r="AA13" s="5">
        <v>55.72</v>
      </c>
      <c r="AB13" s="5">
        <v>5.24</v>
      </c>
      <c r="AC13" s="5">
        <v>62.02</v>
      </c>
      <c r="AD13" s="5">
        <v>23283.820000000003</v>
      </c>
      <c r="AE13" s="5">
        <v>838.5</v>
      </c>
      <c r="AF13" s="5">
        <v>20.152128801431132</v>
      </c>
      <c r="AG13" s="5">
        <v>0.33586881335718555</v>
      </c>
      <c r="AH13" s="5">
        <v>16897.560000000005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4916.74</v>
      </c>
      <c r="AP13" s="5">
        <v>1426.84</v>
      </c>
      <c r="AQ13" s="5">
        <v>0</v>
      </c>
      <c r="AR13" s="5">
        <v>0</v>
      </c>
      <c r="AS13" s="5">
        <v>-5.44</v>
      </c>
      <c r="AT13" s="5">
        <v>-1.58</v>
      </c>
      <c r="AU13" s="5">
        <v>0</v>
      </c>
      <c r="AV13" s="5">
        <v>49.7</v>
      </c>
      <c r="AW13" s="5">
        <v>0</v>
      </c>
      <c r="AX13" s="5">
        <v>0</v>
      </c>
      <c r="AY13" s="5">
        <v>6386.26</v>
      </c>
      <c r="AZ13" s="5" t="s">
        <v>107</v>
      </c>
    </row>
    <row r="14" spans="1:52" ht="14.85" customHeight="1">
      <c r="A14" s="1" t="s">
        <v>52</v>
      </c>
      <c r="B14" s="1" t="s">
        <v>53</v>
      </c>
      <c r="C14" s="1">
        <v>600</v>
      </c>
      <c r="D14" s="1" t="s">
        <v>108</v>
      </c>
      <c r="E14" s="1" t="s">
        <v>109</v>
      </c>
      <c r="G14" s="1" t="s">
        <v>106</v>
      </c>
      <c r="H14" s="4"/>
      <c r="I14" s="1">
        <v>9.9731699999999996</v>
      </c>
      <c r="K14" s="1">
        <v>1</v>
      </c>
      <c r="M14" s="1" t="s">
        <v>57</v>
      </c>
      <c r="O14" s="1">
        <v>9820.4</v>
      </c>
      <c r="P14" s="5">
        <v>2916.97</v>
      </c>
      <c r="Q14" s="5">
        <v>0</v>
      </c>
      <c r="R14" s="5">
        <v>705.7</v>
      </c>
      <c r="S14" s="5">
        <v>0</v>
      </c>
      <c r="T14" s="5">
        <v>3927.83</v>
      </c>
      <c r="U14" s="5">
        <v>1139.8599999999999</v>
      </c>
      <c r="V14" s="5">
        <v>822.79</v>
      </c>
      <c r="W14" s="5">
        <v>238.77</v>
      </c>
      <c r="X14" s="5">
        <v>49.87</v>
      </c>
      <c r="Y14" s="5">
        <v>14.47</v>
      </c>
      <c r="Z14" s="5">
        <v>93.58</v>
      </c>
      <c r="AA14" s="5">
        <v>45.72</v>
      </c>
      <c r="AB14" s="5">
        <v>5.24</v>
      </c>
      <c r="AC14" s="5">
        <v>56.82</v>
      </c>
      <c r="AD14" s="5">
        <v>19838.020000000008</v>
      </c>
      <c r="AE14" s="5">
        <v>774.25</v>
      </c>
      <c r="AF14" s="5">
        <v>19.110868582499201</v>
      </c>
      <c r="AG14" s="5">
        <v>0.3185144763749867</v>
      </c>
      <c r="AH14" s="5">
        <v>14796.590000000007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3874.58</v>
      </c>
      <c r="AP14" s="5">
        <v>1124.4000000000001</v>
      </c>
      <c r="AQ14" s="5">
        <v>0</v>
      </c>
      <c r="AR14" s="5">
        <v>0</v>
      </c>
      <c r="AS14" s="5">
        <v>2.4900000000000002</v>
      </c>
      <c r="AT14" s="5">
        <v>0.72</v>
      </c>
      <c r="AU14" s="5">
        <v>0</v>
      </c>
      <c r="AV14" s="5">
        <v>39.24</v>
      </c>
      <c r="AW14" s="5">
        <v>0</v>
      </c>
      <c r="AX14" s="5">
        <v>0</v>
      </c>
      <c r="AY14" s="5">
        <v>5041.4299999999994</v>
      </c>
      <c r="AZ14" s="5" t="s">
        <v>110</v>
      </c>
    </row>
    <row r="15" spans="1:52" ht="14.85" customHeight="1">
      <c r="A15" s="1" t="s">
        <v>52</v>
      </c>
      <c r="B15" s="1" t="s">
        <v>53</v>
      </c>
      <c r="C15" s="1">
        <v>620</v>
      </c>
      <c r="D15" s="1" t="s">
        <v>111</v>
      </c>
      <c r="E15" s="1" t="s">
        <v>112</v>
      </c>
      <c r="G15" s="1" t="s">
        <v>113</v>
      </c>
      <c r="H15" s="4"/>
      <c r="I15" s="1">
        <v>10.61375</v>
      </c>
      <c r="K15" s="1">
        <v>1</v>
      </c>
      <c r="M15" s="1" t="s">
        <v>57</v>
      </c>
      <c r="O15" s="1">
        <v>9845</v>
      </c>
      <c r="P15" s="5">
        <v>2923.32</v>
      </c>
      <c r="Q15" s="5">
        <v>0</v>
      </c>
      <c r="R15" s="5">
        <v>754.08</v>
      </c>
      <c r="S15" s="5">
        <v>0</v>
      </c>
      <c r="T15" s="5">
        <v>2932.47</v>
      </c>
      <c r="U15" s="5">
        <v>851</v>
      </c>
      <c r="V15" s="5">
        <v>875.63</v>
      </c>
      <c r="W15" s="5">
        <v>254.11</v>
      </c>
      <c r="X15" s="5">
        <v>47.76</v>
      </c>
      <c r="Y15" s="5">
        <v>13.86</v>
      </c>
      <c r="Z15" s="5">
        <v>93.78</v>
      </c>
      <c r="AA15" s="5">
        <v>36.72</v>
      </c>
      <c r="AB15" s="5">
        <v>6.63</v>
      </c>
      <c r="AC15" s="5">
        <v>60.48</v>
      </c>
      <c r="AD15" s="5">
        <v>18694.84</v>
      </c>
      <c r="AE15" s="5">
        <v>731.5</v>
      </c>
      <c r="AF15" s="5">
        <v>21.754436090225564</v>
      </c>
      <c r="AG15" s="5">
        <v>0.36257393483709272</v>
      </c>
      <c r="AH15" s="5">
        <v>15913.37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2136.44</v>
      </c>
      <c r="AP15" s="5">
        <v>619.99</v>
      </c>
      <c r="AQ15" s="5">
        <v>0</v>
      </c>
      <c r="AR15" s="5">
        <v>0</v>
      </c>
      <c r="AS15" s="5">
        <v>2.63</v>
      </c>
      <c r="AT15" s="5">
        <v>0.76</v>
      </c>
      <c r="AU15" s="5">
        <v>0</v>
      </c>
      <c r="AV15" s="5">
        <v>21.65</v>
      </c>
      <c r="AW15" s="5">
        <v>0</v>
      </c>
      <c r="AX15" s="5">
        <v>0</v>
      </c>
      <c r="AY15" s="5">
        <v>2781.4700000000007</v>
      </c>
      <c r="AZ15" s="5" t="s">
        <v>114</v>
      </c>
    </row>
    <row r="16" spans="1:52" ht="14.85" customHeight="1">
      <c r="A16" s="1" t="s">
        <v>52</v>
      </c>
      <c r="B16" s="1" t="s">
        <v>53</v>
      </c>
      <c r="C16" s="1">
        <v>640</v>
      </c>
      <c r="D16" s="1" t="s">
        <v>115</v>
      </c>
      <c r="E16" s="1" t="s">
        <v>116</v>
      </c>
      <c r="G16" s="1" t="s">
        <v>117</v>
      </c>
      <c r="H16" s="4"/>
      <c r="I16" s="1">
        <v>10.303750000000001</v>
      </c>
      <c r="K16" s="1">
        <v>5</v>
      </c>
      <c r="M16" s="1" t="s">
        <v>57</v>
      </c>
      <c r="O16" s="1">
        <v>10527.86</v>
      </c>
      <c r="P16" s="5">
        <v>407</v>
      </c>
      <c r="Q16" s="5">
        <v>0</v>
      </c>
      <c r="R16" s="5">
        <v>779.84</v>
      </c>
      <c r="S16" s="5">
        <v>0</v>
      </c>
      <c r="T16" s="5">
        <v>1752.67</v>
      </c>
      <c r="U16" s="5">
        <v>0</v>
      </c>
      <c r="V16" s="5">
        <v>850.06</v>
      </c>
      <c r="W16" s="5">
        <v>0</v>
      </c>
      <c r="X16" s="5">
        <v>23.18</v>
      </c>
      <c r="Y16" s="5">
        <v>0</v>
      </c>
      <c r="Z16" s="5">
        <v>100.3</v>
      </c>
      <c r="AA16" s="5">
        <v>25.01</v>
      </c>
      <c r="AB16" s="5">
        <v>166.75</v>
      </c>
      <c r="AC16" s="5">
        <v>62.96</v>
      </c>
      <c r="AD16" s="5">
        <v>14695.63</v>
      </c>
      <c r="AE16" s="5">
        <v>831.5</v>
      </c>
      <c r="AF16" s="5">
        <v>15.856704750450991</v>
      </c>
      <c r="AG16" s="5">
        <v>0.26427841250751649</v>
      </c>
      <c r="AH16" s="5">
        <v>13184.849999999999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1495.64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15.14</v>
      </c>
      <c r="AW16" s="5">
        <v>0</v>
      </c>
      <c r="AX16" s="5">
        <v>0</v>
      </c>
      <c r="AY16" s="5">
        <v>1510.7800000000002</v>
      </c>
      <c r="AZ16" s="5" t="s">
        <v>118</v>
      </c>
    </row>
    <row r="17" spans="1:52" ht="14.85" customHeight="1">
      <c r="A17" s="1" t="s">
        <v>52</v>
      </c>
      <c r="B17" s="1" t="s">
        <v>53</v>
      </c>
      <c r="C17" s="1">
        <v>670</v>
      </c>
      <c r="D17" s="1" t="s">
        <v>119</v>
      </c>
      <c r="E17" s="1" t="s">
        <v>120</v>
      </c>
      <c r="G17" s="1" t="s">
        <v>121</v>
      </c>
      <c r="H17" s="4"/>
      <c r="I17" s="1">
        <v>9.4929799999999993</v>
      </c>
      <c r="K17" s="1">
        <v>14</v>
      </c>
      <c r="M17" s="1" t="s">
        <v>66</v>
      </c>
      <c r="O17" s="1">
        <v>358.63</v>
      </c>
      <c r="P17" s="5">
        <v>272.02999999999997</v>
      </c>
      <c r="Q17" s="5">
        <v>0</v>
      </c>
      <c r="R17" s="5">
        <v>719.55</v>
      </c>
      <c r="S17" s="5">
        <v>0</v>
      </c>
      <c r="T17" s="5">
        <v>3316.28</v>
      </c>
      <c r="U17" s="5">
        <v>913.73</v>
      </c>
      <c r="V17" s="5">
        <v>621.76</v>
      </c>
      <c r="W17" s="5">
        <v>171.31</v>
      </c>
      <c r="X17" s="5">
        <v>0</v>
      </c>
      <c r="Y17" s="5">
        <v>0</v>
      </c>
      <c r="Z17" s="5">
        <v>2.5099999999999998</v>
      </c>
      <c r="AA17" s="5">
        <v>27.6</v>
      </c>
      <c r="AB17" s="5">
        <v>5.56</v>
      </c>
      <c r="AC17" s="5">
        <v>42.94</v>
      </c>
      <c r="AD17" s="5">
        <v>6451.9</v>
      </c>
      <c r="AE17" s="5">
        <v>0</v>
      </c>
      <c r="AF17" s="5">
        <v>0</v>
      </c>
      <c r="AG17" s="5">
        <v>0</v>
      </c>
      <c r="AH17" s="5">
        <v>3188.9600000000005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2544.13</v>
      </c>
      <c r="AP17" s="5">
        <v>700.98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17.829999999999998</v>
      </c>
      <c r="AW17" s="5">
        <v>0</v>
      </c>
      <c r="AX17" s="5">
        <v>0</v>
      </c>
      <c r="AY17" s="5">
        <v>3262.94</v>
      </c>
      <c r="AZ17" s="5" t="s">
        <v>122</v>
      </c>
    </row>
    <row r="18" spans="1:52" ht="14.85" customHeight="1">
      <c r="A18" s="1" t="s">
        <v>52</v>
      </c>
      <c r="B18" s="1" t="s">
        <v>53</v>
      </c>
      <c r="C18" s="1">
        <v>680</v>
      </c>
      <c r="D18" s="1" t="s">
        <v>123</v>
      </c>
      <c r="E18" s="1" t="s">
        <v>124</v>
      </c>
      <c r="G18" s="1" t="s">
        <v>117</v>
      </c>
      <c r="H18" s="4"/>
      <c r="I18" s="1">
        <v>8.9331600000000009</v>
      </c>
      <c r="K18" s="1">
        <v>2</v>
      </c>
      <c r="M18" s="1" t="s">
        <v>57</v>
      </c>
      <c r="O18" s="1">
        <v>8180.52</v>
      </c>
      <c r="P18" s="5">
        <v>66</v>
      </c>
      <c r="Q18" s="5">
        <v>0</v>
      </c>
      <c r="R18" s="5">
        <v>0</v>
      </c>
      <c r="S18" s="5">
        <v>0</v>
      </c>
      <c r="T18" s="5">
        <v>171.7</v>
      </c>
      <c r="U18" s="5">
        <v>0</v>
      </c>
      <c r="V18" s="5">
        <v>736.99</v>
      </c>
      <c r="W18" s="5">
        <v>0</v>
      </c>
      <c r="X18" s="5">
        <v>35.729999999999997</v>
      </c>
      <c r="Y18" s="5">
        <v>0</v>
      </c>
      <c r="Z18" s="5">
        <v>77.930000000000007</v>
      </c>
      <c r="AA18" s="5">
        <v>9</v>
      </c>
      <c r="AB18" s="5">
        <v>764.05</v>
      </c>
      <c r="AC18" s="5">
        <v>54.59</v>
      </c>
      <c r="AD18" s="5">
        <v>10096.51</v>
      </c>
      <c r="AE18" s="5">
        <v>743.75</v>
      </c>
      <c r="AF18" s="5">
        <v>13.720551260504202</v>
      </c>
      <c r="AG18" s="5">
        <v>0.22867585434173671</v>
      </c>
      <c r="AH18" s="5">
        <v>10204.66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-109.28</v>
      </c>
      <c r="AP18" s="5">
        <v>0</v>
      </c>
      <c r="AQ18" s="5">
        <v>0</v>
      </c>
      <c r="AR18" s="5">
        <v>0</v>
      </c>
      <c r="AS18" s="5">
        <v>2.21</v>
      </c>
      <c r="AT18" s="5">
        <v>0</v>
      </c>
      <c r="AU18" s="5">
        <v>0</v>
      </c>
      <c r="AV18" s="5">
        <v>-1.08</v>
      </c>
      <c r="AW18" s="5">
        <v>0</v>
      </c>
      <c r="AX18" s="5">
        <v>0</v>
      </c>
      <c r="AY18" s="5">
        <v>-108.15</v>
      </c>
      <c r="AZ18" s="5" t="s">
        <v>125</v>
      </c>
    </row>
    <row r="19" spans="1:52" ht="14.85" customHeight="1">
      <c r="A19" s="1" t="s">
        <v>52</v>
      </c>
      <c r="B19" s="1" t="s">
        <v>53</v>
      </c>
      <c r="C19" s="1">
        <v>690</v>
      </c>
      <c r="D19" s="1" t="s">
        <v>126</v>
      </c>
      <c r="E19" s="1" t="s">
        <v>127</v>
      </c>
      <c r="G19" s="1" t="s">
        <v>117</v>
      </c>
      <c r="H19" s="4"/>
      <c r="I19" s="1">
        <v>9.7126699999999992</v>
      </c>
      <c r="K19" s="1">
        <v>1</v>
      </c>
      <c r="M19" s="1" t="s">
        <v>57</v>
      </c>
      <c r="O19" s="1">
        <v>10102.65</v>
      </c>
      <c r="P19" s="5">
        <v>66</v>
      </c>
      <c r="Q19" s="5">
        <v>0</v>
      </c>
      <c r="R19" s="5">
        <v>0</v>
      </c>
      <c r="S19" s="5">
        <v>0</v>
      </c>
      <c r="T19" s="5">
        <v>2647.29</v>
      </c>
      <c r="U19" s="5">
        <v>0</v>
      </c>
      <c r="V19" s="5">
        <v>801.3</v>
      </c>
      <c r="W19" s="5">
        <v>0</v>
      </c>
      <c r="X19" s="5">
        <v>12.14</v>
      </c>
      <c r="Y19" s="5">
        <v>0</v>
      </c>
      <c r="Z19" s="5">
        <v>96.2</v>
      </c>
      <c r="AA19" s="5">
        <v>32.96</v>
      </c>
      <c r="AB19" s="5">
        <v>897.27</v>
      </c>
      <c r="AC19" s="5">
        <v>59.35</v>
      </c>
      <c r="AD19" s="5">
        <v>14715.159999999998</v>
      </c>
      <c r="AE19" s="5">
        <v>863.75</v>
      </c>
      <c r="AF19" s="5">
        <v>14.272104196816207</v>
      </c>
      <c r="AG19" s="5">
        <v>0.23786840328027012</v>
      </c>
      <c r="AH19" s="5">
        <v>12327.53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2363.71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23.92</v>
      </c>
      <c r="AW19" s="5">
        <v>0</v>
      </c>
      <c r="AX19" s="5">
        <v>0</v>
      </c>
      <c r="AY19" s="5">
        <v>2387.63</v>
      </c>
      <c r="AZ19" s="5" t="s">
        <v>128</v>
      </c>
    </row>
    <row r="20" spans="1:52" ht="14.85" customHeight="1">
      <c r="A20" s="1" t="s">
        <v>52</v>
      </c>
      <c r="B20" s="1" t="s">
        <v>53</v>
      </c>
      <c r="C20" s="1">
        <v>700</v>
      </c>
      <c r="D20" s="1" t="s">
        <v>129</v>
      </c>
      <c r="E20" s="1" t="s">
        <v>130</v>
      </c>
      <c r="G20" s="1" t="s">
        <v>131</v>
      </c>
      <c r="H20" s="4"/>
      <c r="I20" s="1">
        <v>8.4828299999999999</v>
      </c>
      <c r="K20" s="1">
        <v>1</v>
      </c>
      <c r="M20" s="1" t="s">
        <v>57</v>
      </c>
      <c r="O20" s="1">
        <v>8552.42</v>
      </c>
      <c r="P20" s="5">
        <v>66</v>
      </c>
      <c r="Q20" s="5">
        <v>0</v>
      </c>
      <c r="R20" s="5">
        <v>0</v>
      </c>
      <c r="S20" s="5">
        <v>0</v>
      </c>
      <c r="T20" s="5">
        <v>280.44</v>
      </c>
      <c r="U20" s="5">
        <v>0</v>
      </c>
      <c r="V20" s="5">
        <v>690.6</v>
      </c>
      <c r="W20" s="5">
        <v>0</v>
      </c>
      <c r="X20" s="5">
        <v>36.049999999999997</v>
      </c>
      <c r="Y20" s="5">
        <v>0</v>
      </c>
      <c r="Z20" s="5">
        <v>84.48</v>
      </c>
      <c r="AA20" s="5">
        <v>9.59</v>
      </c>
      <c r="AB20" s="5">
        <v>792.67</v>
      </c>
      <c r="AC20" s="5">
        <v>51.15</v>
      </c>
      <c r="AD20" s="5">
        <v>10563.4</v>
      </c>
      <c r="AE20" s="5">
        <v>864.25</v>
      </c>
      <c r="AF20" s="5">
        <v>12.360289268151575</v>
      </c>
      <c r="AG20" s="5">
        <v>0.20600482113585958</v>
      </c>
      <c r="AH20" s="5">
        <v>10682.38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-117.79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-1.19</v>
      </c>
      <c r="AW20" s="5">
        <v>0</v>
      </c>
      <c r="AX20" s="5">
        <v>0</v>
      </c>
      <c r="AY20" s="5">
        <v>-118.98</v>
      </c>
      <c r="AZ20" s="5" t="s">
        <v>132</v>
      </c>
    </row>
    <row r="21" spans="1:52" ht="14.85" customHeight="1">
      <c r="A21" s="1" t="s">
        <v>52</v>
      </c>
      <c r="B21" s="1" t="s">
        <v>53</v>
      </c>
      <c r="C21" s="1">
        <v>780</v>
      </c>
      <c r="D21" s="1" t="s">
        <v>133</v>
      </c>
      <c r="E21" s="1" t="s">
        <v>134</v>
      </c>
      <c r="F21" s="1" t="s">
        <v>91</v>
      </c>
      <c r="G21" s="1" t="s">
        <v>135</v>
      </c>
      <c r="H21" s="4" t="s">
        <v>136</v>
      </c>
      <c r="I21" s="1">
        <v>9.3845500000000008</v>
      </c>
      <c r="K21" s="1">
        <v>1</v>
      </c>
      <c r="M21" s="1" t="s">
        <v>57</v>
      </c>
      <c r="O21" s="1">
        <v>2562.71</v>
      </c>
      <c r="P21" s="5">
        <v>919.16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28.6</v>
      </c>
      <c r="AA21" s="5">
        <v>0</v>
      </c>
      <c r="AB21" s="5">
        <v>204.35000000000002</v>
      </c>
      <c r="AC21" s="5">
        <v>0</v>
      </c>
      <c r="AD21" s="5">
        <v>3714.82</v>
      </c>
      <c r="AE21" s="5">
        <v>208.25</v>
      </c>
      <c r="AF21" s="5">
        <v>19.890276110444177</v>
      </c>
      <c r="AG21" s="5">
        <v>0.33150460184073627</v>
      </c>
      <c r="AH21" s="5">
        <v>4142.1499999999996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-327.43</v>
      </c>
      <c r="AP21" s="5">
        <v>-96.59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-3.31</v>
      </c>
      <c r="AW21" s="5">
        <v>0</v>
      </c>
      <c r="AX21" s="5">
        <v>0</v>
      </c>
      <c r="AY21" s="5">
        <v>-427.33</v>
      </c>
      <c r="AZ21" s="5" t="s">
        <v>137</v>
      </c>
    </row>
    <row r="22" spans="1:52" ht="14.85" customHeight="1">
      <c r="A22" s="1" t="s">
        <v>52</v>
      </c>
      <c r="B22" s="1" t="s">
        <v>53</v>
      </c>
      <c r="C22" s="1">
        <v>800</v>
      </c>
      <c r="D22" s="1" t="s">
        <v>138</v>
      </c>
      <c r="E22" s="1" t="s">
        <v>139</v>
      </c>
      <c r="G22" s="1" t="s">
        <v>140</v>
      </c>
      <c r="H22" s="4"/>
      <c r="I22" s="1">
        <v>9.4831599999999998</v>
      </c>
      <c r="K22" s="1">
        <v>1</v>
      </c>
      <c r="M22" s="1" t="s">
        <v>57</v>
      </c>
      <c r="O22" s="1">
        <v>9962.06</v>
      </c>
      <c r="P22" s="5">
        <v>3018.96</v>
      </c>
      <c r="Q22" s="5">
        <v>0</v>
      </c>
      <c r="R22" s="5">
        <v>0</v>
      </c>
      <c r="S22" s="5">
        <v>0</v>
      </c>
      <c r="T22" s="5">
        <v>1591.65</v>
      </c>
      <c r="U22" s="5">
        <v>469.54</v>
      </c>
      <c r="V22" s="5">
        <v>782.36</v>
      </c>
      <c r="W22" s="5">
        <v>230.8</v>
      </c>
      <c r="X22" s="5">
        <v>11.85</v>
      </c>
      <c r="Y22" s="5">
        <v>3.5</v>
      </c>
      <c r="Z22" s="5">
        <v>95.34</v>
      </c>
      <c r="AA22" s="5">
        <v>22.72</v>
      </c>
      <c r="AB22" s="5">
        <v>823.69</v>
      </c>
      <c r="AC22" s="5">
        <v>54.03</v>
      </c>
      <c r="AD22" s="5">
        <v>17066.5</v>
      </c>
      <c r="AE22" s="5">
        <v>869.5</v>
      </c>
      <c r="AF22" s="5">
        <v>17.917320299022428</v>
      </c>
      <c r="AG22" s="5">
        <v>0.29862200498370711</v>
      </c>
      <c r="AH22" s="5">
        <v>15579.11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1121.99</v>
      </c>
      <c r="AP22" s="5">
        <v>330.99</v>
      </c>
      <c r="AQ22" s="5">
        <v>0</v>
      </c>
      <c r="AR22" s="5">
        <v>0</v>
      </c>
      <c r="AS22" s="5">
        <v>17.670000000000002</v>
      </c>
      <c r="AT22" s="5">
        <v>5.21</v>
      </c>
      <c r="AU22" s="5">
        <v>0</v>
      </c>
      <c r="AV22" s="5">
        <v>11.53</v>
      </c>
      <c r="AW22" s="5">
        <v>0</v>
      </c>
      <c r="AX22" s="5">
        <v>0</v>
      </c>
      <c r="AY22" s="5">
        <v>1487.39</v>
      </c>
      <c r="AZ22" s="5" t="s">
        <v>141</v>
      </c>
    </row>
    <row r="23" spans="1:52" ht="14.85" customHeight="1">
      <c r="A23" s="1" t="s">
        <v>52</v>
      </c>
      <c r="B23" s="1" t="s">
        <v>53</v>
      </c>
      <c r="C23" s="1">
        <v>830</v>
      </c>
      <c r="D23" s="1" t="s">
        <v>142</v>
      </c>
      <c r="E23" s="1" t="s">
        <v>143</v>
      </c>
      <c r="G23" s="1" t="s">
        <v>144</v>
      </c>
      <c r="H23" s="4"/>
      <c r="I23" s="1">
        <v>8.8345500000000001</v>
      </c>
      <c r="K23" s="1">
        <v>1</v>
      </c>
      <c r="M23" s="1" t="s">
        <v>57</v>
      </c>
      <c r="O23" s="1">
        <v>2944.12</v>
      </c>
      <c r="P23" s="5">
        <v>941.57</v>
      </c>
      <c r="Q23" s="5">
        <v>0</v>
      </c>
      <c r="R23" s="5">
        <v>0</v>
      </c>
      <c r="S23" s="5">
        <v>0</v>
      </c>
      <c r="T23" s="5">
        <v>-94.62</v>
      </c>
      <c r="U23" s="5">
        <v>-27.91</v>
      </c>
      <c r="V23" s="5">
        <v>242.95</v>
      </c>
      <c r="W23" s="5">
        <v>71.67</v>
      </c>
      <c r="X23" s="5">
        <v>46.38</v>
      </c>
      <c r="Y23" s="5">
        <v>13.68</v>
      </c>
      <c r="Z23" s="5">
        <v>28.27</v>
      </c>
      <c r="AA23" s="5">
        <v>1.86</v>
      </c>
      <c r="AB23" s="5">
        <v>207.84</v>
      </c>
      <c r="AC23" s="5">
        <v>16.77</v>
      </c>
      <c r="AD23" s="5">
        <v>4392.5800000000008</v>
      </c>
      <c r="AE23" s="5">
        <v>281.5</v>
      </c>
      <c r="AF23" s="5">
        <v>16.463943161634106</v>
      </c>
      <c r="AG23" s="5">
        <v>0.27439905269390175</v>
      </c>
      <c r="AH23" s="5">
        <v>4634.6000000000004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-185.44</v>
      </c>
      <c r="AP23" s="5">
        <v>-54.7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-1.88</v>
      </c>
      <c r="AW23" s="5">
        <v>0</v>
      </c>
      <c r="AX23" s="5">
        <v>0</v>
      </c>
      <c r="AY23" s="5">
        <v>-242.02</v>
      </c>
      <c r="AZ23" s="5" t="s">
        <v>145</v>
      </c>
    </row>
    <row r="24" spans="1:52" ht="14.85" customHeight="1">
      <c r="A24" s="1" t="s">
        <v>52</v>
      </c>
      <c r="B24" s="1" t="s">
        <v>53</v>
      </c>
      <c r="C24" s="1">
        <v>870</v>
      </c>
      <c r="D24" s="1" t="s">
        <v>146</v>
      </c>
      <c r="E24" s="1" t="s">
        <v>147</v>
      </c>
      <c r="G24" s="1" t="s">
        <v>148</v>
      </c>
      <c r="H24" s="4"/>
      <c r="I24" s="1">
        <v>8.9331600000000009</v>
      </c>
      <c r="K24" s="1">
        <v>1</v>
      </c>
      <c r="M24" s="1" t="s">
        <v>57</v>
      </c>
      <c r="O24" s="1">
        <v>9205.1</v>
      </c>
      <c r="P24" s="5">
        <v>2792.38</v>
      </c>
      <c r="Q24" s="5">
        <v>0</v>
      </c>
      <c r="R24" s="5">
        <v>0</v>
      </c>
      <c r="S24" s="5">
        <v>0</v>
      </c>
      <c r="T24" s="5">
        <v>1393.57</v>
      </c>
      <c r="U24" s="5">
        <v>411.1</v>
      </c>
      <c r="V24" s="5">
        <v>736.99</v>
      </c>
      <c r="W24" s="5">
        <v>217.41</v>
      </c>
      <c r="X24" s="5">
        <v>24.57</v>
      </c>
      <c r="Y24" s="5">
        <v>7.25</v>
      </c>
      <c r="Z24" s="5">
        <v>88.03</v>
      </c>
      <c r="AA24" s="5">
        <v>20.52</v>
      </c>
      <c r="AB24" s="5">
        <v>693.12</v>
      </c>
      <c r="AC24" s="5">
        <v>50.9</v>
      </c>
      <c r="AD24" s="5">
        <v>15640.94</v>
      </c>
      <c r="AE24" s="5">
        <v>847.5</v>
      </c>
      <c r="AF24" s="5">
        <v>17.157333333333334</v>
      </c>
      <c r="AG24" s="5">
        <v>0.28595555555555557</v>
      </c>
      <c r="AH24" s="5">
        <v>14540.84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840.7</v>
      </c>
      <c r="AP24" s="5">
        <v>248.01</v>
      </c>
      <c r="AQ24" s="5">
        <v>0</v>
      </c>
      <c r="AR24" s="5">
        <v>0</v>
      </c>
      <c r="AS24" s="5">
        <v>2.21</v>
      </c>
      <c r="AT24" s="5">
        <v>0.65</v>
      </c>
      <c r="AU24" s="5">
        <v>0</v>
      </c>
      <c r="AV24" s="5">
        <v>8.5299999999999994</v>
      </c>
      <c r="AW24" s="5">
        <v>0</v>
      </c>
      <c r="AX24" s="5">
        <v>0</v>
      </c>
      <c r="AY24" s="5">
        <v>1100.1000000000001</v>
      </c>
      <c r="AZ24" s="5" t="s">
        <v>149</v>
      </c>
    </row>
    <row r="25" spans="1:52" ht="14.85" customHeight="1">
      <c r="A25" s="1" t="s">
        <v>52</v>
      </c>
      <c r="B25" s="1" t="s">
        <v>53</v>
      </c>
      <c r="C25" s="1">
        <v>920</v>
      </c>
      <c r="D25" s="1" t="s">
        <v>150</v>
      </c>
      <c r="E25" s="1" t="s">
        <v>151</v>
      </c>
      <c r="G25" s="1" t="s">
        <v>152</v>
      </c>
      <c r="H25" s="4"/>
      <c r="I25" s="1">
        <v>8.8345500000000001</v>
      </c>
      <c r="K25" s="1">
        <v>1</v>
      </c>
      <c r="M25" s="1" t="s">
        <v>57</v>
      </c>
      <c r="O25" s="1">
        <v>3971.08</v>
      </c>
      <c r="P25" s="5">
        <v>1281.3699999999999</v>
      </c>
      <c r="Q25" s="5">
        <v>0</v>
      </c>
      <c r="R25" s="5">
        <v>0</v>
      </c>
      <c r="S25" s="5">
        <v>0</v>
      </c>
      <c r="T25" s="5">
        <v>-268.13</v>
      </c>
      <c r="U25" s="5">
        <v>-79.099999999999994</v>
      </c>
      <c r="V25" s="5">
        <v>335.64</v>
      </c>
      <c r="W25" s="5">
        <v>99.01</v>
      </c>
      <c r="X25" s="5">
        <v>6.63</v>
      </c>
      <c r="Y25" s="5">
        <v>1.96</v>
      </c>
      <c r="Z25" s="5">
        <v>37.85</v>
      </c>
      <c r="AA25" s="5">
        <v>0.71</v>
      </c>
      <c r="AB25" s="5">
        <v>326.81</v>
      </c>
      <c r="AC25" s="5">
        <v>23.18</v>
      </c>
      <c r="AD25" s="5">
        <v>5737.0100000000011</v>
      </c>
      <c r="AE25" s="5">
        <v>367.5</v>
      </c>
      <c r="AF25" s="5">
        <v>16.909823129251706</v>
      </c>
      <c r="AG25" s="5">
        <v>0.28183038548752842</v>
      </c>
      <c r="AH25" s="5">
        <v>6214.3600000000015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-365.75</v>
      </c>
      <c r="AP25" s="5">
        <v>-107.9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-3.7</v>
      </c>
      <c r="AW25" s="5">
        <v>0</v>
      </c>
      <c r="AX25" s="5">
        <v>0</v>
      </c>
      <c r="AY25" s="5">
        <v>-477.35</v>
      </c>
      <c r="AZ25" s="5" t="s">
        <v>153</v>
      </c>
    </row>
    <row r="26" spans="1:52" ht="14.85" customHeight="1">
      <c r="A26" s="1" t="s">
        <v>52</v>
      </c>
      <c r="B26" s="1" t="s">
        <v>53</v>
      </c>
      <c r="C26" s="1">
        <v>940</v>
      </c>
      <c r="D26" s="1" t="s">
        <v>104</v>
      </c>
      <c r="E26" s="1" t="s">
        <v>154</v>
      </c>
      <c r="G26" s="1" t="s">
        <v>155</v>
      </c>
      <c r="H26" s="4"/>
      <c r="I26" s="1">
        <v>8.8345500000000001</v>
      </c>
      <c r="K26" s="1">
        <v>17</v>
      </c>
      <c r="M26" s="1" t="s">
        <v>57</v>
      </c>
      <c r="O26" s="1">
        <v>8624.52</v>
      </c>
      <c r="P26" s="5">
        <v>66</v>
      </c>
      <c r="Q26" s="5">
        <v>0</v>
      </c>
      <c r="R26" s="5">
        <v>0</v>
      </c>
      <c r="S26" s="5">
        <v>0</v>
      </c>
      <c r="T26" s="5">
        <v>1750.3</v>
      </c>
      <c r="U26" s="5">
        <v>0</v>
      </c>
      <c r="V26" s="5">
        <v>728.85</v>
      </c>
      <c r="W26" s="5">
        <v>0</v>
      </c>
      <c r="X26" s="5">
        <v>37.549999999999997</v>
      </c>
      <c r="Y26" s="5">
        <v>0</v>
      </c>
      <c r="Z26" s="5">
        <v>81.849999999999994</v>
      </c>
      <c r="AA26" s="5">
        <v>23.97</v>
      </c>
      <c r="AB26" s="5">
        <v>819.68</v>
      </c>
      <c r="AC26" s="5">
        <v>53.98</v>
      </c>
      <c r="AD26" s="5">
        <v>12186.7</v>
      </c>
      <c r="AE26" s="5">
        <v>746.25</v>
      </c>
      <c r="AF26" s="5">
        <v>14.189668341708542</v>
      </c>
      <c r="AG26" s="5">
        <v>0.23649447236180904</v>
      </c>
      <c r="AH26" s="5">
        <v>10589.04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1581.65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16.010000000000002</v>
      </c>
      <c r="AW26" s="5">
        <v>0</v>
      </c>
      <c r="AX26" s="5">
        <v>0</v>
      </c>
      <c r="AY26" s="5">
        <v>1597.66</v>
      </c>
      <c r="AZ26" s="5" t="s">
        <v>156</v>
      </c>
    </row>
    <row r="27" spans="1:52" ht="14.85" customHeight="1">
      <c r="A27" s="1" t="s">
        <v>52</v>
      </c>
      <c r="B27" s="1" t="s">
        <v>53</v>
      </c>
      <c r="C27" s="1">
        <v>990</v>
      </c>
      <c r="D27" s="1" t="s">
        <v>157</v>
      </c>
      <c r="E27" s="1" t="s">
        <v>158</v>
      </c>
      <c r="G27" s="1" t="s">
        <v>159</v>
      </c>
      <c r="H27" s="4"/>
      <c r="I27" s="1">
        <v>9.8745499999999993</v>
      </c>
      <c r="K27" s="1">
        <v>1</v>
      </c>
      <c r="M27" s="1" t="s">
        <v>57</v>
      </c>
      <c r="O27" s="1">
        <v>7494.23</v>
      </c>
      <c r="P27" s="5">
        <v>2276.7199999999998</v>
      </c>
      <c r="Q27" s="5">
        <v>0</v>
      </c>
      <c r="R27" s="5">
        <v>0</v>
      </c>
      <c r="S27" s="5">
        <v>0</v>
      </c>
      <c r="T27" s="5">
        <v>1762.61</v>
      </c>
      <c r="U27" s="5">
        <v>519.97</v>
      </c>
      <c r="V27" s="5">
        <v>814.65</v>
      </c>
      <c r="W27" s="5">
        <v>240.32</v>
      </c>
      <c r="X27" s="5">
        <v>0</v>
      </c>
      <c r="Y27" s="5">
        <v>0</v>
      </c>
      <c r="Z27" s="5">
        <v>71.38</v>
      </c>
      <c r="AA27" s="5">
        <v>24.54</v>
      </c>
      <c r="AB27" s="5">
        <v>855.46</v>
      </c>
      <c r="AC27" s="5">
        <v>56.26</v>
      </c>
      <c r="AD27" s="5">
        <v>14116.139999999998</v>
      </c>
      <c r="AE27" s="5">
        <v>508.75</v>
      </c>
      <c r="AF27" s="5">
        <v>24.987852579852575</v>
      </c>
      <c r="AG27" s="5">
        <v>0.41646420966420961</v>
      </c>
      <c r="AH27" s="5">
        <v>12712.569999999998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1075.44</v>
      </c>
      <c r="AP27" s="5">
        <v>317.25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10.88</v>
      </c>
      <c r="AW27" s="5">
        <v>0</v>
      </c>
      <c r="AX27" s="5">
        <v>0</v>
      </c>
      <c r="AY27" s="5">
        <v>1403.5700000000002</v>
      </c>
      <c r="AZ27" s="5" t="s">
        <v>160</v>
      </c>
    </row>
    <row r="28" spans="1:52" ht="14.85" customHeight="1">
      <c r="A28" s="1" t="s">
        <v>52</v>
      </c>
      <c r="B28" s="1" t="s">
        <v>53</v>
      </c>
      <c r="C28" s="1">
        <v>1000</v>
      </c>
      <c r="D28" s="1" t="s">
        <v>161</v>
      </c>
      <c r="E28" s="1" t="s">
        <v>162</v>
      </c>
      <c r="G28" s="1" t="s">
        <v>163</v>
      </c>
      <c r="H28" s="4"/>
      <c r="I28" s="1">
        <v>12.3589</v>
      </c>
      <c r="K28" s="1">
        <v>1</v>
      </c>
      <c r="M28" s="1" t="s">
        <v>57</v>
      </c>
      <c r="O28" s="1">
        <v>12985.2</v>
      </c>
      <c r="P28" s="5">
        <v>3896.86</v>
      </c>
      <c r="Q28" s="5">
        <v>0</v>
      </c>
      <c r="R28" s="5">
        <v>0</v>
      </c>
      <c r="S28" s="5">
        <v>0</v>
      </c>
      <c r="T28" s="5">
        <v>4492.46</v>
      </c>
      <c r="U28" s="5">
        <v>1325.28</v>
      </c>
      <c r="V28" s="5">
        <v>1019.61</v>
      </c>
      <c r="W28" s="5">
        <v>300.77999999999997</v>
      </c>
      <c r="X28" s="5">
        <v>18.54</v>
      </c>
      <c r="Y28" s="5">
        <v>5.47</v>
      </c>
      <c r="Z28" s="5">
        <v>123.67</v>
      </c>
      <c r="AA28" s="5">
        <v>52.67</v>
      </c>
      <c r="AB28" s="5">
        <v>953.59</v>
      </c>
      <c r="AC28" s="5">
        <v>70.42</v>
      </c>
      <c r="AD28" s="5">
        <v>25244.549999999996</v>
      </c>
      <c r="AE28" s="5">
        <v>794.75</v>
      </c>
      <c r="AF28" s="5">
        <v>24.956816608996537</v>
      </c>
      <c r="AG28" s="5">
        <v>0.4159469434832756</v>
      </c>
      <c r="AH28" s="5">
        <v>19834.429999999997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4129.8500000000004</v>
      </c>
      <c r="AP28" s="5">
        <v>1218.31</v>
      </c>
      <c r="AQ28" s="5">
        <v>0</v>
      </c>
      <c r="AR28" s="5">
        <v>0</v>
      </c>
      <c r="AS28" s="5">
        <v>15.45</v>
      </c>
      <c r="AT28" s="5">
        <v>4.5599999999999996</v>
      </c>
      <c r="AU28" s="5">
        <v>0</v>
      </c>
      <c r="AV28" s="5">
        <v>41.95</v>
      </c>
      <c r="AW28" s="5">
        <v>0</v>
      </c>
      <c r="AX28" s="5">
        <v>0</v>
      </c>
      <c r="AY28" s="5">
        <v>5410.12</v>
      </c>
      <c r="AZ28" s="5" t="s">
        <v>164</v>
      </c>
    </row>
    <row r="29" spans="1:52" ht="14.85" customHeight="1">
      <c r="A29" s="1" t="s">
        <v>52</v>
      </c>
      <c r="B29" s="1" t="s">
        <v>53</v>
      </c>
      <c r="C29" s="1">
        <v>1060</v>
      </c>
      <c r="D29" s="1" t="s">
        <v>165</v>
      </c>
      <c r="E29" s="1" t="s">
        <v>64</v>
      </c>
      <c r="G29" s="1" t="s">
        <v>166</v>
      </c>
      <c r="H29" s="4"/>
      <c r="I29" s="1">
        <v>3228.29</v>
      </c>
      <c r="K29" s="1">
        <v>13</v>
      </c>
      <c r="M29" s="1" t="s">
        <v>75</v>
      </c>
      <c r="O29" s="1">
        <v>21076.83</v>
      </c>
      <c r="P29" s="5">
        <v>5721.63</v>
      </c>
      <c r="Q29" s="5">
        <v>0</v>
      </c>
      <c r="R29" s="5">
        <v>0</v>
      </c>
      <c r="S29" s="5">
        <v>0</v>
      </c>
      <c r="T29" s="5">
        <v>3626.45</v>
      </c>
      <c r="U29" s="5">
        <v>1016.6</v>
      </c>
      <c r="V29" s="5">
        <v>1614.14</v>
      </c>
      <c r="W29" s="5">
        <v>452.49</v>
      </c>
      <c r="X29" s="5">
        <v>0</v>
      </c>
      <c r="Y29" s="5">
        <v>0</v>
      </c>
      <c r="Z29" s="5">
        <v>77.430000000000007</v>
      </c>
      <c r="AA29" s="5">
        <v>20.11</v>
      </c>
      <c r="AB29" s="5">
        <v>1512.17</v>
      </c>
      <c r="AC29" s="5">
        <v>111.48</v>
      </c>
      <c r="AD29" s="5">
        <v>35229.33</v>
      </c>
      <c r="AE29" s="5">
        <v>881</v>
      </c>
      <c r="AF29" s="5">
        <v>35.994948921679914</v>
      </c>
      <c r="AG29" s="5">
        <v>0.59991581536133187</v>
      </c>
      <c r="AH29" s="5">
        <v>31711.550000000003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2739.35</v>
      </c>
      <c r="AP29" s="5">
        <v>767.92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10.51</v>
      </c>
      <c r="AW29" s="5">
        <v>0</v>
      </c>
      <c r="AX29" s="5">
        <v>0</v>
      </c>
      <c r="AY29" s="5">
        <v>3517.78</v>
      </c>
      <c r="AZ29" s="5" t="s">
        <v>167</v>
      </c>
    </row>
    <row r="30" spans="1:52" ht="14.85" customHeight="1">
      <c r="A30" s="1" t="s">
        <v>52</v>
      </c>
      <c r="B30" s="1" t="s">
        <v>53</v>
      </c>
      <c r="C30" s="1">
        <v>1080</v>
      </c>
      <c r="D30" s="1" t="s">
        <v>168</v>
      </c>
      <c r="E30" s="1" t="s">
        <v>169</v>
      </c>
      <c r="G30" s="1" t="s">
        <v>166</v>
      </c>
      <c r="H30" s="4"/>
      <c r="I30" s="1">
        <v>8.8345500000000001</v>
      </c>
      <c r="K30" s="1">
        <v>1</v>
      </c>
      <c r="M30" s="1" t="s">
        <v>57</v>
      </c>
      <c r="O30" s="1">
        <v>9266.14</v>
      </c>
      <c r="P30" s="5">
        <v>2842.26</v>
      </c>
      <c r="Q30" s="5">
        <v>0</v>
      </c>
      <c r="R30" s="5">
        <v>0</v>
      </c>
      <c r="S30" s="5">
        <v>0</v>
      </c>
      <c r="T30" s="5">
        <v>3433.64</v>
      </c>
      <c r="U30" s="5">
        <v>1012.92</v>
      </c>
      <c r="V30" s="5">
        <v>728.85</v>
      </c>
      <c r="W30" s="5">
        <v>215.01</v>
      </c>
      <c r="X30" s="5">
        <v>196.57</v>
      </c>
      <c r="Y30" s="5">
        <v>57.99</v>
      </c>
      <c r="Z30" s="5">
        <v>89.65</v>
      </c>
      <c r="AA30" s="5">
        <v>41.52</v>
      </c>
      <c r="AB30" s="5">
        <v>683.5</v>
      </c>
      <c r="AC30" s="5">
        <v>50.33</v>
      </c>
      <c r="AD30" s="5">
        <v>18618.38</v>
      </c>
      <c r="AE30" s="5">
        <v>911</v>
      </c>
      <c r="AF30" s="5">
        <v>16.294555433589462</v>
      </c>
      <c r="AG30" s="5">
        <v>0.27157592389315771</v>
      </c>
      <c r="AH30" s="5">
        <v>14844.34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2737.12</v>
      </c>
      <c r="AP30" s="5">
        <v>807.45</v>
      </c>
      <c r="AQ30" s="5">
        <v>0</v>
      </c>
      <c r="AR30" s="5">
        <v>0</v>
      </c>
      <c r="AS30" s="5">
        <v>154.6</v>
      </c>
      <c r="AT30" s="5">
        <v>45.61</v>
      </c>
      <c r="AU30" s="5">
        <v>0</v>
      </c>
      <c r="AV30" s="5">
        <v>29.26</v>
      </c>
      <c r="AW30" s="5">
        <v>0</v>
      </c>
      <c r="AX30" s="5">
        <v>0</v>
      </c>
      <c r="AY30" s="5">
        <v>3774.04</v>
      </c>
      <c r="AZ30" s="5" t="s">
        <v>170</v>
      </c>
    </row>
    <row r="31" spans="1:52" ht="14.85" customHeight="1">
      <c r="A31" s="1" t="s">
        <v>52</v>
      </c>
      <c r="B31" s="1" t="s">
        <v>53</v>
      </c>
      <c r="C31" s="1">
        <v>1130</v>
      </c>
      <c r="D31" s="1" t="s">
        <v>171</v>
      </c>
      <c r="E31" s="1" t="s">
        <v>172</v>
      </c>
      <c r="G31" s="1" t="s">
        <v>173</v>
      </c>
      <c r="H31" s="4"/>
      <c r="I31" s="1">
        <v>1835.94</v>
      </c>
      <c r="K31" s="1">
        <v>13</v>
      </c>
      <c r="M31" s="1" t="s">
        <v>66</v>
      </c>
      <c r="O31" s="1">
        <v>12509.98</v>
      </c>
      <c r="P31" s="5">
        <v>3312.23</v>
      </c>
      <c r="Q31" s="5">
        <v>900</v>
      </c>
      <c r="R31" s="5">
        <v>0</v>
      </c>
      <c r="S31" s="5">
        <v>0</v>
      </c>
      <c r="T31" s="5">
        <v>1933.86</v>
      </c>
      <c r="U31" s="5">
        <v>542.12</v>
      </c>
      <c r="V31" s="5">
        <v>917.97</v>
      </c>
      <c r="W31" s="5">
        <v>257.33</v>
      </c>
      <c r="X31" s="5">
        <v>94.58</v>
      </c>
      <c r="Y31" s="5">
        <v>26.51</v>
      </c>
      <c r="Z31" s="5">
        <v>44.45</v>
      </c>
      <c r="AA31" s="5">
        <v>11.31</v>
      </c>
      <c r="AB31" s="5">
        <v>941.45</v>
      </c>
      <c r="AC31" s="5">
        <v>63.4</v>
      </c>
      <c r="AD31" s="5">
        <v>20655.190000000006</v>
      </c>
      <c r="AE31" s="5">
        <v>832.25</v>
      </c>
      <c r="AF31" s="5">
        <v>23.394160408531096</v>
      </c>
      <c r="AG31" s="5">
        <v>0.38990267347551827</v>
      </c>
      <c r="AH31" s="5">
        <v>19469.790000000005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923.09</v>
      </c>
      <c r="AP31" s="5">
        <v>258.77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3.54</v>
      </c>
      <c r="AW31" s="5">
        <v>0</v>
      </c>
      <c r="AX31" s="5">
        <v>0</v>
      </c>
      <c r="AY31" s="5">
        <v>1185.4000000000001</v>
      </c>
      <c r="AZ31" s="5" t="s">
        <v>174</v>
      </c>
    </row>
    <row r="32" spans="1:52" ht="14.85" customHeight="1">
      <c r="A32" s="1" t="s">
        <v>52</v>
      </c>
      <c r="B32" s="1" t="s">
        <v>53</v>
      </c>
      <c r="C32" s="1">
        <v>1190</v>
      </c>
      <c r="D32" s="1" t="s">
        <v>175</v>
      </c>
      <c r="E32" s="1" t="s">
        <v>176</v>
      </c>
      <c r="G32" s="1" t="s">
        <v>177</v>
      </c>
      <c r="H32" s="4"/>
      <c r="I32" s="1">
        <v>3238.97</v>
      </c>
      <c r="K32" s="1">
        <v>14</v>
      </c>
      <c r="M32" s="1" t="s">
        <v>75</v>
      </c>
      <c r="O32" s="1">
        <v>24903.97</v>
      </c>
      <c r="P32" s="5">
        <v>6922.24</v>
      </c>
      <c r="Q32" s="5">
        <v>0</v>
      </c>
      <c r="R32" s="5">
        <v>0</v>
      </c>
      <c r="S32" s="5">
        <v>0</v>
      </c>
      <c r="T32" s="5">
        <v>4372.6099999999997</v>
      </c>
      <c r="U32" s="5">
        <v>1225.77</v>
      </c>
      <c r="V32" s="5">
        <v>1619.48</v>
      </c>
      <c r="W32" s="5">
        <v>453.99</v>
      </c>
      <c r="X32" s="5">
        <v>0</v>
      </c>
      <c r="Y32" s="5">
        <v>0</v>
      </c>
      <c r="Z32" s="5">
        <v>113.13</v>
      </c>
      <c r="AA32" s="5">
        <v>27.71</v>
      </c>
      <c r="AB32" s="5">
        <v>1582.93</v>
      </c>
      <c r="AC32" s="5">
        <v>111.86</v>
      </c>
      <c r="AD32" s="5">
        <v>41333.689999999995</v>
      </c>
      <c r="AE32" s="5">
        <v>798</v>
      </c>
      <c r="AF32" s="5">
        <v>45.62380952380952</v>
      </c>
      <c r="AG32" s="5">
        <v>0.76039682539682529</v>
      </c>
      <c r="AH32" s="5">
        <v>36407.799999999996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3833.5</v>
      </c>
      <c r="AP32" s="5">
        <v>1074.6500000000001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17.739999999999998</v>
      </c>
      <c r="AW32" s="5">
        <v>0</v>
      </c>
      <c r="AX32" s="5">
        <v>0</v>
      </c>
      <c r="AY32" s="5">
        <v>4925.8899999999994</v>
      </c>
      <c r="AZ32" s="5" t="s">
        <v>178</v>
      </c>
    </row>
    <row r="33" spans="1:52" ht="14.85" customHeight="1">
      <c r="A33" s="1" t="s">
        <v>52</v>
      </c>
      <c r="B33" s="1" t="s">
        <v>53</v>
      </c>
      <c r="C33" s="1">
        <v>1230</v>
      </c>
      <c r="D33" s="1" t="s">
        <v>179</v>
      </c>
      <c r="E33" s="1" t="s">
        <v>180</v>
      </c>
      <c r="G33" s="1" t="s">
        <v>181</v>
      </c>
      <c r="H33" s="4"/>
      <c r="I33" s="1">
        <v>1386.24</v>
      </c>
      <c r="K33" s="1">
        <v>6</v>
      </c>
      <c r="M33" s="1" t="s">
        <v>57</v>
      </c>
      <c r="O33" s="1">
        <v>7980.44</v>
      </c>
      <c r="P33" s="5">
        <v>214.69</v>
      </c>
      <c r="Q33" s="5">
        <v>0</v>
      </c>
      <c r="R33" s="5">
        <v>0</v>
      </c>
      <c r="S33" s="5">
        <v>0</v>
      </c>
      <c r="T33" s="5">
        <v>2267.13</v>
      </c>
      <c r="U33" s="5">
        <v>33.44</v>
      </c>
      <c r="V33" s="5">
        <v>638.42999999999995</v>
      </c>
      <c r="W33" s="5">
        <v>9.42</v>
      </c>
      <c r="X33" s="5">
        <v>0</v>
      </c>
      <c r="Y33" s="5">
        <v>0</v>
      </c>
      <c r="Z33" s="5">
        <v>77.849999999999994</v>
      </c>
      <c r="AA33" s="5">
        <v>27.67</v>
      </c>
      <c r="AB33" s="5">
        <v>660.73</v>
      </c>
      <c r="AC33" s="5">
        <v>47.16</v>
      </c>
      <c r="AD33" s="5">
        <v>11956.96</v>
      </c>
      <c r="AE33" s="5">
        <v>839.25</v>
      </c>
      <c r="AF33" s="5">
        <v>12.185010425975571</v>
      </c>
      <c r="AG33" s="5">
        <v>0.20308350709959286</v>
      </c>
      <c r="AH33" s="5">
        <v>10226.269999999999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1688.69</v>
      </c>
      <c r="AP33" s="5">
        <v>24.91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17.09</v>
      </c>
      <c r="AW33" s="5">
        <v>0</v>
      </c>
      <c r="AX33" s="5">
        <v>0</v>
      </c>
      <c r="AY33" s="5">
        <v>1730.69</v>
      </c>
      <c r="AZ33" s="5" t="s">
        <v>182</v>
      </c>
    </row>
    <row r="34" spans="1:52" ht="14.85" customHeight="1">
      <c r="A34" s="1" t="s">
        <v>52</v>
      </c>
      <c r="B34" s="1" t="s">
        <v>53</v>
      </c>
      <c r="C34" s="1">
        <v>1270</v>
      </c>
      <c r="D34" s="1" t="s">
        <v>183</v>
      </c>
      <c r="E34" s="1" t="s">
        <v>184</v>
      </c>
      <c r="G34" s="1" t="s">
        <v>185</v>
      </c>
      <c r="H34" s="4"/>
      <c r="I34" s="1">
        <v>8.8345500000000001</v>
      </c>
      <c r="K34" s="1">
        <v>1</v>
      </c>
      <c r="M34" s="1" t="s">
        <v>57</v>
      </c>
      <c r="O34" s="1">
        <v>6409.43</v>
      </c>
      <c r="P34" s="5">
        <v>66</v>
      </c>
      <c r="Q34" s="5">
        <v>0</v>
      </c>
      <c r="R34" s="5">
        <v>0</v>
      </c>
      <c r="S34" s="5">
        <v>0</v>
      </c>
      <c r="T34" s="5">
        <v>1032.49</v>
      </c>
      <c r="U34" s="5">
        <v>0</v>
      </c>
      <c r="V34" s="5">
        <v>728.85</v>
      </c>
      <c r="W34" s="5">
        <v>0</v>
      </c>
      <c r="X34" s="5">
        <v>39.76</v>
      </c>
      <c r="Y34" s="5">
        <v>0</v>
      </c>
      <c r="Z34" s="5">
        <v>61.03</v>
      </c>
      <c r="AA34" s="5">
        <v>17.149999999999999</v>
      </c>
      <c r="AB34" s="5">
        <v>750.93</v>
      </c>
      <c r="AC34" s="5">
        <v>53.98</v>
      </c>
      <c r="AD34" s="5">
        <v>9159.6200000000008</v>
      </c>
      <c r="AE34" s="5">
        <v>596</v>
      </c>
      <c r="AF34" s="5">
        <v>14.679278523489934</v>
      </c>
      <c r="AG34" s="5">
        <v>0.24465464205816556</v>
      </c>
      <c r="AH34" s="5">
        <v>8748.85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428.74</v>
      </c>
      <c r="AP34" s="5">
        <v>0</v>
      </c>
      <c r="AQ34" s="5">
        <v>0</v>
      </c>
      <c r="AR34" s="5">
        <v>0</v>
      </c>
      <c r="AS34" s="5">
        <v>-22.09</v>
      </c>
      <c r="AT34" s="5">
        <v>0</v>
      </c>
      <c r="AU34" s="5">
        <v>0</v>
      </c>
      <c r="AV34" s="5">
        <v>4.12</v>
      </c>
      <c r="AW34" s="5">
        <v>0</v>
      </c>
      <c r="AX34" s="5">
        <v>0</v>
      </c>
      <c r="AY34" s="5">
        <v>410.77000000000004</v>
      </c>
      <c r="AZ34" s="5" t="s">
        <v>186</v>
      </c>
    </row>
    <row r="35" spans="1:52" ht="14.85" customHeight="1">
      <c r="A35" s="1" t="s">
        <v>52</v>
      </c>
      <c r="B35" s="1" t="s">
        <v>53</v>
      </c>
      <c r="C35" s="1">
        <v>1280</v>
      </c>
      <c r="D35" s="1" t="s">
        <v>187</v>
      </c>
      <c r="E35" s="1" t="s">
        <v>188</v>
      </c>
      <c r="G35" s="1" t="s">
        <v>189</v>
      </c>
      <c r="H35" s="4"/>
      <c r="I35" s="1">
        <v>9.9345499999999998</v>
      </c>
      <c r="K35" s="1">
        <v>2</v>
      </c>
      <c r="M35" s="1" t="s">
        <v>57</v>
      </c>
      <c r="O35" s="1">
        <v>10293.450000000001</v>
      </c>
      <c r="P35" s="5">
        <v>66</v>
      </c>
      <c r="Q35" s="5">
        <v>0</v>
      </c>
      <c r="R35" s="5">
        <v>0</v>
      </c>
      <c r="S35" s="5">
        <v>0</v>
      </c>
      <c r="T35" s="5">
        <v>2632.26</v>
      </c>
      <c r="U35" s="5">
        <v>0</v>
      </c>
      <c r="V35" s="5">
        <v>819.6</v>
      </c>
      <c r="W35" s="5">
        <v>0</v>
      </c>
      <c r="X35" s="5">
        <v>59.61</v>
      </c>
      <c r="Y35" s="5">
        <v>0</v>
      </c>
      <c r="Z35" s="5">
        <v>98.03</v>
      </c>
      <c r="AA35" s="5">
        <v>33.44</v>
      </c>
      <c r="AB35" s="5">
        <v>844.8</v>
      </c>
      <c r="AC35" s="5">
        <v>60.71</v>
      </c>
      <c r="AD35" s="5">
        <v>14907.900000000001</v>
      </c>
      <c r="AE35" s="5">
        <v>880.5</v>
      </c>
      <c r="AF35" s="5">
        <v>14.477910278250995</v>
      </c>
      <c r="AG35" s="5">
        <v>0.24129850463751659</v>
      </c>
      <c r="AH35" s="5">
        <v>12747.8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2124.38</v>
      </c>
      <c r="AP35" s="5">
        <v>0</v>
      </c>
      <c r="AQ35" s="5">
        <v>0</v>
      </c>
      <c r="AR35" s="5">
        <v>0</v>
      </c>
      <c r="AS35" s="5">
        <v>14.08</v>
      </c>
      <c r="AT35" s="5">
        <v>0</v>
      </c>
      <c r="AU35" s="5">
        <v>0</v>
      </c>
      <c r="AV35" s="5">
        <v>21.64</v>
      </c>
      <c r="AW35" s="5">
        <v>0</v>
      </c>
      <c r="AX35" s="5">
        <v>0</v>
      </c>
      <c r="AY35" s="5">
        <v>2160.1</v>
      </c>
      <c r="AZ35" s="5" t="s">
        <v>190</v>
      </c>
    </row>
    <row r="36" spans="1:52" ht="14.85" customHeight="1">
      <c r="A36" s="1" t="s">
        <v>52</v>
      </c>
      <c r="B36" s="1" t="s">
        <v>53</v>
      </c>
      <c r="C36" s="1">
        <v>1290</v>
      </c>
      <c r="D36" s="1" t="s">
        <v>191</v>
      </c>
      <c r="E36" s="1" t="s">
        <v>192</v>
      </c>
      <c r="G36" s="1" t="s">
        <v>189</v>
      </c>
      <c r="H36" s="4"/>
      <c r="I36" s="1">
        <v>8.9331700000000005</v>
      </c>
      <c r="K36" s="1">
        <v>1</v>
      </c>
      <c r="M36" s="1" t="s">
        <v>57</v>
      </c>
      <c r="O36" s="1">
        <v>9031.65</v>
      </c>
      <c r="P36" s="5">
        <v>66</v>
      </c>
      <c r="Q36" s="5">
        <v>0</v>
      </c>
      <c r="R36" s="5">
        <v>0</v>
      </c>
      <c r="S36" s="5">
        <v>0</v>
      </c>
      <c r="T36" s="5">
        <v>1909.11</v>
      </c>
      <c r="U36" s="5">
        <v>0</v>
      </c>
      <c r="V36" s="5">
        <v>736.99</v>
      </c>
      <c r="W36" s="5">
        <v>0</v>
      </c>
      <c r="X36" s="5">
        <v>26.8</v>
      </c>
      <c r="Y36" s="5">
        <v>0</v>
      </c>
      <c r="Z36" s="5">
        <v>86.03</v>
      </c>
      <c r="AA36" s="5">
        <v>25.46</v>
      </c>
      <c r="AB36" s="5">
        <v>814.35</v>
      </c>
      <c r="AC36" s="5">
        <v>54.59</v>
      </c>
      <c r="AD36" s="5">
        <v>12750.98</v>
      </c>
      <c r="AE36" s="5">
        <v>820.5</v>
      </c>
      <c r="AF36" s="5">
        <v>13.763644119439366</v>
      </c>
      <c r="AG36" s="5">
        <v>0.22939406865732276</v>
      </c>
      <c r="AH36" s="5">
        <v>11293.07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1443.3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14.61</v>
      </c>
      <c r="AW36" s="5">
        <v>0</v>
      </c>
      <c r="AX36" s="5">
        <v>0</v>
      </c>
      <c r="AY36" s="5">
        <v>1457.91</v>
      </c>
      <c r="AZ36" s="5" t="s">
        <v>193</v>
      </c>
    </row>
    <row r="37" spans="1:52" ht="14.85" customHeight="1">
      <c r="A37" s="1" t="s">
        <v>52</v>
      </c>
      <c r="B37" s="1" t="s">
        <v>53</v>
      </c>
      <c r="C37" s="1">
        <v>1300</v>
      </c>
      <c r="D37" s="1" t="s">
        <v>194</v>
      </c>
      <c r="E37" s="1" t="s">
        <v>195</v>
      </c>
      <c r="G37" s="1" t="s">
        <v>189</v>
      </c>
      <c r="H37" s="4"/>
      <c r="I37" s="1">
        <v>9.5210799999999995</v>
      </c>
      <c r="K37" s="1">
        <v>1</v>
      </c>
      <c r="M37" s="1" t="s">
        <v>57</v>
      </c>
      <c r="O37" s="1">
        <v>7855.12</v>
      </c>
      <c r="P37" s="5">
        <v>66</v>
      </c>
      <c r="Q37" s="5">
        <v>480</v>
      </c>
      <c r="R37" s="5">
        <v>0</v>
      </c>
      <c r="S37" s="5">
        <v>0</v>
      </c>
      <c r="T37" s="5">
        <v>1096.92</v>
      </c>
      <c r="U37" s="5">
        <v>0</v>
      </c>
      <c r="V37" s="5">
        <v>620.14</v>
      </c>
      <c r="W37" s="5">
        <v>0</v>
      </c>
      <c r="X37" s="5">
        <v>90.45</v>
      </c>
      <c r="Y37" s="5">
        <v>0</v>
      </c>
      <c r="Z37" s="5">
        <v>70.87</v>
      </c>
      <c r="AA37" s="5">
        <v>17.21</v>
      </c>
      <c r="AB37" s="5">
        <v>656.45</v>
      </c>
      <c r="AC37" s="5">
        <v>45.93</v>
      </c>
      <c r="AD37" s="5">
        <v>10519.090000000002</v>
      </c>
      <c r="AE37" s="5">
        <v>543</v>
      </c>
      <c r="AF37" s="5">
        <v>17.710460405156542</v>
      </c>
      <c r="AG37" s="5">
        <v>0.2951743400859424</v>
      </c>
      <c r="AH37" s="5">
        <v>9616.7800000000025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886.13</v>
      </c>
      <c r="AP37" s="5">
        <v>0</v>
      </c>
      <c r="AQ37" s="5">
        <v>0</v>
      </c>
      <c r="AR37" s="5">
        <v>0</v>
      </c>
      <c r="AS37" s="5">
        <v>7.14</v>
      </c>
      <c r="AT37" s="5">
        <v>0</v>
      </c>
      <c r="AU37" s="5">
        <v>0</v>
      </c>
      <c r="AV37" s="5">
        <v>9.0399999999999991</v>
      </c>
      <c r="AW37" s="5">
        <v>0</v>
      </c>
      <c r="AX37" s="5">
        <v>0</v>
      </c>
      <c r="AY37" s="5">
        <v>902.31</v>
      </c>
      <c r="AZ37" s="5" t="s">
        <v>196</v>
      </c>
    </row>
    <row r="38" spans="1:52" ht="14.85" customHeight="1">
      <c r="A38" s="1" t="s">
        <v>52</v>
      </c>
      <c r="B38" s="1" t="s">
        <v>53</v>
      </c>
      <c r="C38" s="1">
        <v>1330</v>
      </c>
      <c r="D38" s="1" t="s">
        <v>197</v>
      </c>
      <c r="E38" s="1" t="s">
        <v>198</v>
      </c>
      <c r="G38" s="1" t="s">
        <v>199</v>
      </c>
      <c r="H38" s="4"/>
      <c r="I38" s="1">
        <v>1461.24</v>
      </c>
      <c r="K38" s="1">
        <v>14</v>
      </c>
      <c r="M38" s="1" t="s">
        <v>66</v>
      </c>
      <c r="O38" s="1">
        <v>6551.7</v>
      </c>
      <c r="P38" s="5">
        <v>66</v>
      </c>
      <c r="Q38" s="5">
        <v>0</v>
      </c>
      <c r="R38" s="5">
        <v>0</v>
      </c>
      <c r="S38" s="5">
        <v>0</v>
      </c>
      <c r="T38" s="5">
        <v>736.55</v>
      </c>
      <c r="U38" s="5">
        <v>0</v>
      </c>
      <c r="V38" s="5">
        <v>576.82000000000005</v>
      </c>
      <c r="W38" s="5">
        <v>0</v>
      </c>
      <c r="X38" s="5">
        <v>50.92</v>
      </c>
      <c r="Y38" s="5">
        <v>0</v>
      </c>
      <c r="Z38" s="5">
        <v>26.05</v>
      </c>
      <c r="AA38" s="5">
        <v>5.23</v>
      </c>
      <c r="AB38" s="5">
        <v>635.28</v>
      </c>
      <c r="AC38" s="5">
        <v>42.72</v>
      </c>
      <c r="AD38" s="5">
        <v>8691.2699999999986</v>
      </c>
      <c r="AE38" s="5">
        <v>557.5</v>
      </c>
      <c r="AF38" s="5">
        <v>14.870708520179369</v>
      </c>
      <c r="AG38" s="5">
        <v>0.24784514200298949</v>
      </c>
      <c r="AH38" s="5">
        <v>8290.4199999999983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399.32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1.53</v>
      </c>
      <c r="AW38" s="5">
        <v>0</v>
      </c>
      <c r="AX38" s="5">
        <v>0</v>
      </c>
      <c r="AY38" s="5">
        <v>400.85</v>
      </c>
      <c r="AZ38" s="5" t="s">
        <v>200</v>
      </c>
    </row>
    <row r="39" spans="1:52" ht="14.85" customHeight="1">
      <c r="A39" s="1" t="s">
        <v>52</v>
      </c>
      <c r="B39" s="1" t="s">
        <v>53</v>
      </c>
      <c r="C39" s="1">
        <v>1360</v>
      </c>
      <c r="D39" s="1" t="s">
        <v>201</v>
      </c>
      <c r="E39" s="1" t="s">
        <v>202</v>
      </c>
      <c r="G39" s="1" t="s">
        <v>203</v>
      </c>
      <c r="H39" s="4"/>
      <c r="I39" s="1">
        <v>9.3845500000000008</v>
      </c>
      <c r="K39" s="1">
        <v>2</v>
      </c>
      <c r="M39" s="1" t="s">
        <v>57</v>
      </c>
      <c r="O39" s="1">
        <v>5187.66</v>
      </c>
      <c r="P39" s="5">
        <v>66</v>
      </c>
      <c r="Q39" s="5">
        <v>0</v>
      </c>
      <c r="R39" s="5">
        <v>0</v>
      </c>
      <c r="S39" s="5">
        <v>0</v>
      </c>
      <c r="T39" s="5">
        <v>1015.13</v>
      </c>
      <c r="U39" s="5">
        <v>0</v>
      </c>
      <c r="V39" s="5">
        <v>427.84</v>
      </c>
      <c r="W39" s="5">
        <v>0</v>
      </c>
      <c r="X39" s="5">
        <v>18.77</v>
      </c>
      <c r="Y39" s="5">
        <v>0</v>
      </c>
      <c r="Z39" s="5">
        <v>47.16</v>
      </c>
      <c r="AA39" s="5">
        <v>13.92</v>
      </c>
      <c r="AB39" s="5">
        <v>471.94</v>
      </c>
      <c r="AC39" s="5">
        <v>31.69</v>
      </c>
      <c r="AD39" s="5">
        <v>7280.11</v>
      </c>
      <c r="AE39" s="5">
        <v>421.75</v>
      </c>
      <c r="AF39" s="5">
        <v>14.394570243034973</v>
      </c>
      <c r="AG39" s="5">
        <v>0.23990950405058289</v>
      </c>
      <c r="AH39" s="5">
        <v>6070.91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1197.0899999999999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12.11</v>
      </c>
      <c r="AW39" s="5">
        <v>0</v>
      </c>
      <c r="AX39" s="5">
        <v>0</v>
      </c>
      <c r="AY39" s="5">
        <v>1209.1999999999998</v>
      </c>
      <c r="AZ39" s="5" t="s">
        <v>204</v>
      </c>
    </row>
    <row r="40" spans="1:52" ht="14.85" customHeight="1">
      <c r="A40" s="1" t="s">
        <v>52</v>
      </c>
      <c r="B40" s="1" t="s">
        <v>53</v>
      </c>
      <c r="C40" s="1">
        <v>1370</v>
      </c>
      <c r="D40" s="1" t="s">
        <v>205</v>
      </c>
      <c r="E40" s="1" t="s">
        <v>206</v>
      </c>
      <c r="G40" s="1" t="s">
        <v>203</v>
      </c>
      <c r="H40" s="4"/>
      <c r="I40" s="1">
        <v>8.8345500000000001</v>
      </c>
      <c r="K40" s="1">
        <v>1</v>
      </c>
      <c r="M40" s="1" t="s">
        <v>57</v>
      </c>
      <c r="O40" s="1">
        <v>8545.69</v>
      </c>
      <c r="P40" s="5">
        <v>66</v>
      </c>
      <c r="Q40" s="5">
        <v>0</v>
      </c>
      <c r="R40" s="5">
        <v>0</v>
      </c>
      <c r="S40" s="5">
        <v>0</v>
      </c>
      <c r="T40" s="5">
        <v>1594.28</v>
      </c>
      <c r="U40" s="5">
        <v>0</v>
      </c>
      <c r="V40" s="5">
        <v>728.85</v>
      </c>
      <c r="W40" s="5">
        <v>0</v>
      </c>
      <c r="X40" s="5">
        <v>39.76</v>
      </c>
      <c r="Y40" s="5">
        <v>0</v>
      </c>
      <c r="Z40" s="5">
        <v>81.39</v>
      </c>
      <c r="AA40" s="5">
        <v>22.5</v>
      </c>
      <c r="AB40" s="5">
        <v>806.08</v>
      </c>
      <c r="AC40" s="5">
        <v>53.98</v>
      </c>
      <c r="AD40" s="5">
        <v>11938.53</v>
      </c>
      <c r="AE40" s="5">
        <v>836.25</v>
      </c>
      <c r="AF40" s="5">
        <v>12.970403587443947</v>
      </c>
      <c r="AG40" s="5">
        <v>0.21617339312406578</v>
      </c>
      <c r="AH40" s="5">
        <v>10846.5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1078.8800000000001</v>
      </c>
      <c r="AP40" s="5">
        <v>0</v>
      </c>
      <c r="AQ40" s="5">
        <v>0</v>
      </c>
      <c r="AR40" s="5">
        <v>0</v>
      </c>
      <c r="AS40" s="5">
        <v>2.21</v>
      </c>
      <c r="AT40" s="5">
        <v>0</v>
      </c>
      <c r="AU40" s="5">
        <v>0</v>
      </c>
      <c r="AV40" s="5">
        <v>10.94</v>
      </c>
      <c r="AW40" s="5">
        <v>0</v>
      </c>
      <c r="AX40" s="5">
        <v>0</v>
      </c>
      <c r="AY40" s="5">
        <v>1092.0300000000002</v>
      </c>
      <c r="AZ40" s="5" t="s">
        <v>207</v>
      </c>
    </row>
    <row r="41" spans="1:52" ht="14.85" customHeight="1">
      <c r="A41" s="1" t="s">
        <v>52</v>
      </c>
      <c r="B41" s="1" t="s">
        <v>53</v>
      </c>
      <c r="C41" s="1">
        <v>1380</v>
      </c>
      <c r="D41" s="1" t="s">
        <v>208</v>
      </c>
      <c r="E41" s="1" t="s">
        <v>209</v>
      </c>
      <c r="G41" s="1" t="s">
        <v>203</v>
      </c>
      <c r="H41" s="4"/>
      <c r="I41" s="1">
        <v>8.8345500000000001</v>
      </c>
      <c r="K41" s="1">
        <v>1</v>
      </c>
      <c r="M41" s="1" t="s">
        <v>57</v>
      </c>
      <c r="O41" s="1">
        <v>6285.29</v>
      </c>
      <c r="P41" s="5">
        <v>66</v>
      </c>
      <c r="Q41" s="5">
        <v>0</v>
      </c>
      <c r="R41" s="5">
        <v>0</v>
      </c>
      <c r="S41" s="5">
        <v>0</v>
      </c>
      <c r="T41" s="5">
        <v>1912.33</v>
      </c>
      <c r="U41" s="5">
        <v>0</v>
      </c>
      <c r="V41" s="5">
        <v>604.17999999999995</v>
      </c>
      <c r="W41" s="5">
        <v>0</v>
      </c>
      <c r="X41" s="5">
        <v>0</v>
      </c>
      <c r="Y41" s="5">
        <v>0</v>
      </c>
      <c r="Z41" s="5">
        <v>62.48</v>
      </c>
      <c r="AA41" s="5">
        <v>23.97</v>
      </c>
      <c r="AB41" s="5">
        <v>686.91000000000008</v>
      </c>
      <c r="AC41" s="5">
        <v>44.75</v>
      </c>
      <c r="AD41" s="5">
        <v>9685.909999999998</v>
      </c>
      <c r="AE41" s="5">
        <v>481.5</v>
      </c>
      <c r="AF41" s="5">
        <v>16.021661474558666</v>
      </c>
      <c r="AG41" s="5">
        <v>0.26702769124264442</v>
      </c>
      <c r="AH41" s="5">
        <v>7714.4299999999985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1925.23</v>
      </c>
      <c r="AP41" s="5">
        <v>0</v>
      </c>
      <c r="AQ41" s="5">
        <v>0</v>
      </c>
      <c r="AR41" s="5">
        <v>0</v>
      </c>
      <c r="AS41" s="5">
        <v>26.5</v>
      </c>
      <c r="AT41" s="5">
        <v>0</v>
      </c>
      <c r="AU41" s="5">
        <v>0</v>
      </c>
      <c r="AV41" s="5">
        <v>19.75</v>
      </c>
      <c r="AW41" s="5">
        <v>0</v>
      </c>
      <c r="AX41" s="5">
        <v>0</v>
      </c>
      <c r="AY41" s="5">
        <v>1971.48</v>
      </c>
      <c r="AZ41" s="5" t="s">
        <v>210</v>
      </c>
    </row>
    <row r="42" spans="1:52" ht="14.85" customHeight="1">
      <c r="A42" s="1" t="s">
        <v>52</v>
      </c>
      <c r="B42" s="1" t="s">
        <v>53</v>
      </c>
      <c r="C42" s="1">
        <v>1430</v>
      </c>
      <c r="D42" s="1" t="s">
        <v>211</v>
      </c>
      <c r="E42" s="1" t="s">
        <v>212</v>
      </c>
      <c r="G42" s="1" t="s">
        <v>213</v>
      </c>
      <c r="H42" s="4"/>
      <c r="I42" s="1">
        <v>2719.92</v>
      </c>
      <c r="K42" s="1">
        <v>7</v>
      </c>
      <c r="M42" s="1" t="s">
        <v>75</v>
      </c>
      <c r="O42" s="1">
        <v>16909.89</v>
      </c>
      <c r="P42" s="5">
        <v>4593.83</v>
      </c>
      <c r="Q42" s="5">
        <v>0</v>
      </c>
      <c r="R42" s="5">
        <v>1174.76</v>
      </c>
      <c r="S42" s="5">
        <v>0</v>
      </c>
      <c r="T42" s="5">
        <v>2814.05</v>
      </c>
      <c r="U42" s="5">
        <v>754.17</v>
      </c>
      <c r="V42" s="5">
        <v>1359.96</v>
      </c>
      <c r="W42" s="5">
        <v>364.47</v>
      </c>
      <c r="X42" s="5">
        <v>0</v>
      </c>
      <c r="Y42" s="5">
        <v>0</v>
      </c>
      <c r="Z42" s="5">
        <v>160.93</v>
      </c>
      <c r="AA42" s="5">
        <v>39.75</v>
      </c>
      <c r="AB42" s="5">
        <v>8.23</v>
      </c>
      <c r="AC42" s="5">
        <v>93.93</v>
      </c>
      <c r="AD42" s="5">
        <v>28273.969999999998</v>
      </c>
      <c r="AE42" s="5">
        <v>831</v>
      </c>
      <c r="AF42" s="5">
        <v>29.76789410348977</v>
      </c>
      <c r="AG42" s="5">
        <v>0.49613156839149614</v>
      </c>
      <c r="AH42" s="5">
        <v>24737.119999999999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2767.23</v>
      </c>
      <c r="AP42" s="5">
        <v>741.62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28</v>
      </c>
      <c r="AW42" s="5">
        <v>0</v>
      </c>
      <c r="AX42" s="5">
        <v>0</v>
      </c>
      <c r="AY42" s="5">
        <v>3536.85</v>
      </c>
      <c r="AZ42" s="5" t="s">
        <v>214</v>
      </c>
    </row>
    <row r="43" spans="1:52" ht="14.85" customHeight="1">
      <c r="A43" s="1" t="s">
        <v>52</v>
      </c>
      <c r="B43" s="1" t="s">
        <v>53</v>
      </c>
      <c r="C43" s="1">
        <v>1480</v>
      </c>
      <c r="D43" s="1" t="s">
        <v>215</v>
      </c>
      <c r="E43" s="1" t="s">
        <v>176</v>
      </c>
      <c r="G43" s="1" t="s">
        <v>216</v>
      </c>
      <c r="H43" s="4" t="s">
        <v>98</v>
      </c>
      <c r="I43" s="1">
        <v>4619.92</v>
      </c>
      <c r="K43" s="1">
        <v>15</v>
      </c>
      <c r="M43" s="1" t="s">
        <v>66</v>
      </c>
      <c r="O43" s="1">
        <v>53486.62</v>
      </c>
      <c r="P43" s="5">
        <v>1988.27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205.32</v>
      </c>
      <c r="AA43" s="5">
        <v>0</v>
      </c>
      <c r="AB43" s="5">
        <v>2504.7800000000002</v>
      </c>
      <c r="AC43" s="5">
        <v>0</v>
      </c>
      <c r="AD43" s="5">
        <v>58184.99</v>
      </c>
      <c r="AE43" s="5">
        <v>904</v>
      </c>
      <c r="AF43" s="5">
        <v>54.733550884955747</v>
      </c>
      <c r="AG43" s="5">
        <v>0.91222584808259577</v>
      </c>
      <c r="AH43" s="5">
        <v>49479.13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8672.57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33.29</v>
      </c>
      <c r="AW43" s="5">
        <v>0</v>
      </c>
      <c r="AX43" s="5">
        <v>0</v>
      </c>
      <c r="AY43" s="5">
        <v>8705.86</v>
      </c>
      <c r="AZ43" s="5" t="s">
        <v>217</v>
      </c>
    </row>
    <row r="44" spans="1:52" ht="14.85" customHeight="1">
      <c r="A44" s="1" t="s">
        <v>52</v>
      </c>
      <c r="B44" s="1" t="s">
        <v>53</v>
      </c>
      <c r="C44" s="1">
        <v>1490</v>
      </c>
      <c r="D44" s="1" t="s">
        <v>218</v>
      </c>
      <c r="E44" s="1" t="s">
        <v>219</v>
      </c>
      <c r="G44" s="1" t="s">
        <v>220</v>
      </c>
      <c r="H44" s="4"/>
      <c r="I44" s="1">
        <v>8.4014399999999991</v>
      </c>
      <c r="K44" s="1">
        <v>2</v>
      </c>
      <c r="M44" s="1" t="s">
        <v>57</v>
      </c>
      <c r="O44" s="1">
        <v>6776.34</v>
      </c>
      <c r="P44" s="5">
        <v>66</v>
      </c>
      <c r="Q44" s="5">
        <v>0</v>
      </c>
      <c r="R44" s="5">
        <v>0</v>
      </c>
      <c r="S44" s="5">
        <v>0</v>
      </c>
      <c r="T44" s="5">
        <v>1343.31</v>
      </c>
      <c r="U44" s="5">
        <v>0</v>
      </c>
      <c r="V44" s="5">
        <v>547.22</v>
      </c>
      <c r="W44" s="5">
        <v>0</v>
      </c>
      <c r="X44" s="5">
        <v>44.11</v>
      </c>
      <c r="Y44" s="5">
        <v>0</v>
      </c>
      <c r="Z44" s="5">
        <v>67.23</v>
      </c>
      <c r="AA44" s="5">
        <v>18.420000000000002</v>
      </c>
      <c r="AB44" s="5">
        <v>599.62</v>
      </c>
      <c r="AC44" s="5">
        <v>40.53</v>
      </c>
      <c r="AD44" s="5">
        <v>9502.7800000000007</v>
      </c>
      <c r="AE44" s="5">
        <v>680.25</v>
      </c>
      <c r="AF44" s="5">
        <v>12.232326350606396</v>
      </c>
      <c r="AG44" s="5">
        <v>0.20387210584343993</v>
      </c>
      <c r="AH44" s="5">
        <v>8321.0400000000009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1167.8</v>
      </c>
      <c r="AP44" s="5">
        <v>0</v>
      </c>
      <c r="AQ44" s="5">
        <v>0</v>
      </c>
      <c r="AR44" s="5">
        <v>0</v>
      </c>
      <c r="AS44" s="5">
        <v>2.1</v>
      </c>
      <c r="AT44" s="5">
        <v>0</v>
      </c>
      <c r="AU44" s="5">
        <v>0</v>
      </c>
      <c r="AV44" s="5">
        <v>11.84</v>
      </c>
      <c r="AW44" s="5">
        <v>0</v>
      </c>
      <c r="AX44" s="5">
        <v>0</v>
      </c>
      <c r="AY44" s="5">
        <v>1181.7399999999998</v>
      </c>
      <c r="AZ44" s="5" t="s">
        <v>221</v>
      </c>
    </row>
    <row r="45" spans="1:52" ht="14.85" customHeight="1">
      <c r="A45" s="1" t="s">
        <v>52</v>
      </c>
      <c r="B45" s="1" t="s">
        <v>53</v>
      </c>
      <c r="C45" s="1">
        <v>1560</v>
      </c>
      <c r="D45" s="1" t="s">
        <v>222</v>
      </c>
      <c r="E45" s="1" t="s">
        <v>223</v>
      </c>
      <c r="G45" s="1" t="s">
        <v>224</v>
      </c>
      <c r="H45" s="4"/>
      <c r="I45" s="1">
        <v>8.8345500000000001</v>
      </c>
      <c r="K45" s="1">
        <v>1</v>
      </c>
      <c r="M45" s="1" t="s">
        <v>57</v>
      </c>
      <c r="O45" s="1">
        <v>6324.18</v>
      </c>
      <c r="P45" s="5">
        <v>1961.41</v>
      </c>
      <c r="Q45" s="5">
        <v>0</v>
      </c>
      <c r="R45" s="5">
        <v>0</v>
      </c>
      <c r="S45" s="5">
        <v>0</v>
      </c>
      <c r="T45" s="5">
        <v>1053.79</v>
      </c>
      <c r="U45" s="5">
        <v>310.87</v>
      </c>
      <c r="V45" s="5">
        <v>511.48</v>
      </c>
      <c r="W45" s="5">
        <v>150.88999999999999</v>
      </c>
      <c r="X45" s="5">
        <v>4.42</v>
      </c>
      <c r="Y45" s="5">
        <v>1.3</v>
      </c>
      <c r="Z45" s="5">
        <v>59.85</v>
      </c>
      <c r="AA45" s="5">
        <v>14.95</v>
      </c>
      <c r="AB45" s="5">
        <v>489.39</v>
      </c>
      <c r="AC45" s="5">
        <v>35.32</v>
      </c>
      <c r="AD45" s="5">
        <v>10917.85</v>
      </c>
      <c r="AE45" s="5">
        <v>563.25</v>
      </c>
      <c r="AF45" s="5">
        <v>17.366888592987127</v>
      </c>
      <c r="AG45" s="5">
        <v>0.28944814321645213</v>
      </c>
      <c r="AH45" s="5">
        <v>9781.9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850.5</v>
      </c>
      <c r="AP45" s="5">
        <v>250.9</v>
      </c>
      <c r="AQ45" s="5">
        <v>0</v>
      </c>
      <c r="AR45" s="5">
        <v>0</v>
      </c>
      <c r="AS45" s="5">
        <v>19.88</v>
      </c>
      <c r="AT45" s="5">
        <v>5.86</v>
      </c>
      <c r="AU45" s="5">
        <v>0</v>
      </c>
      <c r="AV45" s="5">
        <v>8.81</v>
      </c>
      <c r="AW45" s="5">
        <v>0</v>
      </c>
      <c r="AX45" s="5">
        <v>0</v>
      </c>
      <c r="AY45" s="5">
        <v>1135.95</v>
      </c>
      <c r="AZ45" s="5" t="s">
        <v>225</v>
      </c>
    </row>
    <row r="46" spans="1:52" ht="14.85" customHeight="1">
      <c r="A46" s="1" t="s">
        <v>52</v>
      </c>
      <c r="B46" s="1" t="s">
        <v>53</v>
      </c>
      <c r="C46" s="1">
        <v>1600</v>
      </c>
      <c r="D46" s="1" t="s">
        <v>226</v>
      </c>
      <c r="E46" s="1" t="s">
        <v>227</v>
      </c>
      <c r="G46" s="1" t="s">
        <v>228</v>
      </c>
      <c r="H46" s="4"/>
      <c r="I46" s="1">
        <v>9.3845500000000008</v>
      </c>
      <c r="K46" s="1">
        <v>1</v>
      </c>
      <c r="M46" s="1" t="s">
        <v>57</v>
      </c>
      <c r="O46" s="1">
        <v>9321.7099999999991</v>
      </c>
      <c r="P46" s="5">
        <v>66</v>
      </c>
      <c r="Q46" s="5">
        <v>0</v>
      </c>
      <c r="R46" s="5">
        <v>0</v>
      </c>
      <c r="S46" s="5">
        <v>0</v>
      </c>
      <c r="T46" s="5">
        <v>914.62</v>
      </c>
      <c r="U46" s="5">
        <v>0</v>
      </c>
      <c r="V46" s="5">
        <v>774.23</v>
      </c>
      <c r="W46" s="5">
        <v>0</v>
      </c>
      <c r="X46" s="5">
        <v>35.19</v>
      </c>
      <c r="Y46" s="5">
        <v>0</v>
      </c>
      <c r="Z46" s="5">
        <v>88.79</v>
      </c>
      <c r="AA46" s="5">
        <v>16.420000000000002</v>
      </c>
      <c r="AB46" s="5">
        <v>766.46</v>
      </c>
      <c r="AC46" s="5">
        <v>57.35</v>
      </c>
      <c r="AD46" s="5">
        <v>12040.770000000002</v>
      </c>
      <c r="AE46" s="5">
        <v>715.75</v>
      </c>
      <c r="AF46" s="5">
        <v>15.910471533356622</v>
      </c>
      <c r="AG46" s="5">
        <v>0.26517452555594373</v>
      </c>
      <c r="AH46" s="5">
        <v>11387.920000000002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634.58000000000004</v>
      </c>
      <c r="AP46" s="5">
        <v>0</v>
      </c>
      <c r="AQ46" s="5">
        <v>0</v>
      </c>
      <c r="AR46" s="5">
        <v>0</v>
      </c>
      <c r="AS46" s="5">
        <v>11.73</v>
      </c>
      <c r="AT46" s="5">
        <v>0</v>
      </c>
      <c r="AU46" s="5">
        <v>0</v>
      </c>
      <c r="AV46" s="5">
        <v>6.54</v>
      </c>
      <c r="AW46" s="5">
        <v>0</v>
      </c>
      <c r="AX46" s="5">
        <v>0</v>
      </c>
      <c r="AY46" s="5">
        <v>652.85</v>
      </c>
      <c r="AZ46" s="5" t="s">
        <v>229</v>
      </c>
    </row>
    <row r="47" spans="1:52" ht="14.85" customHeight="1">
      <c r="A47" s="1" t="s">
        <v>52</v>
      </c>
      <c r="B47" s="1" t="s">
        <v>53</v>
      </c>
      <c r="C47" s="1">
        <v>1650</v>
      </c>
      <c r="D47" s="1" t="s">
        <v>230</v>
      </c>
      <c r="E47" s="1" t="s">
        <v>231</v>
      </c>
      <c r="G47" s="1" t="s">
        <v>232</v>
      </c>
      <c r="H47" s="4"/>
      <c r="I47" s="1">
        <v>9.8745499999999993</v>
      </c>
      <c r="K47" s="1">
        <v>1</v>
      </c>
      <c r="M47" s="1" t="s">
        <v>57</v>
      </c>
      <c r="O47" s="1">
        <v>10134.76</v>
      </c>
      <c r="P47" s="5">
        <v>3006.9</v>
      </c>
      <c r="Q47" s="5">
        <v>0</v>
      </c>
      <c r="R47" s="5">
        <v>696.69</v>
      </c>
      <c r="S47" s="5">
        <v>0</v>
      </c>
      <c r="T47" s="5">
        <v>3487.79</v>
      </c>
      <c r="U47" s="5">
        <v>1012.16</v>
      </c>
      <c r="V47" s="5">
        <v>814.65</v>
      </c>
      <c r="W47" s="5">
        <v>236.41</v>
      </c>
      <c r="X47" s="5">
        <v>66.650000000000006</v>
      </c>
      <c r="Y47" s="5">
        <v>19.34</v>
      </c>
      <c r="Z47" s="5">
        <v>96.52</v>
      </c>
      <c r="AA47" s="5">
        <v>41.61</v>
      </c>
      <c r="AB47" s="5">
        <v>37.79</v>
      </c>
      <c r="AC47" s="5">
        <v>56.26</v>
      </c>
      <c r="AD47" s="5">
        <v>19707.530000000002</v>
      </c>
      <c r="AE47" s="5">
        <v>865.5</v>
      </c>
      <c r="AF47" s="5">
        <v>17.976476025418837</v>
      </c>
      <c r="AG47" s="5">
        <v>0.29960793375698064</v>
      </c>
      <c r="AH47" s="5">
        <v>15558.640000000003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3183.26</v>
      </c>
      <c r="AP47" s="5">
        <v>923.78</v>
      </c>
      <c r="AQ47" s="5">
        <v>0</v>
      </c>
      <c r="AR47" s="5">
        <v>0</v>
      </c>
      <c r="AS47" s="5">
        <v>7.41</v>
      </c>
      <c r="AT47" s="5">
        <v>2.15</v>
      </c>
      <c r="AU47" s="5">
        <v>0</v>
      </c>
      <c r="AV47" s="5">
        <v>32.29</v>
      </c>
      <c r="AW47" s="5">
        <v>0</v>
      </c>
      <c r="AX47" s="5">
        <v>0</v>
      </c>
      <c r="AY47" s="5">
        <v>4148.8899999999994</v>
      </c>
      <c r="AZ47" s="5" t="s">
        <v>233</v>
      </c>
    </row>
    <row r="48" spans="1:52" ht="14.85" customHeight="1">
      <c r="A48" s="1" t="s">
        <v>52</v>
      </c>
      <c r="B48" s="1" t="s">
        <v>53</v>
      </c>
      <c r="C48" s="1">
        <v>1680</v>
      </c>
      <c r="D48" s="1" t="s">
        <v>234</v>
      </c>
      <c r="E48" s="1" t="s">
        <v>235</v>
      </c>
      <c r="G48" s="1" t="s">
        <v>236</v>
      </c>
      <c r="H48" s="4"/>
      <c r="I48" s="1">
        <v>9.9345499999999998</v>
      </c>
      <c r="K48" s="1">
        <v>2</v>
      </c>
      <c r="M48" s="1" t="s">
        <v>57</v>
      </c>
      <c r="O48" s="1">
        <v>10072.17</v>
      </c>
      <c r="P48" s="5">
        <v>3037.55</v>
      </c>
      <c r="Q48" s="5">
        <v>0</v>
      </c>
      <c r="R48" s="5">
        <v>0</v>
      </c>
      <c r="S48" s="5">
        <v>0</v>
      </c>
      <c r="T48" s="5">
        <v>1956.71</v>
      </c>
      <c r="U48" s="5">
        <v>577.23</v>
      </c>
      <c r="V48" s="5">
        <v>819.6</v>
      </c>
      <c r="W48" s="5">
        <v>241.78</v>
      </c>
      <c r="X48" s="5">
        <v>52.16</v>
      </c>
      <c r="Y48" s="5">
        <v>15.39</v>
      </c>
      <c r="Z48" s="5">
        <v>95.93</v>
      </c>
      <c r="AA48" s="5">
        <v>26.94</v>
      </c>
      <c r="AB48" s="5">
        <v>746.53</v>
      </c>
      <c r="AC48" s="5">
        <v>56.61</v>
      </c>
      <c r="AD48" s="5">
        <v>17698.599999999995</v>
      </c>
      <c r="AE48" s="5">
        <v>819</v>
      </c>
      <c r="AF48" s="5">
        <v>19.200500610500605</v>
      </c>
      <c r="AG48" s="5">
        <v>0.3200083435083434</v>
      </c>
      <c r="AH48" s="5">
        <v>15725.209999999995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1512.04</v>
      </c>
      <c r="AP48" s="5">
        <v>446.05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15.3</v>
      </c>
      <c r="AW48" s="5">
        <v>0</v>
      </c>
      <c r="AX48" s="5">
        <v>0</v>
      </c>
      <c r="AY48" s="5">
        <v>1973.39</v>
      </c>
      <c r="AZ48" s="5" t="s">
        <v>237</v>
      </c>
    </row>
    <row r="49" spans="1:52" ht="14.85" customHeight="1">
      <c r="A49" s="1" t="s">
        <v>52</v>
      </c>
      <c r="B49" s="1" t="s">
        <v>53</v>
      </c>
      <c r="C49" s="1">
        <v>1770</v>
      </c>
      <c r="D49" s="1" t="s">
        <v>238</v>
      </c>
      <c r="E49" s="1" t="s">
        <v>239</v>
      </c>
      <c r="G49" s="1" t="s">
        <v>240</v>
      </c>
      <c r="H49" s="4" t="s">
        <v>241</v>
      </c>
      <c r="I49" s="1">
        <v>1386.24</v>
      </c>
      <c r="K49" s="1">
        <v>6</v>
      </c>
      <c r="M49" s="1" t="s">
        <v>57</v>
      </c>
      <c r="O49" s="1">
        <v>5671.84</v>
      </c>
      <c r="P49" s="5">
        <v>171.98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59.15</v>
      </c>
      <c r="AA49" s="5">
        <v>0</v>
      </c>
      <c r="AB49" s="5">
        <v>467.13</v>
      </c>
      <c r="AC49" s="5">
        <v>0</v>
      </c>
      <c r="AD49" s="5">
        <v>6370.1</v>
      </c>
      <c r="AE49" s="5">
        <v>478.75</v>
      </c>
      <c r="AF49" s="5">
        <v>13.675133159268928</v>
      </c>
      <c r="AG49" s="5">
        <v>0.22791888598781546</v>
      </c>
      <c r="AH49" s="5">
        <v>6546.9699999999993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-172.57</v>
      </c>
      <c r="AP49" s="5">
        <v>-2.5499999999999998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-1.75</v>
      </c>
      <c r="AW49" s="5">
        <v>0</v>
      </c>
      <c r="AX49" s="5">
        <v>0</v>
      </c>
      <c r="AY49" s="5">
        <v>-176.87</v>
      </c>
      <c r="AZ49" s="5" t="s">
        <v>242</v>
      </c>
    </row>
    <row r="50" spans="1:52" ht="14.85" customHeight="1">
      <c r="A50" s="1" t="s">
        <v>52</v>
      </c>
      <c r="B50" s="1" t="s">
        <v>53</v>
      </c>
      <c r="C50" s="1">
        <v>1790</v>
      </c>
      <c r="D50" s="1" t="s">
        <v>243</v>
      </c>
      <c r="E50" s="1" t="s">
        <v>188</v>
      </c>
      <c r="G50" s="1" t="s">
        <v>244</v>
      </c>
      <c r="H50" s="4"/>
      <c r="I50" s="1">
        <v>10.871090000000001</v>
      </c>
      <c r="K50" s="1">
        <v>1</v>
      </c>
      <c r="M50" s="1" t="s">
        <v>57</v>
      </c>
      <c r="O50" s="1">
        <v>11257.56</v>
      </c>
      <c r="P50" s="5">
        <v>3386.51</v>
      </c>
      <c r="Q50" s="5">
        <v>0</v>
      </c>
      <c r="R50" s="5">
        <v>0</v>
      </c>
      <c r="S50" s="5">
        <v>0</v>
      </c>
      <c r="T50" s="5">
        <v>2222.6999999999998</v>
      </c>
      <c r="U50" s="5">
        <v>655.7</v>
      </c>
      <c r="V50" s="5">
        <v>896.86</v>
      </c>
      <c r="W50" s="5">
        <v>264.57</v>
      </c>
      <c r="X50" s="5">
        <v>16.309999999999999</v>
      </c>
      <c r="Y50" s="5">
        <v>4.8099999999999996</v>
      </c>
      <c r="Z50" s="5">
        <v>107.22</v>
      </c>
      <c r="AA50" s="5">
        <v>29.87</v>
      </c>
      <c r="AB50" s="5">
        <v>830.32</v>
      </c>
      <c r="AC50" s="5">
        <v>61.94</v>
      </c>
      <c r="AD50" s="5">
        <v>19734.370000000003</v>
      </c>
      <c r="AE50" s="5">
        <v>872</v>
      </c>
      <c r="AF50" s="5">
        <v>20.261811926605507</v>
      </c>
      <c r="AG50" s="5">
        <v>0.33769686544342509</v>
      </c>
      <c r="AH50" s="5">
        <v>17668.300000000003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1561.31</v>
      </c>
      <c r="AP50" s="5">
        <v>460.59</v>
      </c>
      <c r="AQ50" s="5">
        <v>0</v>
      </c>
      <c r="AR50" s="5">
        <v>0</v>
      </c>
      <c r="AS50" s="5">
        <v>21.74</v>
      </c>
      <c r="AT50" s="5">
        <v>6.41</v>
      </c>
      <c r="AU50" s="5">
        <v>0</v>
      </c>
      <c r="AV50" s="5">
        <v>16.02</v>
      </c>
      <c r="AW50" s="5">
        <v>0</v>
      </c>
      <c r="AX50" s="5">
        <v>0</v>
      </c>
      <c r="AY50" s="5">
        <v>2066.0699999999997</v>
      </c>
      <c r="AZ50" s="5" t="s">
        <v>245</v>
      </c>
    </row>
    <row r="51" spans="1:52" ht="14.85" customHeight="1">
      <c r="A51" s="1" t="s">
        <v>52</v>
      </c>
      <c r="B51" s="1" t="s">
        <v>53</v>
      </c>
      <c r="C51" s="1">
        <v>1820</v>
      </c>
      <c r="D51" s="1" t="s">
        <v>246</v>
      </c>
      <c r="E51" s="1" t="s">
        <v>247</v>
      </c>
      <c r="G51" s="1" t="s">
        <v>248</v>
      </c>
      <c r="H51" s="4"/>
      <c r="I51" s="1">
        <v>9.3845500000000008</v>
      </c>
      <c r="K51" s="1">
        <v>1</v>
      </c>
      <c r="M51" s="1" t="s">
        <v>57</v>
      </c>
      <c r="O51" s="1">
        <v>9328.89</v>
      </c>
      <c r="P51" s="5">
        <v>2836.92</v>
      </c>
      <c r="Q51" s="5">
        <v>0</v>
      </c>
      <c r="R51" s="5">
        <v>0</v>
      </c>
      <c r="S51" s="5">
        <v>0</v>
      </c>
      <c r="T51" s="5">
        <v>1862.46</v>
      </c>
      <c r="U51" s="5">
        <v>549.42999999999995</v>
      </c>
      <c r="V51" s="5">
        <v>774.23</v>
      </c>
      <c r="W51" s="5">
        <v>228.4</v>
      </c>
      <c r="X51" s="5">
        <v>39.880000000000003</v>
      </c>
      <c r="Y51" s="5">
        <v>11.76</v>
      </c>
      <c r="Z51" s="5">
        <v>89.46</v>
      </c>
      <c r="AA51" s="5">
        <v>25.49</v>
      </c>
      <c r="AB51" s="5">
        <v>736.78</v>
      </c>
      <c r="AC51" s="5">
        <v>53.47</v>
      </c>
      <c r="AD51" s="5">
        <v>16537.169999999998</v>
      </c>
      <c r="AE51" s="5">
        <v>772</v>
      </c>
      <c r="AF51" s="5">
        <v>18.706360103626938</v>
      </c>
      <c r="AG51" s="5">
        <v>0.31177266839378232</v>
      </c>
      <c r="AH51" s="5">
        <v>14441.309999999998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1605.88</v>
      </c>
      <c r="AP51" s="5">
        <v>473.73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16.25</v>
      </c>
      <c r="AW51" s="5">
        <v>0</v>
      </c>
      <c r="AX51" s="5">
        <v>0</v>
      </c>
      <c r="AY51" s="5">
        <v>2095.86</v>
      </c>
      <c r="AZ51" s="5" t="s">
        <v>249</v>
      </c>
    </row>
    <row r="52" spans="1:52" ht="14.85" customHeight="1">
      <c r="A52" s="1" t="s">
        <v>52</v>
      </c>
      <c r="B52" s="1" t="s">
        <v>53</v>
      </c>
      <c r="C52" s="1">
        <v>1850</v>
      </c>
      <c r="D52" s="1" t="s">
        <v>250</v>
      </c>
      <c r="E52" s="1" t="s">
        <v>251</v>
      </c>
      <c r="G52" s="1" t="s">
        <v>252</v>
      </c>
      <c r="H52" s="4"/>
      <c r="I52" s="1">
        <v>3253.97</v>
      </c>
      <c r="K52" s="1">
        <v>12</v>
      </c>
      <c r="M52" s="1" t="s">
        <v>75</v>
      </c>
      <c r="O52" s="1">
        <v>22104.73</v>
      </c>
      <c r="P52" s="5">
        <v>5701.74</v>
      </c>
      <c r="Q52" s="5">
        <v>800</v>
      </c>
      <c r="R52" s="5">
        <v>0</v>
      </c>
      <c r="S52" s="5">
        <v>0</v>
      </c>
      <c r="T52" s="5">
        <v>5708.45</v>
      </c>
      <c r="U52" s="5">
        <v>1600.25</v>
      </c>
      <c r="V52" s="5">
        <v>1626.98</v>
      </c>
      <c r="W52" s="5">
        <v>456.09</v>
      </c>
      <c r="X52" s="5">
        <v>0</v>
      </c>
      <c r="Y52" s="5">
        <v>0</v>
      </c>
      <c r="Z52" s="5">
        <v>77.150000000000006</v>
      </c>
      <c r="AA52" s="5">
        <v>28.15</v>
      </c>
      <c r="AB52" s="5">
        <v>1571.53</v>
      </c>
      <c r="AC52" s="5">
        <v>112.37</v>
      </c>
      <c r="AD52" s="5">
        <v>38987.440000000002</v>
      </c>
      <c r="AE52" s="5">
        <v>795.5</v>
      </c>
      <c r="AF52" s="5">
        <v>41.498001257071031</v>
      </c>
      <c r="AG52" s="5">
        <v>0.69163335428451722</v>
      </c>
      <c r="AH52" s="5">
        <v>33011.660000000003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4510.99</v>
      </c>
      <c r="AP52" s="5">
        <v>1264.57</v>
      </c>
      <c r="AQ52" s="5">
        <v>0</v>
      </c>
      <c r="AR52" s="5">
        <v>0</v>
      </c>
      <c r="AS52" s="5">
        <v>142.43</v>
      </c>
      <c r="AT52" s="5">
        <v>39.93</v>
      </c>
      <c r="AU52" s="5">
        <v>0</v>
      </c>
      <c r="AV52" s="5">
        <v>17.86</v>
      </c>
      <c r="AW52" s="5">
        <v>0</v>
      </c>
      <c r="AX52" s="5">
        <v>0</v>
      </c>
      <c r="AY52" s="5">
        <v>5975.78</v>
      </c>
      <c r="AZ52" s="5" t="s">
        <v>253</v>
      </c>
    </row>
    <row r="53" spans="1:52" ht="14.85" customHeight="1">
      <c r="A53" s="1" t="s">
        <v>52</v>
      </c>
      <c r="B53" s="1" t="s">
        <v>53</v>
      </c>
      <c r="C53" s="1">
        <v>1860</v>
      </c>
      <c r="D53" s="1" t="s">
        <v>254</v>
      </c>
      <c r="E53" s="1" t="s">
        <v>255</v>
      </c>
      <c r="G53" s="1" t="s">
        <v>256</v>
      </c>
      <c r="H53" s="4"/>
      <c r="I53" s="1">
        <v>9.3845500000000008</v>
      </c>
      <c r="K53" s="1">
        <v>1</v>
      </c>
      <c r="M53" s="1" t="s">
        <v>57</v>
      </c>
      <c r="O53" s="1">
        <v>7271.95</v>
      </c>
      <c r="P53" s="5">
        <v>1309.3600000000001</v>
      </c>
      <c r="Q53" s="5">
        <v>0</v>
      </c>
      <c r="R53" s="5">
        <v>690.67</v>
      </c>
      <c r="S53" s="5">
        <v>0</v>
      </c>
      <c r="T53" s="5">
        <v>3408.56</v>
      </c>
      <c r="U53" s="5">
        <v>0</v>
      </c>
      <c r="V53" s="5">
        <v>774.23</v>
      </c>
      <c r="W53" s="5">
        <v>0</v>
      </c>
      <c r="X53" s="5">
        <v>0</v>
      </c>
      <c r="Y53" s="5">
        <v>0</v>
      </c>
      <c r="Z53" s="5">
        <v>69.28</v>
      </c>
      <c r="AA53" s="5">
        <v>39.83</v>
      </c>
      <c r="AB53" s="5">
        <v>8.34</v>
      </c>
      <c r="AC53" s="5">
        <v>57.35</v>
      </c>
      <c r="AD53" s="5">
        <v>13629.57</v>
      </c>
      <c r="AE53" s="5">
        <v>460.5</v>
      </c>
      <c r="AF53" s="5">
        <v>20.624147665580889</v>
      </c>
      <c r="AG53" s="5">
        <v>0.34373579442634816</v>
      </c>
      <c r="AH53" s="5">
        <v>9497.42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3194.22</v>
      </c>
      <c r="AP53" s="5">
        <v>926.96</v>
      </c>
      <c r="AQ53" s="5">
        <v>0</v>
      </c>
      <c r="AR53" s="5">
        <v>0</v>
      </c>
      <c r="AS53" s="5">
        <v>-16.420000000000002</v>
      </c>
      <c r="AT53" s="5">
        <v>-4.7699999999999996</v>
      </c>
      <c r="AU53" s="5">
        <v>0</v>
      </c>
      <c r="AV53" s="5">
        <v>32.159999999999997</v>
      </c>
      <c r="AW53" s="5">
        <v>0</v>
      </c>
      <c r="AX53" s="5">
        <v>0</v>
      </c>
      <c r="AY53" s="5">
        <v>4132.1499999999996</v>
      </c>
      <c r="AZ53" s="5" t="s">
        <v>257</v>
      </c>
    </row>
    <row r="54" spans="1:52" ht="14.85" customHeight="1">
      <c r="A54" s="1" t="s">
        <v>52</v>
      </c>
      <c r="B54" s="1" t="s">
        <v>53</v>
      </c>
      <c r="C54" s="1">
        <v>2080</v>
      </c>
      <c r="D54" s="1" t="s">
        <v>258</v>
      </c>
      <c r="E54" s="1" t="s">
        <v>259</v>
      </c>
      <c r="G54" s="1" t="s">
        <v>260</v>
      </c>
      <c r="H54" s="4"/>
      <c r="I54" s="1">
        <v>9.2859499999999997</v>
      </c>
      <c r="K54" s="1">
        <v>1</v>
      </c>
      <c r="M54" s="1" t="s">
        <v>57</v>
      </c>
      <c r="O54" s="1">
        <v>9426.09</v>
      </c>
      <c r="P54" s="5">
        <v>2871.16</v>
      </c>
      <c r="Q54" s="5">
        <v>0</v>
      </c>
      <c r="R54" s="5">
        <v>0</v>
      </c>
      <c r="S54" s="5">
        <v>0</v>
      </c>
      <c r="T54" s="5">
        <v>-187.58</v>
      </c>
      <c r="U54" s="5">
        <v>-55.34</v>
      </c>
      <c r="V54" s="5">
        <v>766.09</v>
      </c>
      <c r="W54" s="5">
        <v>226</v>
      </c>
      <c r="X54" s="5">
        <v>13.93</v>
      </c>
      <c r="Y54" s="5">
        <v>4.1100000000000003</v>
      </c>
      <c r="Z54" s="5">
        <v>90.57</v>
      </c>
      <c r="AA54" s="5">
        <v>5.65</v>
      </c>
      <c r="AB54" s="5">
        <v>694.57</v>
      </c>
      <c r="AC54" s="5">
        <v>52.9</v>
      </c>
      <c r="AD54" s="5">
        <v>13908.15</v>
      </c>
      <c r="AE54" s="5">
        <v>577.75</v>
      </c>
      <c r="AF54" s="5">
        <v>20.200882734746862</v>
      </c>
      <c r="AG54" s="5">
        <v>0.3366813789124477</v>
      </c>
      <c r="AH54" s="5">
        <v>11671.06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1655.11</v>
      </c>
      <c r="AP54" s="5">
        <v>488.26</v>
      </c>
      <c r="AQ54" s="5">
        <v>0</v>
      </c>
      <c r="AR54" s="5">
        <v>0</v>
      </c>
      <c r="AS54" s="5">
        <v>58.97</v>
      </c>
      <c r="AT54" s="5">
        <v>17.399999999999999</v>
      </c>
      <c r="AU54" s="5">
        <v>0</v>
      </c>
      <c r="AV54" s="5">
        <v>17.350000000000001</v>
      </c>
      <c r="AW54" s="5">
        <v>0</v>
      </c>
      <c r="AX54" s="5">
        <v>0</v>
      </c>
      <c r="AY54" s="5">
        <v>2237.0899999999997</v>
      </c>
      <c r="AZ54" s="5" t="s">
        <v>261</v>
      </c>
    </row>
    <row r="55" spans="1:52" ht="14.85" customHeight="1">
      <c r="A55" s="1" t="s">
        <v>52</v>
      </c>
      <c r="B55" s="1" t="s">
        <v>53</v>
      </c>
      <c r="C55" s="1">
        <v>2280</v>
      </c>
      <c r="D55" s="1" t="s">
        <v>262</v>
      </c>
      <c r="E55" s="1" t="s">
        <v>263</v>
      </c>
      <c r="G55" s="1" t="s">
        <v>264</v>
      </c>
      <c r="H55" s="4"/>
      <c r="I55" s="1">
        <v>8.3200500000000002</v>
      </c>
      <c r="K55" s="1">
        <v>2</v>
      </c>
      <c r="M55" s="1" t="s">
        <v>57</v>
      </c>
      <c r="O55" s="1">
        <v>194.15</v>
      </c>
      <c r="P55" s="5">
        <v>123.22999999999999</v>
      </c>
      <c r="Q55" s="5">
        <v>0</v>
      </c>
      <c r="R55" s="5">
        <v>0</v>
      </c>
      <c r="S55" s="5">
        <v>0</v>
      </c>
      <c r="T55" s="5">
        <v>1494.7</v>
      </c>
      <c r="U55" s="5">
        <v>440.94</v>
      </c>
      <c r="V55" s="5">
        <v>498.57</v>
      </c>
      <c r="W55" s="5">
        <v>147.08000000000001</v>
      </c>
      <c r="X55" s="5">
        <v>64.48</v>
      </c>
      <c r="Y55" s="5">
        <v>19.02</v>
      </c>
      <c r="Z55" s="5">
        <v>1.85</v>
      </c>
      <c r="AA55" s="5">
        <v>19.59</v>
      </c>
      <c r="AB55" s="5">
        <v>727.74</v>
      </c>
      <c r="AC55" s="5">
        <v>34.43</v>
      </c>
      <c r="AD55" s="5">
        <v>3765.78</v>
      </c>
      <c r="AE55" s="5">
        <v>0</v>
      </c>
      <c r="AF55" s="5">
        <v>0</v>
      </c>
      <c r="AG55" s="5">
        <v>0</v>
      </c>
      <c r="AH55" s="5">
        <v>2808.15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669.89</v>
      </c>
      <c r="AP55" s="5">
        <v>197.62</v>
      </c>
      <c r="AQ55" s="5">
        <v>0</v>
      </c>
      <c r="AR55" s="5">
        <v>0</v>
      </c>
      <c r="AS55" s="5">
        <v>63.85</v>
      </c>
      <c r="AT55" s="5">
        <v>18.84</v>
      </c>
      <c r="AU55" s="5">
        <v>0</v>
      </c>
      <c r="AV55" s="5">
        <v>7.43</v>
      </c>
      <c r="AW55" s="5">
        <v>0</v>
      </c>
      <c r="AX55" s="5">
        <v>0</v>
      </c>
      <c r="AY55" s="5">
        <v>957.63</v>
      </c>
      <c r="AZ55" s="5" t="s">
        <v>265</v>
      </c>
    </row>
    <row r="56" spans="1:52" ht="14.85" customHeight="1">
      <c r="A56" s="1" t="s">
        <v>52</v>
      </c>
      <c r="B56" s="1" t="s">
        <v>53</v>
      </c>
      <c r="C56" s="1">
        <v>2440</v>
      </c>
      <c r="D56" s="1" t="s">
        <v>266</v>
      </c>
      <c r="E56" s="1" t="s">
        <v>267</v>
      </c>
      <c r="G56" s="1" t="s">
        <v>268</v>
      </c>
      <c r="H56" s="4"/>
      <c r="I56" s="1">
        <v>8.7359500000000008</v>
      </c>
      <c r="K56" s="1">
        <v>1</v>
      </c>
      <c r="M56" s="1" t="s">
        <v>57</v>
      </c>
      <c r="O56" s="1">
        <v>8352.4599999999991</v>
      </c>
      <c r="P56" s="5">
        <v>2612.44</v>
      </c>
      <c r="Q56" s="5">
        <v>0</v>
      </c>
      <c r="R56" s="5">
        <v>0</v>
      </c>
      <c r="S56" s="5">
        <v>0</v>
      </c>
      <c r="T56" s="5">
        <v>944.27</v>
      </c>
      <c r="U56" s="5">
        <v>278.56</v>
      </c>
      <c r="V56" s="5">
        <v>720.72</v>
      </c>
      <c r="W56" s="5">
        <v>212.61</v>
      </c>
      <c r="X56" s="5">
        <v>26.21</v>
      </c>
      <c r="Y56" s="5">
        <v>7.73</v>
      </c>
      <c r="Z56" s="5">
        <v>82.22</v>
      </c>
      <c r="AA56" s="5">
        <v>16.11</v>
      </c>
      <c r="AB56" s="5">
        <v>706.43</v>
      </c>
      <c r="AC56" s="5">
        <v>49.77</v>
      </c>
      <c r="AD56" s="5">
        <v>14009.53</v>
      </c>
      <c r="AE56" s="5">
        <v>722.75</v>
      </c>
      <c r="AF56" s="5">
        <v>18.237274299550325</v>
      </c>
      <c r="AG56" s="5">
        <v>0.30395457165917211</v>
      </c>
      <c r="AH56" s="5">
        <v>13180.989999999998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634.84</v>
      </c>
      <c r="AP56" s="5">
        <v>187.28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6.42</v>
      </c>
      <c r="AW56" s="5">
        <v>0</v>
      </c>
      <c r="AX56" s="5">
        <v>0</v>
      </c>
      <c r="AY56" s="5">
        <v>828.54</v>
      </c>
      <c r="AZ56" s="5" t="s">
        <v>269</v>
      </c>
    </row>
    <row r="57" spans="1:52" ht="14.85" customHeight="1">
      <c r="A57" s="1" t="s">
        <v>52</v>
      </c>
      <c r="B57" s="1" t="s">
        <v>53</v>
      </c>
      <c r="C57" s="1">
        <v>2660</v>
      </c>
      <c r="D57" s="1" t="s">
        <v>270</v>
      </c>
      <c r="E57" s="1" t="s">
        <v>271</v>
      </c>
      <c r="G57" s="1" t="s">
        <v>272</v>
      </c>
      <c r="H57" s="4"/>
      <c r="I57" s="1">
        <v>1707.39</v>
      </c>
      <c r="K57" s="1">
        <v>14</v>
      </c>
      <c r="M57" s="1" t="s">
        <v>66</v>
      </c>
      <c r="O57" s="1">
        <v>12027.35</v>
      </c>
      <c r="P57" s="5">
        <v>3781.77</v>
      </c>
      <c r="Q57" s="5">
        <v>0</v>
      </c>
      <c r="R57" s="5">
        <v>0</v>
      </c>
      <c r="S57" s="5">
        <v>0</v>
      </c>
      <c r="T57" s="5">
        <v>1158.54</v>
      </c>
      <c r="U57" s="5">
        <v>324.77</v>
      </c>
      <c r="V57" s="5">
        <v>853.7</v>
      </c>
      <c r="W57" s="5">
        <v>239.32</v>
      </c>
      <c r="X57" s="5">
        <v>33.630000000000003</v>
      </c>
      <c r="Y57" s="5">
        <v>9.43</v>
      </c>
      <c r="Z57" s="5">
        <v>92.9</v>
      </c>
      <c r="AA57" s="5">
        <v>14.34</v>
      </c>
      <c r="AB57" s="5">
        <v>795.9799999999999</v>
      </c>
      <c r="AC57" s="5">
        <v>58.96</v>
      </c>
      <c r="AD57" s="5">
        <v>19390.690000000002</v>
      </c>
      <c r="AE57" s="5">
        <v>915.5</v>
      </c>
      <c r="AF57" s="5">
        <v>20.342031676679412</v>
      </c>
      <c r="AG57" s="5">
        <v>0.33903386127799018</v>
      </c>
      <c r="AH57" s="5">
        <v>18623.13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591.07000000000005</v>
      </c>
      <c r="AP57" s="5">
        <v>165.69</v>
      </c>
      <c r="AQ57" s="5">
        <v>0</v>
      </c>
      <c r="AR57" s="5">
        <v>0</v>
      </c>
      <c r="AS57" s="5">
        <v>5.17</v>
      </c>
      <c r="AT57" s="5">
        <v>1.45</v>
      </c>
      <c r="AU57" s="5">
        <v>0</v>
      </c>
      <c r="AV57" s="5">
        <v>4.18</v>
      </c>
      <c r="AW57" s="5">
        <v>0</v>
      </c>
      <c r="AX57" s="5">
        <v>0</v>
      </c>
      <c r="AY57" s="5">
        <v>767.56</v>
      </c>
      <c r="AZ57" s="5" t="s">
        <v>273</v>
      </c>
    </row>
    <row r="58" spans="1:52" ht="14.85" customHeight="1">
      <c r="A58" s="1" t="s">
        <v>52</v>
      </c>
      <c r="B58" s="1" t="s">
        <v>53</v>
      </c>
      <c r="C58" s="1">
        <v>2710</v>
      </c>
      <c r="D58" s="1" t="s">
        <v>183</v>
      </c>
      <c r="E58" s="1" t="s">
        <v>274</v>
      </c>
      <c r="G58" s="1" t="s">
        <v>272</v>
      </c>
      <c r="H58" s="4"/>
      <c r="I58" s="1">
        <v>1372.81</v>
      </c>
      <c r="K58" s="1">
        <v>12</v>
      </c>
      <c r="M58" s="1" t="s">
        <v>66</v>
      </c>
      <c r="O58" s="1">
        <v>4394.29</v>
      </c>
      <c r="P58" s="5">
        <v>66</v>
      </c>
      <c r="Q58" s="5">
        <v>0</v>
      </c>
      <c r="R58" s="5">
        <v>418.13</v>
      </c>
      <c r="S58" s="5">
        <v>0</v>
      </c>
      <c r="T58" s="5">
        <v>771.19</v>
      </c>
      <c r="U58" s="5">
        <v>0</v>
      </c>
      <c r="V58" s="5">
        <v>451.59</v>
      </c>
      <c r="W58" s="5">
        <v>0</v>
      </c>
      <c r="X58" s="5">
        <v>4.16</v>
      </c>
      <c r="Y58" s="5">
        <v>0</v>
      </c>
      <c r="Z58" s="5">
        <v>16.239999999999998</v>
      </c>
      <c r="AA58" s="5">
        <v>4.71</v>
      </c>
      <c r="AB58" s="5">
        <v>0</v>
      </c>
      <c r="AC58" s="5">
        <v>33.450000000000003</v>
      </c>
      <c r="AD58" s="5">
        <v>6159.76</v>
      </c>
      <c r="AE58" s="5">
        <v>391.25</v>
      </c>
      <c r="AF58" s="5">
        <v>14.917648562300322</v>
      </c>
      <c r="AG58" s="5">
        <v>0.24862747603833871</v>
      </c>
      <c r="AH58" s="5">
        <v>5836.5300000000007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319.91000000000003</v>
      </c>
      <c r="AP58" s="5">
        <v>0</v>
      </c>
      <c r="AQ58" s="5">
        <v>0</v>
      </c>
      <c r="AR58" s="5">
        <v>0</v>
      </c>
      <c r="AS58" s="5">
        <v>2.08</v>
      </c>
      <c r="AT58" s="5">
        <v>0</v>
      </c>
      <c r="AU58" s="5">
        <v>0</v>
      </c>
      <c r="AV58" s="5">
        <v>1.24</v>
      </c>
      <c r="AW58" s="5">
        <v>0</v>
      </c>
      <c r="AX58" s="5">
        <v>0</v>
      </c>
      <c r="AY58" s="5">
        <v>323.23</v>
      </c>
      <c r="AZ58" s="5" t="s">
        <v>275</v>
      </c>
    </row>
    <row r="59" spans="1:52" ht="14.85" customHeight="1">
      <c r="A59" s="1" t="s">
        <v>52</v>
      </c>
      <c r="B59" s="1" t="s">
        <v>53</v>
      </c>
      <c r="C59" s="1">
        <v>2730</v>
      </c>
      <c r="D59" s="1" t="s">
        <v>276</v>
      </c>
      <c r="E59" s="1" t="s">
        <v>277</v>
      </c>
      <c r="G59" s="1" t="s">
        <v>272</v>
      </c>
      <c r="H59" s="4"/>
      <c r="I59" s="1">
        <v>8.3200500000000002</v>
      </c>
      <c r="K59" s="1">
        <v>1</v>
      </c>
      <c r="M59" s="1" t="s">
        <v>57</v>
      </c>
      <c r="O59" s="1">
        <v>6817.03</v>
      </c>
      <c r="P59" s="5">
        <v>66</v>
      </c>
      <c r="Q59" s="5">
        <v>0</v>
      </c>
      <c r="R59" s="5">
        <v>0</v>
      </c>
      <c r="S59" s="5">
        <v>0</v>
      </c>
      <c r="T59" s="5">
        <v>1321.31</v>
      </c>
      <c r="U59" s="5">
        <v>0</v>
      </c>
      <c r="V59" s="5">
        <v>686.4</v>
      </c>
      <c r="W59" s="5">
        <v>0</v>
      </c>
      <c r="X59" s="5">
        <v>14.56</v>
      </c>
      <c r="Y59" s="5">
        <v>0</v>
      </c>
      <c r="Z59" s="5">
        <v>64.900000000000006</v>
      </c>
      <c r="AA59" s="5">
        <v>19.260000000000002</v>
      </c>
      <c r="AB59" s="5">
        <v>729.62</v>
      </c>
      <c r="AC59" s="5">
        <v>50.84</v>
      </c>
      <c r="AD59" s="5">
        <v>9769.92</v>
      </c>
      <c r="AE59" s="5">
        <v>638.75</v>
      </c>
      <c r="AF59" s="5">
        <v>13.088626223091977</v>
      </c>
      <c r="AG59" s="5">
        <v>0.21814377038486626</v>
      </c>
      <c r="AH59" s="5">
        <v>8360.36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1395.44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14.12</v>
      </c>
      <c r="AW59" s="5">
        <v>0</v>
      </c>
      <c r="AX59" s="5">
        <v>0</v>
      </c>
      <c r="AY59" s="5">
        <v>1409.56</v>
      </c>
      <c r="AZ59" s="5" t="s">
        <v>278</v>
      </c>
    </row>
    <row r="60" spans="1:52" ht="14.85" customHeight="1">
      <c r="A60" s="1" t="s">
        <v>52</v>
      </c>
      <c r="B60" s="1" t="s">
        <v>53</v>
      </c>
      <c r="C60" s="1">
        <v>2960</v>
      </c>
      <c r="D60" s="1" t="s">
        <v>279</v>
      </c>
      <c r="E60" s="1" t="s">
        <v>280</v>
      </c>
      <c r="G60" s="1" t="s">
        <v>281</v>
      </c>
      <c r="H60" s="4"/>
      <c r="I60" s="1">
        <v>11.135949999999999</v>
      </c>
      <c r="K60" s="1">
        <v>7</v>
      </c>
      <c r="M60" s="1" t="s">
        <v>57</v>
      </c>
      <c r="O60" s="1">
        <v>8838.26</v>
      </c>
      <c r="P60" s="5">
        <v>2827.23</v>
      </c>
      <c r="Q60" s="5">
        <v>0</v>
      </c>
      <c r="R60" s="5">
        <v>0</v>
      </c>
      <c r="S60" s="5">
        <v>0</v>
      </c>
      <c r="T60" s="5">
        <v>3107.93</v>
      </c>
      <c r="U60" s="5">
        <v>916.84</v>
      </c>
      <c r="V60" s="5">
        <v>918.72</v>
      </c>
      <c r="W60" s="5">
        <v>271.02</v>
      </c>
      <c r="X60" s="5">
        <v>13.92</v>
      </c>
      <c r="Y60" s="5">
        <v>4.1100000000000003</v>
      </c>
      <c r="Z60" s="5">
        <v>89.14</v>
      </c>
      <c r="AA60" s="5">
        <v>38.479999999999997</v>
      </c>
      <c r="AB60" s="5">
        <v>909.71</v>
      </c>
      <c r="AC60" s="5">
        <v>63.45</v>
      </c>
      <c r="AD60" s="5">
        <v>17998.809999999998</v>
      </c>
      <c r="AE60" s="5">
        <v>639.5</v>
      </c>
      <c r="AF60" s="5">
        <v>22.446395621579356</v>
      </c>
      <c r="AG60" s="5">
        <v>0.37410659369298926</v>
      </c>
      <c r="AH60" s="5">
        <v>14354.469999999998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2781.2</v>
      </c>
      <c r="AP60" s="5">
        <v>820.45</v>
      </c>
      <c r="AQ60" s="5">
        <v>0</v>
      </c>
      <c r="AR60" s="5">
        <v>0</v>
      </c>
      <c r="AS60" s="5">
        <v>11.14</v>
      </c>
      <c r="AT60" s="5">
        <v>3.29</v>
      </c>
      <c r="AU60" s="5">
        <v>0</v>
      </c>
      <c r="AV60" s="5">
        <v>28.26</v>
      </c>
      <c r="AW60" s="5">
        <v>0</v>
      </c>
      <c r="AX60" s="5">
        <v>0</v>
      </c>
      <c r="AY60" s="5">
        <v>3644.3399999999997</v>
      </c>
      <c r="AZ60" s="5" t="s">
        <v>282</v>
      </c>
    </row>
    <row r="61" spans="1:52" ht="14.85" customHeight="1">
      <c r="A61" s="1" t="s">
        <v>52</v>
      </c>
      <c r="B61" s="1" t="s">
        <v>53</v>
      </c>
      <c r="C61" s="1">
        <v>3120</v>
      </c>
      <c r="D61" s="1" t="s">
        <v>283</v>
      </c>
      <c r="E61" s="1" t="s">
        <v>284</v>
      </c>
      <c r="G61" s="1" t="s">
        <v>285</v>
      </c>
      <c r="H61" s="4"/>
      <c r="I61" s="1">
        <v>1706.65</v>
      </c>
      <c r="K61" s="1">
        <v>9</v>
      </c>
      <c r="M61" s="1" t="s">
        <v>66</v>
      </c>
      <c r="O61" s="1">
        <v>12108.56</v>
      </c>
      <c r="P61" s="5">
        <v>3248.99</v>
      </c>
      <c r="Q61" s="5">
        <v>0</v>
      </c>
      <c r="R61" s="5">
        <v>0</v>
      </c>
      <c r="S61" s="5">
        <v>0</v>
      </c>
      <c r="T61" s="5">
        <v>2598.7600000000002</v>
      </c>
      <c r="U61" s="5">
        <v>708.94</v>
      </c>
      <c r="V61" s="5">
        <v>853.32</v>
      </c>
      <c r="W61" s="5">
        <v>232.79</v>
      </c>
      <c r="X61" s="5">
        <v>49.13</v>
      </c>
      <c r="Y61" s="5">
        <v>13.4</v>
      </c>
      <c r="Z61" s="5">
        <v>111.14</v>
      </c>
      <c r="AA61" s="5">
        <v>33.35</v>
      </c>
      <c r="AB61" s="5">
        <v>816.07</v>
      </c>
      <c r="AC61" s="5">
        <v>58.93</v>
      </c>
      <c r="AD61" s="5">
        <v>20833.379999999997</v>
      </c>
      <c r="AE61" s="5">
        <v>832.25</v>
      </c>
      <c r="AF61" s="5">
        <v>21.751444878341843</v>
      </c>
      <c r="AG61" s="5">
        <v>0.36252408130569741</v>
      </c>
      <c r="AH61" s="5">
        <v>18102.64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2094.04</v>
      </c>
      <c r="AP61" s="5">
        <v>571.25</v>
      </c>
      <c r="AQ61" s="5">
        <v>0</v>
      </c>
      <c r="AR61" s="5">
        <v>0</v>
      </c>
      <c r="AS61" s="5">
        <v>34.5</v>
      </c>
      <c r="AT61" s="5">
        <v>9.41</v>
      </c>
      <c r="AU61" s="5">
        <v>0</v>
      </c>
      <c r="AV61" s="5">
        <v>21.54</v>
      </c>
      <c r="AW61" s="5">
        <v>0</v>
      </c>
      <c r="AX61" s="5">
        <v>0</v>
      </c>
      <c r="AY61" s="5">
        <v>2730.74</v>
      </c>
      <c r="AZ61" s="5" t="s">
        <v>286</v>
      </c>
    </row>
    <row r="62" spans="1:52" ht="14.85" customHeight="1">
      <c r="A62" s="1" t="s">
        <v>52</v>
      </c>
      <c r="B62" s="1" t="s">
        <v>53</v>
      </c>
      <c r="C62" s="1">
        <v>3240</v>
      </c>
      <c r="D62" s="1" t="s">
        <v>287</v>
      </c>
      <c r="E62" s="1" t="s">
        <v>288</v>
      </c>
      <c r="F62" s="1" t="s">
        <v>91</v>
      </c>
      <c r="G62" s="1" t="s">
        <v>289</v>
      </c>
      <c r="H62" s="4" t="s">
        <v>290</v>
      </c>
      <c r="I62" s="1">
        <v>10.28369</v>
      </c>
      <c r="K62" s="1">
        <v>11</v>
      </c>
      <c r="M62" s="1" t="s">
        <v>57</v>
      </c>
      <c r="O62" s="1">
        <v>408.47</v>
      </c>
      <c r="P62" s="5">
        <v>120.35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3.89</v>
      </c>
      <c r="AA62" s="5">
        <v>0</v>
      </c>
      <c r="AB62" s="5">
        <v>0.62</v>
      </c>
      <c r="AC62" s="5">
        <v>0</v>
      </c>
      <c r="AD62" s="5">
        <v>533.33000000000004</v>
      </c>
      <c r="AE62" s="5">
        <v>0</v>
      </c>
      <c r="AF62" s="5">
        <v>0</v>
      </c>
      <c r="AG62" s="5">
        <v>0</v>
      </c>
      <c r="AH62" s="5">
        <v>6.7199999999999136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398.42</v>
      </c>
      <c r="AP62" s="5">
        <v>117.53</v>
      </c>
      <c r="AQ62" s="5">
        <v>0</v>
      </c>
      <c r="AR62" s="5">
        <v>0</v>
      </c>
      <c r="AS62" s="5">
        <v>5.08</v>
      </c>
      <c r="AT62" s="5">
        <v>1.5</v>
      </c>
      <c r="AU62" s="5">
        <v>0</v>
      </c>
      <c r="AV62" s="5">
        <v>4.08</v>
      </c>
      <c r="AW62" s="5">
        <v>0</v>
      </c>
      <c r="AX62" s="5">
        <v>0</v>
      </c>
      <c r="AY62" s="5">
        <v>526.61000000000013</v>
      </c>
      <c r="AZ62" s="5" t="s">
        <v>291</v>
      </c>
    </row>
    <row r="63" spans="1:52" ht="14.85" customHeight="1">
      <c r="A63" s="1" t="s">
        <v>52</v>
      </c>
      <c r="B63" s="1" t="s">
        <v>53</v>
      </c>
      <c r="C63" s="1">
        <v>3260</v>
      </c>
      <c r="D63" s="1" t="s">
        <v>292</v>
      </c>
      <c r="E63" s="1" t="s">
        <v>293</v>
      </c>
      <c r="G63" s="1" t="s">
        <v>294</v>
      </c>
      <c r="H63" s="4"/>
      <c r="I63" s="1">
        <v>8.3200500000000002</v>
      </c>
      <c r="K63" s="1">
        <v>2</v>
      </c>
      <c r="M63" s="1" t="s">
        <v>57</v>
      </c>
      <c r="O63" s="1">
        <v>6587.76</v>
      </c>
      <c r="P63" s="5">
        <v>66</v>
      </c>
      <c r="Q63" s="5">
        <v>0</v>
      </c>
      <c r="R63" s="5">
        <v>0</v>
      </c>
      <c r="S63" s="5">
        <v>0</v>
      </c>
      <c r="T63" s="5">
        <v>26.37</v>
      </c>
      <c r="U63" s="5">
        <v>0</v>
      </c>
      <c r="V63" s="5">
        <v>541.91999999999996</v>
      </c>
      <c r="W63" s="5">
        <v>0</v>
      </c>
      <c r="X63" s="5">
        <v>18.72</v>
      </c>
      <c r="Y63" s="5">
        <v>0</v>
      </c>
      <c r="Z63" s="5">
        <v>66.91</v>
      </c>
      <c r="AA63" s="5">
        <v>5.6</v>
      </c>
      <c r="AB63" s="5">
        <v>504.26</v>
      </c>
      <c r="AC63" s="5">
        <v>40.14</v>
      </c>
      <c r="AD63" s="5">
        <v>7857.6800000000012</v>
      </c>
      <c r="AE63" s="5">
        <v>608.5</v>
      </c>
      <c r="AF63" s="5">
        <v>13.141857025472476</v>
      </c>
      <c r="AG63" s="5">
        <v>0.21903095042454127</v>
      </c>
      <c r="AH63" s="5">
        <v>7996.8200000000015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-139.81</v>
      </c>
      <c r="AP63" s="5">
        <v>0</v>
      </c>
      <c r="AQ63" s="5">
        <v>0</v>
      </c>
      <c r="AR63" s="5">
        <v>0</v>
      </c>
      <c r="AS63" s="5">
        <v>2.06</v>
      </c>
      <c r="AT63" s="5">
        <v>0</v>
      </c>
      <c r="AU63" s="5">
        <v>0</v>
      </c>
      <c r="AV63" s="5">
        <v>-1.39</v>
      </c>
      <c r="AW63" s="5">
        <v>0</v>
      </c>
      <c r="AX63" s="5">
        <v>0</v>
      </c>
      <c r="AY63" s="5">
        <v>-139.13999999999999</v>
      </c>
      <c r="AZ63" s="5" t="s">
        <v>295</v>
      </c>
    </row>
    <row r="64" spans="1:52" ht="14.85" customHeight="1">
      <c r="A64" s="1" t="s">
        <v>52</v>
      </c>
      <c r="B64" s="1" t="s">
        <v>53</v>
      </c>
      <c r="C64" s="1">
        <v>3320</v>
      </c>
      <c r="D64" s="1" t="s">
        <v>296</v>
      </c>
      <c r="E64" s="1" t="s">
        <v>297</v>
      </c>
      <c r="G64" s="1" t="s">
        <v>298</v>
      </c>
      <c r="H64" s="4"/>
      <c r="I64" s="1">
        <v>8.2386599999999994</v>
      </c>
      <c r="K64" s="1">
        <v>1</v>
      </c>
      <c r="M64" s="1" t="s">
        <v>57</v>
      </c>
      <c r="O64" s="1">
        <v>8059.47</v>
      </c>
      <c r="P64" s="5">
        <v>2702.13</v>
      </c>
      <c r="Q64" s="5">
        <v>0</v>
      </c>
      <c r="R64" s="5">
        <v>0</v>
      </c>
      <c r="S64" s="5">
        <v>0</v>
      </c>
      <c r="T64" s="5">
        <v>-87.25</v>
      </c>
      <c r="U64" s="5">
        <v>-25.74</v>
      </c>
      <c r="V64" s="5">
        <v>679.69</v>
      </c>
      <c r="W64" s="5">
        <v>200.51</v>
      </c>
      <c r="X64" s="5">
        <v>0</v>
      </c>
      <c r="Y64" s="5">
        <v>0</v>
      </c>
      <c r="Z64" s="5">
        <v>85.1</v>
      </c>
      <c r="AA64" s="5">
        <v>5.65</v>
      </c>
      <c r="AB64" s="5">
        <v>639.57999999999993</v>
      </c>
      <c r="AC64" s="5">
        <v>46.94</v>
      </c>
      <c r="AD64" s="5">
        <v>12306.080000000002</v>
      </c>
      <c r="AE64" s="5">
        <v>775.5</v>
      </c>
      <c r="AF64" s="5">
        <v>16.096376531270149</v>
      </c>
      <c r="AG64" s="5">
        <v>0.26827294218783582</v>
      </c>
      <c r="AH64" s="5">
        <v>12482.740000000002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-135.36000000000001</v>
      </c>
      <c r="AP64" s="5">
        <v>-39.93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-1.37</v>
      </c>
      <c r="AW64" s="5">
        <v>0</v>
      </c>
      <c r="AX64" s="5">
        <v>0</v>
      </c>
      <c r="AY64" s="5">
        <v>-176.66000000000003</v>
      </c>
      <c r="AZ64" s="5" t="s">
        <v>299</v>
      </c>
    </row>
    <row r="65" spans="1:52" ht="14.85" customHeight="1">
      <c r="A65" s="1" t="s">
        <v>52</v>
      </c>
      <c r="B65" s="1" t="s">
        <v>53</v>
      </c>
      <c r="C65" s="1">
        <v>3450</v>
      </c>
      <c r="D65" s="1" t="s">
        <v>276</v>
      </c>
      <c r="E65" s="1" t="s">
        <v>300</v>
      </c>
      <c r="G65" s="1" t="s">
        <v>301</v>
      </c>
      <c r="H65" s="4"/>
      <c r="I65" s="1">
        <v>9.9584299999999999</v>
      </c>
      <c r="K65" s="1">
        <v>8</v>
      </c>
      <c r="M65" s="1" t="s">
        <v>57</v>
      </c>
      <c r="O65" s="1">
        <v>8011.41</v>
      </c>
      <c r="P65" s="5">
        <v>66</v>
      </c>
      <c r="Q65" s="5">
        <v>0</v>
      </c>
      <c r="R65" s="5">
        <v>0</v>
      </c>
      <c r="S65" s="5">
        <v>0</v>
      </c>
      <c r="T65" s="5">
        <v>2524.46</v>
      </c>
      <c r="U65" s="5">
        <v>0</v>
      </c>
      <c r="V65" s="5">
        <v>821.57</v>
      </c>
      <c r="W65" s="5">
        <v>0</v>
      </c>
      <c r="X65" s="5">
        <v>27.39</v>
      </c>
      <c r="Y65" s="5">
        <v>0</v>
      </c>
      <c r="Z65" s="5">
        <v>76.28</v>
      </c>
      <c r="AA65" s="5">
        <v>32.130000000000003</v>
      </c>
      <c r="AB65" s="5">
        <v>822.16</v>
      </c>
      <c r="AC65" s="5">
        <v>60.85</v>
      </c>
      <c r="AD65" s="5">
        <v>12442.249999999998</v>
      </c>
      <c r="AE65" s="5">
        <v>619.25</v>
      </c>
      <c r="AF65" s="5">
        <v>16.070763019781992</v>
      </c>
      <c r="AG65" s="5">
        <v>0.26784605032969988</v>
      </c>
      <c r="AH65" s="5">
        <v>9951.8199999999979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2463.02</v>
      </c>
      <c r="AP65" s="5">
        <v>0</v>
      </c>
      <c r="AQ65" s="5">
        <v>0</v>
      </c>
      <c r="AR65" s="5">
        <v>0</v>
      </c>
      <c r="AS65" s="5">
        <v>2.46</v>
      </c>
      <c r="AT65" s="5">
        <v>0</v>
      </c>
      <c r="AU65" s="5">
        <v>0</v>
      </c>
      <c r="AV65" s="5">
        <v>24.95</v>
      </c>
      <c r="AW65" s="5">
        <v>0</v>
      </c>
      <c r="AX65" s="5">
        <v>0</v>
      </c>
      <c r="AY65" s="5">
        <v>2490.4299999999998</v>
      </c>
      <c r="AZ65" s="5" t="s">
        <v>302</v>
      </c>
    </row>
    <row r="66" spans="1:52" ht="14.85" customHeight="1">
      <c r="A66" s="1" t="s">
        <v>52</v>
      </c>
      <c r="B66" s="1" t="s">
        <v>53</v>
      </c>
      <c r="C66" s="1">
        <v>3480</v>
      </c>
      <c r="D66" s="1" t="s">
        <v>303</v>
      </c>
      <c r="E66" s="1" t="s">
        <v>304</v>
      </c>
      <c r="G66" s="1" t="s">
        <v>305</v>
      </c>
      <c r="H66" s="4"/>
      <c r="I66" s="1">
        <v>8.3200500000000002</v>
      </c>
      <c r="K66" s="1">
        <v>1</v>
      </c>
      <c r="M66" s="1" t="s">
        <v>57</v>
      </c>
      <c r="O66" s="1">
        <v>8272.2900000000009</v>
      </c>
      <c r="P66" s="5">
        <v>2680.32</v>
      </c>
      <c r="Q66" s="5">
        <v>0</v>
      </c>
      <c r="R66" s="5">
        <v>0</v>
      </c>
      <c r="S66" s="5">
        <v>0</v>
      </c>
      <c r="T66" s="5">
        <v>-122.97</v>
      </c>
      <c r="U66" s="5">
        <v>-36.28</v>
      </c>
      <c r="V66" s="5">
        <v>686.4</v>
      </c>
      <c r="W66" s="5">
        <v>202.49</v>
      </c>
      <c r="X66" s="5">
        <v>4.16</v>
      </c>
      <c r="Y66" s="5">
        <v>1.23</v>
      </c>
      <c r="Z66" s="5">
        <v>84.41</v>
      </c>
      <c r="AA66" s="5">
        <v>5.4</v>
      </c>
      <c r="AB66" s="5">
        <v>645.44000000000005</v>
      </c>
      <c r="AC66" s="5">
        <v>47.4</v>
      </c>
      <c r="AD66" s="5">
        <v>12470.29</v>
      </c>
      <c r="AE66" s="5">
        <v>727.5</v>
      </c>
      <c r="AF66" s="5">
        <v>17.579079037800685</v>
      </c>
      <c r="AG66" s="5">
        <v>0.29298465063001145</v>
      </c>
      <c r="AH66" s="5">
        <v>12788.78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-237.85</v>
      </c>
      <c r="AP66" s="5">
        <v>-70.17</v>
      </c>
      <c r="AQ66" s="5">
        <v>0</v>
      </c>
      <c r="AR66" s="5">
        <v>0</v>
      </c>
      <c r="AS66" s="5">
        <v>-6.18</v>
      </c>
      <c r="AT66" s="5">
        <v>-1.82</v>
      </c>
      <c r="AU66" s="5">
        <v>0</v>
      </c>
      <c r="AV66" s="5">
        <v>-2.4700000000000002</v>
      </c>
      <c r="AW66" s="5">
        <v>0</v>
      </c>
      <c r="AX66" s="5">
        <v>0</v>
      </c>
      <c r="AY66" s="5">
        <v>-318.49</v>
      </c>
      <c r="AZ66" s="5" t="s">
        <v>306</v>
      </c>
    </row>
    <row r="67" spans="1:52" ht="14.85" customHeight="1">
      <c r="A67" s="1" t="s">
        <v>52</v>
      </c>
      <c r="B67" s="1" t="s">
        <v>53</v>
      </c>
      <c r="C67" s="1">
        <v>3550</v>
      </c>
      <c r="D67" s="1" t="s">
        <v>307</v>
      </c>
      <c r="E67" s="1" t="s">
        <v>308</v>
      </c>
      <c r="G67" s="1" t="s">
        <v>309</v>
      </c>
      <c r="H67" s="4"/>
      <c r="I67" s="1">
        <v>8.63734</v>
      </c>
      <c r="K67" s="1">
        <v>2</v>
      </c>
      <c r="M67" s="1" t="s">
        <v>57</v>
      </c>
      <c r="O67" s="1">
        <v>8710.65</v>
      </c>
      <c r="P67" s="5">
        <v>2743.42</v>
      </c>
      <c r="Q67" s="5">
        <v>0</v>
      </c>
      <c r="R67" s="5">
        <v>0</v>
      </c>
      <c r="S67" s="5">
        <v>0</v>
      </c>
      <c r="T67" s="5">
        <v>26.52</v>
      </c>
      <c r="U67" s="5">
        <v>7.82</v>
      </c>
      <c r="V67" s="5">
        <v>712.58</v>
      </c>
      <c r="W67" s="5">
        <v>210.21</v>
      </c>
      <c r="X67" s="5">
        <v>47.51</v>
      </c>
      <c r="Y67" s="5">
        <v>14.02</v>
      </c>
      <c r="Z67" s="5">
        <v>86.43</v>
      </c>
      <c r="AA67" s="5">
        <v>7.49</v>
      </c>
      <c r="AB67" s="5">
        <v>631.46</v>
      </c>
      <c r="AC67" s="5">
        <v>49.21</v>
      </c>
      <c r="AD67" s="5">
        <v>13247.32</v>
      </c>
      <c r="AE67" s="5">
        <v>791.25</v>
      </c>
      <c r="AF67" s="5">
        <v>17.43431279620853</v>
      </c>
      <c r="AG67" s="5">
        <v>0.29057187993680883</v>
      </c>
      <c r="AH67" s="5">
        <v>13794.9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-422.84</v>
      </c>
      <c r="AP67" s="5">
        <v>-124.74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-547.57999999999993</v>
      </c>
      <c r="AZ67" s="5" t="s">
        <v>310</v>
      </c>
    </row>
    <row r="68" spans="1:52" ht="14.85" customHeight="1">
      <c r="A68" s="1" t="s">
        <v>52</v>
      </c>
      <c r="B68" s="1" t="s">
        <v>53</v>
      </c>
      <c r="C68" s="1">
        <v>3590</v>
      </c>
      <c r="D68" s="1" t="s">
        <v>311</v>
      </c>
      <c r="E68" s="1" t="s">
        <v>312</v>
      </c>
      <c r="G68" s="1" t="s">
        <v>313</v>
      </c>
      <c r="H68" s="4"/>
      <c r="I68" s="1">
        <v>1626.65</v>
      </c>
      <c r="K68" s="1">
        <v>14</v>
      </c>
      <c r="M68" s="1" t="s">
        <v>66</v>
      </c>
      <c r="O68" s="1">
        <v>10952.23</v>
      </c>
      <c r="P68" s="5">
        <v>247.59</v>
      </c>
      <c r="Q68" s="5">
        <v>500</v>
      </c>
      <c r="R68" s="5">
        <v>0</v>
      </c>
      <c r="S68" s="5">
        <v>0</v>
      </c>
      <c r="T68" s="5">
        <v>2949.56</v>
      </c>
      <c r="U68" s="5">
        <v>826.85</v>
      </c>
      <c r="V68" s="5">
        <v>813.32</v>
      </c>
      <c r="W68" s="5">
        <v>228</v>
      </c>
      <c r="X68" s="5">
        <v>172.52</v>
      </c>
      <c r="Y68" s="5">
        <v>48.36</v>
      </c>
      <c r="Z68" s="5">
        <v>39.94</v>
      </c>
      <c r="AA68" s="5">
        <v>15.1</v>
      </c>
      <c r="AB68" s="5">
        <v>769.31</v>
      </c>
      <c r="AC68" s="5">
        <v>56.17</v>
      </c>
      <c r="AD68" s="5">
        <v>17118.95</v>
      </c>
      <c r="AE68" s="5">
        <v>865.25</v>
      </c>
      <c r="AF68" s="5">
        <v>16.106859289222768</v>
      </c>
      <c r="AG68" s="5">
        <v>0.26844765482037947</v>
      </c>
      <c r="AH68" s="5">
        <v>13936.46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2478.25</v>
      </c>
      <c r="AP68" s="5">
        <v>694.73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9.51</v>
      </c>
      <c r="AW68" s="5">
        <v>0</v>
      </c>
      <c r="AX68" s="5">
        <v>0</v>
      </c>
      <c r="AY68" s="5">
        <v>3182.49</v>
      </c>
      <c r="AZ68" s="5" t="s">
        <v>314</v>
      </c>
    </row>
    <row r="69" spans="1:52" ht="14.85" customHeight="1">
      <c r="A69" s="1" t="s">
        <v>52</v>
      </c>
      <c r="B69" s="1" t="s">
        <v>53</v>
      </c>
      <c r="C69" s="1">
        <v>3660</v>
      </c>
      <c r="D69" s="1" t="s">
        <v>315</v>
      </c>
      <c r="E69" s="1" t="s">
        <v>316</v>
      </c>
      <c r="G69" s="1" t="s">
        <v>317</v>
      </c>
      <c r="H69" s="4"/>
      <c r="I69" s="1">
        <v>1811.58</v>
      </c>
      <c r="K69" s="1">
        <v>9</v>
      </c>
      <c r="M69" s="1" t="s">
        <v>66</v>
      </c>
      <c r="O69" s="1">
        <v>12824.89</v>
      </c>
      <c r="P69" s="5">
        <v>1968.38</v>
      </c>
      <c r="Q69" s="5">
        <v>300</v>
      </c>
      <c r="R69" s="5">
        <v>0</v>
      </c>
      <c r="S69" s="5">
        <v>0</v>
      </c>
      <c r="T69" s="5">
        <v>2178.4</v>
      </c>
      <c r="U69" s="5">
        <v>594.27</v>
      </c>
      <c r="V69" s="5">
        <v>905.79</v>
      </c>
      <c r="W69" s="5">
        <v>247.1</v>
      </c>
      <c r="X69" s="5">
        <v>5.49</v>
      </c>
      <c r="Y69" s="5">
        <v>1.5</v>
      </c>
      <c r="Z69" s="5">
        <v>117.39</v>
      </c>
      <c r="AA69" s="5">
        <v>29.43</v>
      </c>
      <c r="AB69" s="5">
        <v>846.87</v>
      </c>
      <c r="AC69" s="5">
        <v>62.56</v>
      </c>
      <c r="AD69" s="5">
        <v>19782.070000000003</v>
      </c>
      <c r="AE69" s="5">
        <v>845</v>
      </c>
      <c r="AF69" s="5">
        <v>21.466390532544381</v>
      </c>
      <c r="AG69" s="5">
        <v>0.35777317554240634</v>
      </c>
      <c r="AH69" s="5">
        <v>18139.100000000002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1290.83</v>
      </c>
      <c r="AP69" s="5">
        <v>352.14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1642.9699999999998</v>
      </c>
      <c r="AZ69" s="5" t="s">
        <v>318</v>
      </c>
    </row>
    <row r="70" spans="1:52" ht="14.85" customHeight="1">
      <c r="A70" s="1" t="s">
        <v>52</v>
      </c>
      <c r="B70" s="1" t="s">
        <v>53</v>
      </c>
      <c r="C70" s="1">
        <v>3960</v>
      </c>
      <c r="D70" s="1" t="s">
        <v>319</v>
      </c>
      <c r="E70" s="1" t="s">
        <v>320</v>
      </c>
      <c r="G70" s="1" t="s">
        <v>321</v>
      </c>
      <c r="H70" s="4"/>
      <c r="I70" s="1">
        <v>8.2386599999999994</v>
      </c>
      <c r="K70" s="1">
        <v>2</v>
      </c>
      <c r="M70" s="1" t="s">
        <v>57</v>
      </c>
      <c r="O70" s="1">
        <v>8393.51</v>
      </c>
      <c r="P70" s="5">
        <v>1428.57</v>
      </c>
      <c r="Q70" s="5">
        <v>0</v>
      </c>
      <c r="R70" s="5">
        <v>0</v>
      </c>
      <c r="S70" s="5">
        <v>0</v>
      </c>
      <c r="T70" s="5">
        <v>587.09</v>
      </c>
      <c r="U70" s="5">
        <v>173.19</v>
      </c>
      <c r="V70" s="5">
        <v>679.69</v>
      </c>
      <c r="W70" s="5">
        <v>200.51</v>
      </c>
      <c r="X70" s="5">
        <v>41.19</v>
      </c>
      <c r="Y70" s="5">
        <v>12.15</v>
      </c>
      <c r="Z70" s="5">
        <v>85.66</v>
      </c>
      <c r="AA70" s="5">
        <v>12.45</v>
      </c>
      <c r="AB70" s="5">
        <v>588.34</v>
      </c>
      <c r="AC70" s="5">
        <v>46.94</v>
      </c>
      <c r="AD70" s="5">
        <v>12249.290000000003</v>
      </c>
      <c r="AE70" s="5">
        <v>736.25</v>
      </c>
      <c r="AF70" s="5">
        <v>15.112407470288627</v>
      </c>
      <c r="AG70" s="5">
        <v>0.2518734578381438</v>
      </c>
      <c r="AH70" s="5">
        <v>11126.510000000002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847.92</v>
      </c>
      <c r="AP70" s="5">
        <v>250.14</v>
      </c>
      <c r="AQ70" s="5">
        <v>0</v>
      </c>
      <c r="AR70" s="5">
        <v>0</v>
      </c>
      <c r="AS70" s="5">
        <v>12.36</v>
      </c>
      <c r="AT70" s="5">
        <v>3.65</v>
      </c>
      <c r="AU70" s="5">
        <v>0</v>
      </c>
      <c r="AV70" s="5">
        <v>8.7100000000000009</v>
      </c>
      <c r="AW70" s="5">
        <v>0</v>
      </c>
      <c r="AX70" s="5">
        <v>0</v>
      </c>
      <c r="AY70" s="5">
        <v>1122.78</v>
      </c>
      <c r="AZ70" s="5" t="s">
        <v>322</v>
      </c>
    </row>
    <row r="71" spans="1:52" ht="14.85" customHeight="1">
      <c r="A71" s="1" t="s">
        <v>52</v>
      </c>
      <c r="B71" s="1" t="s">
        <v>53</v>
      </c>
      <c r="C71" s="1">
        <v>3970</v>
      </c>
      <c r="D71" s="1" t="s">
        <v>323</v>
      </c>
      <c r="E71" s="1" t="s">
        <v>324</v>
      </c>
      <c r="G71" s="1" t="s">
        <v>321</v>
      </c>
      <c r="H71" s="4"/>
      <c r="I71" s="1">
        <v>8.6373300000000004</v>
      </c>
      <c r="K71" s="1">
        <v>2</v>
      </c>
      <c r="M71" s="1" t="s">
        <v>57</v>
      </c>
      <c r="O71" s="1">
        <v>8242.6200000000008</v>
      </c>
      <c r="P71" s="5">
        <v>2615.42</v>
      </c>
      <c r="Q71" s="5">
        <v>0</v>
      </c>
      <c r="R71" s="5">
        <v>0</v>
      </c>
      <c r="S71" s="5">
        <v>0</v>
      </c>
      <c r="T71" s="5">
        <v>-451.21</v>
      </c>
      <c r="U71" s="5">
        <v>-133.11000000000001</v>
      </c>
      <c r="V71" s="5">
        <v>712.58</v>
      </c>
      <c r="W71" s="5">
        <v>210.21</v>
      </c>
      <c r="X71" s="5">
        <v>6.48</v>
      </c>
      <c r="Y71" s="5">
        <v>1.91</v>
      </c>
      <c r="Z71" s="5">
        <v>82.32</v>
      </c>
      <c r="AA71" s="5">
        <v>2.56</v>
      </c>
      <c r="AB71" s="5">
        <v>644.37</v>
      </c>
      <c r="AC71" s="5">
        <v>49.21</v>
      </c>
      <c r="AD71" s="5">
        <v>11983.359999999999</v>
      </c>
      <c r="AE71" s="5">
        <v>683.5</v>
      </c>
      <c r="AF71" s="5">
        <v>17.777454279444036</v>
      </c>
      <c r="AG71" s="5">
        <v>0.2962909046574006</v>
      </c>
      <c r="AH71" s="5">
        <v>12150.89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-128.36000000000001</v>
      </c>
      <c r="AP71" s="5">
        <v>-37.869999999999997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-1.3</v>
      </c>
      <c r="AW71" s="5">
        <v>0</v>
      </c>
      <c r="AX71" s="5">
        <v>0</v>
      </c>
      <c r="AY71" s="5">
        <v>-167.53000000000003</v>
      </c>
      <c r="AZ71" s="5" t="s">
        <v>325</v>
      </c>
    </row>
    <row r="72" spans="1:52" ht="14.85" customHeight="1">
      <c r="A72" s="1" t="s">
        <v>52</v>
      </c>
      <c r="B72" s="1" t="s">
        <v>53</v>
      </c>
      <c r="C72" s="1">
        <v>3980</v>
      </c>
      <c r="D72" s="1" t="s">
        <v>326</v>
      </c>
      <c r="E72" s="1" t="s">
        <v>327</v>
      </c>
      <c r="G72" s="1" t="s">
        <v>321</v>
      </c>
      <c r="H72" s="4"/>
      <c r="I72" s="1">
        <v>8.2386599999999994</v>
      </c>
      <c r="K72" s="1">
        <v>1</v>
      </c>
      <c r="M72" s="1" t="s">
        <v>57</v>
      </c>
      <c r="O72" s="1">
        <v>8417.86</v>
      </c>
      <c r="P72" s="5">
        <v>1445.83</v>
      </c>
      <c r="Q72" s="5">
        <v>0</v>
      </c>
      <c r="R72" s="5">
        <v>0</v>
      </c>
      <c r="S72" s="5">
        <v>0</v>
      </c>
      <c r="T72" s="5">
        <v>1736.38</v>
      </c>
      <c r="U72" s="5">
        <v>512.23</v>
      </c>
      <c r="V72" s="5">
        <v>679.69</v>
      </c>
      <c r="W72" s="5">
        <v>200.51</v>
      </c>
      <c r="X72" s="5">
        <v>43.25</v>
      </c>
      <c r="Y72" s="5">
        <v>12.76</v>
      </c>
      <c r="Z72" s="5">
        <v>86.74</v>
      </c>
      <c r="AA72" s="5">
        <v>23.42</v>
      </c>
      <c r="AB72" s="5">
        <v>588.24</v>
      </c>
      <c r="AC72" s="5">
        <v>46.94</v>
      </c>
      <c r="AD72" s="5">
        <v>13793.85</v>
      </c>
      <c r="AE72" s="5">
        <v>880.5</v>
      </c>
      <c r="AF72" s="5">
        <v>13.734400908574672</v>
      </c>
      <c r="AG72" s="5">
        <v>0.22890668180957788</v>
      </c>
      <c r="AH72" s="5">
        <v>12093.14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1296.93</v>
      </c>
      <c r="AP72" s="5">
        <v>382.59</v>
      </c>
      <c r="AQ72" s="5">
        <v>0</v>
      </c>
      <c r="AR72" s="5">
        <v>0</v>
      </c>
      <c r="AS72" s="5">
        <v>6.18</v>
      </c>
      <c r="AT72" s="5">
        <v>1.82</v>
      </c>
      <c r="AU72" s="5">
        <v>0</v>
      </c>
      <c r="AV72" s="5">
        <v>13.19</v>
      </c>
      <c r="AW72" s="5">
        <v>0</v>
      </c>
      <c r="AX72" s="5">
        <v>0</v>
      </c>
      <c r="AY72" s="5">
        <v>1700.71</v>
      </c>
      <c r="AZ72" s="5" t="s">
        <v>328</v>
      </c>
    </row>
    <row r="73" spans="1:52" ht="14.85" customHeight="1">
      <c r="A73" s="1" t="s">
        <v>52</v>
      </c>
      <c r="B73" s="1" t="s">
        <v>53</v>
      </c>
      <c r="C73" s="1">
        <v>4050</v>
      </c>
      <c r="D73" s="1" t="s">
        <v>329</v>
      </c>
      <c r="E73" s="1" t="s">
        <v>330</v>
      </c>
      <c r="G73" s="1" t="s">
        <v>331</v>
      </c>
      <c r="H73" s="4"/>
      <c r="I73" s="1">
        <v>8.2386599999999994</v>
      </c>
      <c r="K73" s="1">
        <v>2</v>
      </c>
      <c r="M73" s="1" t="s">
        <v>57</v>
      </c>
      <c r="O73" s="1">
        <v>7720.52</v>
      </c>
      <c r="P73" s="5">
        <v>66</v>
      </c>
      <c r="Q73" s="5">
        <v>0</v>
      </c>
      <c r="R73" s="5">
        <v>0</v>
      </c>
      <c r="S73" s="5">
        <v>0</v>
      </c>
      <c r="T73" s="5">
        <v>1991.28</v>
      </c>
      <c r="U73" s="5">
        <v>0</v>
      </c>
      <c r="V73" s="5">
        <v>617.09</v>
      </c>
      <c r="W73" s="5">
        <v>0</v>
      </c>
      <c r="X73" s="5">
        <v>74.150000000000006</v>
      </c>
      <c r="Y73" s="5">
        <v>0</v>
      </c>
      <c r="Z73" s="5">
        <v>78.739999999999995</v>
      </c>
      <c r="AA73" s="5">
        <v>25.55</v>
      </c>
      <c r="AB73" s="5">
        <v>615.0100000000001</v>
      </c>
      <c r="AC73" s="5">
        <v>45.71</v>
      </c>
      <c r="AD73" s="5">
        <v>11234.05</v>
      </c>
      <c r="AE73" s="5">
        <v>814</v>
      </c>
      <c r="AF73" s="5">
        <v>11.859373464373462</v>
      </c>
      <c r="AG73" s="5">
        <v>0.19765622440622438</v>
      </c>
      <c r="AH73" s="5">
        <v>9653.5299999999988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1535.85</v>
      </c>
      <c r="AP73" s="5">
        <v>0</v>
      </c>
      <c r="AQ73" s="5">
        <v>0</v>
      </c>
      <c r="AR73" s="5">
        <v>0</v>
      </c>
      <c r="AS73" s="5">
        <v>28.84</v>
      </c>
      <c r="AT73" s="5">
        <v>0</v>
      </c>
      <c r="AU73" s="5">
        <v>0</v>
      </c>
      <c r="AV73" s="5">
        <v>15.83</v>
      </c>
      <c r="AW73" s="5">
        <v>0</v>
      </c>
      <c r="AX73" s="5">
        <v>0</v>
      </c>
      <c r="AY73" s="5">
        <v>1580.5199999999998</v>
      </c>
      <c r="AZ73" s="5" t="s">
        <v>332</v>
      </c>
    </row>
    <row r="74" spans="1:52" ht="14.85" customHeight="1">
      <c r="A74" s="1" t="s">
        <v>52</v>
      </c>
      <c r="B74" s="1" t="s">
        <v>53</v>
      </c>
      <c r="C74" s="1">
        <v>4060</v>
      </c>
      <c r="D74" s="1" t="s">
        <v>333</v>
      </c>
      <c r="E74" s="1" t="s">
        <v>334</v>
      </c>
      <c r="G74" s="1" t="s">
        <v>335</v>
      </c>
      <c r="H74" s="4"/>
      <c r="I74" s="1">
        <v>9.1873400000000007</v>
      </c>
      <c r="K74" s="1">
        <v>2</v>
      </c>
      <c r="M74" s="1" t="s">
        <v>57</v>
      </c>
      <c r="O74" s="1">
        <v>5235.62</v>
      </c>
      <c r="P74" s="5">
        <v>66</v>
      </c>
      <c r="Q74" s="5">
        <v>0</v>
      </c>
      <c r="R74" s="5">
        <v>0</v>
      </c>
      <c r="S74" s="5">
        <v>0</v>
      </c>
      <c r="T74" s="5">
        <v>1631.4</v>
      </c>
      <c r="U74" s="5">
        <v>0</v>
      </c>
      <c r="V74" s="5">
        <v>418.85</v>
      </c>
      <c r="W74" s="5">
        <v>0</v>
      </c>
      <c r="X74" s="5">
        <v>280.20999999999998</v>
      </c>
      <c r="Y74" s="5">
        <v>0</v>
      </c>
      <c r="Z74" s="5">
        <v>52.53</v>
      </c>
      <c r="AA74" s="5">
        <v>22.2</v>
      </c>
      <c r="AB74" s="5">
        <v>426.79</v>
      </c>
      <c r="AC74" s="5">
        <v>31.02</v>
      </c>
      <c r="AD74" s="5">
        <v>8164.6200000000008</v>
      </c>
      <c r="AE74" s="5">
        <v>440.75</v>
      </c>
      <c r="AF74" s="5">
        <v>16.060669313669884</v>
      </c>
      <c r="AG74" s="5">
        <v>0.26767782189449807</v>
      </c>
      <c r="AH74" s="5">
        <v>7078.7400000000007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1072.8399999999999</v>
      </c>
      <c r="AP74" s="5">
        <v>0</v>
      </c>
      <c r="AQ74" s="5">
        <v>0</v>
      </c>
      <c r="AR74" s="5">
        <v>0</v>
      </c>
      <c r="AS74" s="5">
        <v>2.16</v>
      </c>
      <c r="AT74" s="5">
        <v>0</v>
      </c>
      <c r="AU74" s="5">
        <v>0</v>
      </c>
      <c r="AV74" s="5">
        <v>10.88</v>
      </c>
      <c r="AW74" s="5">
        <v>0</v>
      </c>
      <c r="AX74" s="5">
        <v>0</v>
      </c>
      <c r="AY74" s="5">
        <v>1085.8800000000001</v>
      </c>
      <c r="AZ74" s="5" t="s">
        <v>336</v>
      </c>
    </row>
    <row r="75" spans="1:52" ht="14.85" customHeight="1">
      <c r="A75" s="1" t="s">
        <v>52</v>
      </c>
      <c r="B75" s="1" t="s">
        <v>53</v>
      </c>
      <c r="C75" s="1">
        <v>4120</v>
      </c>
      <c r="D75" s="1" t="s">
        <v>337</v>
      </c>
      <c r="E75" s="1" t="s">
        <v>338</v>
      </c>
      <c r="G75" s="1" t="s">
        <v>339</v>
      </c>
      <c r="H75" s="4"/>
      <c r="I75" s="1">
        <v>1866.65</v>
      </c>
      <c r="K75" s="1">
        <v>13</v>
      </c>
      <c r="M75" s="1" t="s">
        <v>66</v>
      </c>
      <c r="O75" s="1">
        <v>11142.48</v>
      </c>
      <c r="P75" s="5">
        <v>3189.42</v>
      </c>
      <c r="Q75" s="5">
        <v>0</v>
      </c>
      <c r="R75" s="5">
        <v>0</v>
      </c>
      <c r="S75" s="5">
        <v>0</v>
      </c>
      <c r="T75" s="5">
        <v>2023.9</v>
      </c>
      <c r="U75" s="5">
        <v>567.36</v>
      </c>
      <c r="V75" s="5">
        <v>933.32</v>
      </c>
      <c r="W75" s="5">
        <v>261.64</v>
      </c>
      <c r="X75" s="5">
        <v>161.21</v>
      </c>
      <c r="Y75" s="5">
        <v>45.19</v>
      </c>
      <c r="Z75" s="5">
        <v>42.75</v>
      </c>
      <c r="AA75" s="5">
        <v>11.97</v>
      </c>
      <c r="AB75" s="5">
        <v>871.81</v>
      </c>
      <c r="AC75" s="5">
        <v>64.459999999999994</v>
      </c>
      <c r="AD75" s="5">
        <v>19315.509999999998</v>
      </c>
      <c r="AE75" s="5">
        <v>788.75</v>
      </c>
      <c r="AF75" s="5">
        <v>22.422846275752768</v>
      </c>
      <c r="AG75" s="5">
        <v>0.37371410459587945</v>
      </c>
      <c r="AH75" s="5">
        <v>17686.019999999997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1268.9100000000001</v>
      </c>
      <c r="AP75" s="5">
        <v>355.71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4.87</v>
      </c>
      <c r="AW75" s="5">
        <v>0</v>
      </c>
      <c r="AX75" s="5">
        <v>0</v>
      </c>
      <c r="AY75" s="5">
        <v>1629.49</v>
      </c>
      <c r="AZ75" s="5" t="s">
        <v>340</v>
      </c>
    </row>
    <row r="76" spans="1:52" ht="14.85" customHeight="1">
      <c r="A76" s="1" t="s">
        <v>52</v>
      </c>
      <c r="B76" s="1" t="s">
        <v>53</v>
      </c>
      <c r="C76" s="1">
        <v>4140</v>
      </c>
      <c r="D76" s="1" t="s">
        <v>341</v>
      </c>
      <c r="E76" s="1" t="s">
        <v>342</v>
      </c>
      <c r="G76" s="1" t="s">
        <v>343</v>
      </c>
      <c r="H76" s="4"/>
      <c r="I76" s="1">
        <v>8.2386599999999994</v>
      </c>
      <c r="K76" s="1">
        <v>1</v>
      </c>
      <c r="M76" s="1" t="s">
        <v>57</v>
      </c>
      <c r="O76" s="1">
        <v>0</v>
      </c>
      <c r="P76" s="5">
        <v>66</v>
      </c>
      <c r="Q76" s="5">
        <v>0</v>
      </c>
      <c r="R76" s="5">
        <v>0</v>
      </c>
      <c r="S76" s="5">
        <v>0</v>
      </c>
      <c r="T76" s="5">
        <v>2388.06</v>
      </c>
      <c r="U76" s="5">
        <v>0</v>
      </c>
      <c r="V76" s="5">
        <v>89.44</v>
      </c>
      <c r="W76" s="5">
        <v>0</v>
      </c>
      <c r="X76" s="5">
        <v>335.73</v>
      </c>
      <c r="Y76" s="5">
        <v>0</v>
      </c>
      <c r="Z76" s="5">
        <v>0</v>
      </c>
      <c r="AA76" s="5">
        <v>26.8</v>
      </c>
      <c r="AB76" s="5">
        <v>32.76</v>
      </c>
      <c r="AC76" s="5">
        <v>6.62</v>
      </c>
      <c r="AD76" s="5">
        <v>2945.4100000000003</v>
      </c>
      <c r="AE76" s="5">
        <v>0</v>
      </c>
      <c r="AF76" s="5">
        <v>0</v>
      </c>
      <c r="AG76" s="5">
        <v>0</v>
      </c>
      <c r="AH76" s="5">
        <v>194.05000000000018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2388.06</v>
      </c>
      <c r="AP76" s="5">
        <v>0</v>
      </c>
      <c r="AQ76" s="5">
        <v>0</v>
      </c>
      <c r="AR76" s="5">
        <v>0</v>
      </c>
      <c r="AS76" s="5">
        <v>335.73</v>
      </c>
      <c r="AT76" s="5">
        <v>0</v>
      </c>
      <c r="AU76" s="5">
        <v>0</v>
      </c>
      <c r="AV76" s="5">
        <v>27.57</v>
      </c>
      <c r="AW76" s="5">
        <v>0</v>
      </c>
      <c r="AX76" s="5">
        <v>0</v>
      </c>
      <c r="AY76" s="5">
        <v>2751.36</v>
      </c>
      <c r="AZ76" s="5" t="s">
        <v>344</v>
      </c>
    </row>
    <row r="77" spans="1:52" ht="14.85" customHeight="1">
      <c r="A77" s="1" t="s">
        <v>52</v>
      </c>
      <c r="B77" s="1" t="s">
        <v>53</v>
      </c>
      <c r="C77" s="1">
        <v>4180</v>
      </c>
      <c r="D77" s="1" t="s">
        <v>283</v>
      </c>
      <c r="E77" s="1" t="s">
        <v>345</v>
      </c>
      <c r="G77" s="1" t="s">
        <v>346</v>
      </c>
      <c r="H77" s="4"/>
      <c r="I77" s="1">
        <v>8.63734</v>
      </c>
      <c r="K77" s="1">
        <v>1</v>
      </c>
      <c r="M77" s="1" t="s">
        <v>57</v>
      </c>
      <c r="O77" s="1">
        <v>8630.27</v>
      </c>
      <c r="P77" s="5">
        <v>2723.95</v>
      </c>
      <c r="Q77" s="5">
        <v>0</v>
      </c>
      <c r="R77" s="5">
        <v>0</v>
      </c>
      <c r="S77" s="5">
        <v>0</v>
      </c>
      <c r="T77" s="5">
        <v>1268.83</v>
      </c>
      <c r="U77" s="5">
        <v>374.3</v>
      </c>
      <c r="V77" s="5">
        <v>712.58</v>
      </c>
      <c r="W77" s="5">
        <v>210.21</v>
      </c>
      <c r="X77" s="5">
        <v>6.48</v>
      </c>
      <c r="Y77" s="5">
        <v>1.91</v>
      </c>
      <c r="Z77" s="5">
        <v>85.81</v>
      </c>
      <c r="AA77" s="5">
        <v>18.940000000000001</v>
      </c>
      <c r="AB77" s="5">
        <v>660.92</v>
      </c>
      <c r="AC77" s="5">
        <v>49.21</v>
      </c>
      <c r="AD77" s="5">
        <v>14743.409999999998</v>
      </c>
      <c r="AE77" s="5">
        <v>741.25</v>
      </c>
      <c r="AF77" s="5">
        <v>17.140209106239457</v>
      </c>
      <c r="AG77" s="5">
        <v>0.28567015177065763</v>
      </c>
      <c r="AH77" s="5">
        <v>12705.179999999998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1561.72</v>
      </c>
      <c r="AP77" s="5">
        <v>460.71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15.8</v>
      </c>
      <c r="AW77" s="5">
        <v>0</v>
      </c>
      <c r="AX77" s="5">
        <v>0</v>
      </c>
      <c r="AY77" s="5">
        <v>2038.23</v>
      </c>
      <c r="AZ77" s="5" t="s">
        <v>347</v>
      </c>
    </row>
    <row r="78" spans="1:52" ht="14.85" customHeight="1">
      <c r="A78" s="1" t="s">
        <v>52</v>
      </c>
      <c r="B78" s="1" t="s">
        <v>53</v>
      </c>
      <c r="C78" s="1">
        <v>4210</v>
      </c>
      <c r="D78" s="1" t="s">
        <v>348</v>
      </c>
      <c r="E78" s="1" t="s">
        <v>349</v>
      </c>
      <c r="G78" s="1" t="s">
        <v>350</v>
      </c>
      <c r="H78" s="4"/>
      <c r="I78" s="1">
        <v>8.2386599999999994</v>
      </c>
      <c r="K78" s="1">
        <v>1</v>
      </c>
      <c r="M78" s="1" t="s">
        <v>57</v>
      </c>
      <c r="O78" s="1">
        <v>6134.09</v>
      </c>
      <c r="P78" s="5">
        <v>66</v>
      </c>
      <c r="Q78" s="5">
        <v>0</v>
      </c>
      <c r="R78" s="5">
        <v>0</v>
      </c>
      <c r="S78" s="5">
        <v>0</v>
      </c>
      <c r="T78" s="5">
        <v>899.08</v>
      </c>
      <c r="U78" s="5">
        <v>0</v>
      </c>
      <c r="V78" s="5">
        <v>536.61</v>
      </c>
      <c r="W78" s="5">
        <v>0</v>
      </c>
      <c r="X78" s="5">
        <v>16.48</v>
      </c>
      <c r="Y78" s="5">
        <v>0</v>
      </c>
      <c r="Z78" s="5">
        <v>66.91</v>
      </c>
      <c r="AA78" s="5">
        <v>13.83</v>
      </c>
      <c r="AB78" s="5">
        <v>532.56000000000006</v>
      </c>
      <c r="AC78" s="5">
        <v>39.74</v>
      </c>
      <c r="AD78" s="5">
        <v>8305.2999999999993</v>
      </c>
      <c r="AE78" s="5">
        <v>573.5</v>
      </c>
      <c r="AF78" s="5">
        <v>13.469782040104619</v>
      </c>
      <c r="AG78" s="5">
        <v>0.22449636733507697</v>
      </c>
      <c r="AH78" s="5">
        <v>7724.9199999999992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560.15</v>
      </c>
      <c r="AP78" s="5">
        <v>0</v>
      </c>
      <c r="AQ78" s="5">
        <v>0</v>
      </c>
      <c r="AR78" s="5">
        <v>0</v>
      </c>
      <c r="AS78" s="5">
        <v>14.42</v>
      </c>
      <c r="AT78" s="5">
        <v>0</v>
      </c>
      <c r="AU78" s="5">
        <v>0</v>
      </c>
      <c r="AV78" s="5">
        <v>5.81</v>
      </c>
      <c r="AW78" s="5">
        <v>0</v>
      </c>
      <c r="AX78" s="5">
        <v>0</v>
      </c>
      <c r="AY78" s="5">
        <v>580.37999999999988</v>
      </c>
      <c r="AZ78" s="5" t="s">
        <v>351</v>
      </c>
    </row>
    <row r="79" spans="1:52" ht="14.85" customHeight="1">
      <c r="A79" s="1" t="s">
        <v>52</v>
      </c>
      <c r="B79" s="1" t="s">
        <v>53</v>
      </c>
      <c r="C79" s="1">
        <v>4260</v>
      </c>
      <c r="D79" s="1" t="s">
        <v>352</v>
      </c>
      <c r="E79" s="1" t="s">
        <v>353</v>
      </c>
      <c r="G79" s="1" t="s">
        <v>354</v>
      </c>
      <c r="H79" s="4"/>
      <c r="I79" s="1">
        <v>10.087339999999999</v>
      </c>
      <c r="K79" s="1">
        <v>1</v>
      </c>
      <c r="M79" s="1" t="s">
        <v>57</v>
      </c>
      <c r="O79" s="1">
        <v>9410.14</v>
      </c>
      <c r="P79" s="5">
        <v>2843.75</v>
      </c>
      <c r="Q79" s="5">
        <v>0</v>
      </c>
      <c r="R79" s="5">
        <v>0</v>
      </c>
      <c r="S79" s="5">
        <v>0</v>
      </c>
      <c r="T79" s="5">
        <v>-533.72</v>
      </c>
      <c r="U79" s="5">
        <v>-157.44999999999999</v>
      </c>
      <c r="V79" s="5">
        <v>832.21</v>
      </c>
      <c r="W79" s="5">
        <v>245.5</v>
      </c>
      <c r="X79" s="5">
        <v>12.61</v>
      </c>
      <c r="Y79" s="5">
        <v>3.72</v>
      </c>
      <c r="Z79" s="5">
        <v>89.69</v>
      </c>
      <c r="AA79" s="5">
        <v>2.96</v>
      </c>
      <c r="AB79" s="5">
        <v>651.73</v>
      </c>
      <c r="AC79" s="5">
        <v>57.47</v>
      </c>
      <c r="AD79" s="5">
        <v>13458.609999999999</v>
      </c>
      <c r="AE79" s="5">
        <v>697.25</v>
      </c>
      <c r="AF79" s="5">
        <v>19.423678737898886</v>
      </c>
      <c r="AG79" s="5">
        <v>0.32372797896498146</v>
      </c>
      <c r="AH79" s="5">
        <v>13543.159999999998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-64.78</v>
      </c>
      <c r="AP79" s="5">
        <v>-19.11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-0.66</v>
      </c>
      <c r="AW79" s="5">
        <v>0</v>
      </c>
      <c r="AX79" s="5">
        <v>0</v>
      </c>
      <c r="AY79" s="5">
        <v>-84.55</v>
      </c>
      <c r="AZ79" s="5" t="s">
        <v>355</v>
      </c>
    </row>
    <row r="80" spans="1:52" ht="14.85" customHeight="1">
      <c r="A80" s="1" t="s">
        <v>52</v>
      </c>
      <c r="B80" s="1" t="s">
        <v>53</v>
      </c>
      <c r="C80" s="1">
        <v>4290</v>
      </c>
      <c r="D80" s="1" t="s">
        <v>356</v>
      </c>
      <c r="E80" s="1" t="s">
        <v>357</v>
      </c>
      <c r="G80" s="1" t="s">
        <v>358</v>
      </c>
      <c r="H80" s="4"/>
      <c r="I80" s="1">
        <v>11.1166</v>
      </c>
      <c r="K80" s="1">
        <v>11</v>
      </c>
      <c r="M80" s="1" t="s">
        <v>57</v>
      </c>
      <c r="O80" s="1">
        <v>11958.38</v>
      </c>
      <c r="P80" s="5">
        <v>3416.56</v>
      </c>
      <c r="Q80" s="5">
        <v>600</v>
      </c>
      <c r="R80" s="5">
        <v>0</v>
      </c>
      <c r="S80" s="5">
        <v>0</v>
      </c>
      <c r="T80" s="5">
        <v>776.05</v>
      </c>
      <c r="U80" s="5">
        <v>228.93</v>
      </c>
      <c r="V80" s="5">
        <v>917.12</v>
      </c>
      <c r="W80" s="5">
        <v>270.55</v>
      </c>
      <c r="X80" s="5">
        <v>19.45</v>
      </c>
      <c r="Y80" s="5">
        <v>5.74</v>
      </c>
      <c r="Z80" s="5">
        <v>108.18</v>
      </c>
      <c r="AA80" s="5">
        <v>16.309999999999999</v>
      </c>
      <c r="AB80" s="5">
        <v>794.3</v>
      </c>
      <c r="AC80" s="5">
        <v>63.34</v>
      </c>
      <c r="AD80" s="5">
        <v>18574.91</v>
      </c>
      <c r="AE80" s="5">
        <v>801</v>
      </c>
      <c r="AF80" s="5">
        <v>23.633957553058675</v>
      </c>
      <c r="AG80" s="5">
        <v>0.39389929255097794</v>
      </c>
      <c r="AH80" s="5">
        <v>18930.8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-272.69</v>
      </c>
      <c r="AP80" s="5">
        <v>-80.44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-2.76</v>
      </c>
      <c r="AW80" s="5">
        <v>0</v>
      </c>
      <c r="AX80" s="5">
        <v>0</v>
      </c>
      <c r="AY80" s="5">
        <v>-355.89</v>
      </c>
      <c r="AZ80" s="5" t="s">
        <v>359</v>
      </c>
    </row>
    <row r="81" spans="1:52" ht="14.85" customHeight="1">
      <c r="A81" s="1" t="s">
        <v>52</v>
      </c>
      <c r="B81" s="1" t="s">
        <v>53</v>
      </c>
      <c r="C81" s="1">
        <v>4300</v>
      </c>
      <c r="D81" s="1" t="s">
        <v>360</v>
      </c>
      <c r="E81" s="1" t="s">
        <v>361</v>
      </c>
      <c r="G81" s="1" t="s">
        <v>362</v>
      </c>
      <c r="H81" s="4"/>
      <c r="I81" s="1">
        <v>2446.79</v>
      </c>
      <c r="K81" s="1">
        <v>7</v>
      </c>
      <c r="M81" s="1" t="s">
        <v>66</v>
      </c>
      <c r="O81" s="1">
        <v>18236.53</v>
      </c>
      <c r="P81" s="5">
        <v>4768.26</v>
      </c>
      <c r="Q81" s="5">
        <v>1000</v>
      </c>
      <c r="R81" s="5">
        <v>0</v>
      </c>
      <c r="S81" s="5">
        <v>0</v>
      </c>
      <c r="T81" s="5">
        <v>3210.93</v>
      </c>
      <c r="U81" s="5">
        <v>875.94</v>
      </c>
      <c r="V81" s="5">
        <v>1223.3900000000001</v>
      </c>
      <c r="W81" s="5">
        <v>333.74</v>
      </c>
      <c r="X81" s="5">
        <v>14.83</v>
      </c>
      <c r="Y81" s="5">
        <v>4.05</v>
      </c>
      <c r="Z81" s="5">
        <v>164.16</v>
      </c>
      <c r="AA81" s="5">
        <v>42.38</v>
      </c>
      <c r="AB81" s="5">
        <v>1126.8999999999999</v>
      </c>
      <c r="AC81" s="5">
        <v>84.5</v>
      </c>
      <c r="AD81" s="5">
        <v>30085.610000000004</v>
      </c>
      <c r="AE81" s="5">
        <v>942.25</v>
      </c>
      <c r="AF81" s="5">
        <v>29.104091270894141</v>
      </c>
      <c r="AG81" s="5">
        <v>0.48506818784823569</v>
      </c>
      <c r="AH81" s="5">
        <v>27423.330000000005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2075.17</v>
      </c>
      <c r="AP81" s="5">
        <v>566.11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21</v>
      </c>
      <c r="AW81" s="5">
        <v>0</v>
      </c>
      <c r="AX81" s="5">
        <v>0</v>
      </c>
      <c r="AY81" s="5">
        <v>2662.28</v>
      </c>
      <c r="AZ81" s="5" t="s">
        <v>363</v>
      </c>
    </row>
    <row r="82" spans="1:52" ht="14.85" customHeight="1">
      <c r="A82" s="1" t="s">
        <v>52</v>
      </c>
      <c r="B82" s="1" t="s">
        <v>53</v>
      </c>
      <c r="C82" s="1">
        <v>4320</v>
      </c>
      <c r="D82" s="1" t="s">
        <v>364</v>
      </c>
      <c r="E82" s="1" t="s">
        <v>365</v>
      </c>
      <c r="G82" s="1" t="s">
        <v>366</v>
      </c>
      <c r="H82" s="4"/>
      <c r="I82" s="1">
        <v>9.4873399999999997</v>
      </c>
      <c r="K82" s="1">
        <v>1</v>
      </c>
      <c r="M82" s="1" t="s">
        <v>57</v>
      </c>
      <c r="O82" s="1">
        <v>9405.2000000000007</v>
      </c>
      <c r="P82" s="5">
        <v>2842.85</v>
      </c>
      <c r="Q82" s="5">
        <v>0</v>
      </c>
      <c r="R82" s="5">
        <v>0</v>
      </c>
      <c r="S82" s="5">
        <v>0</v>
      </c>
      <c r="T82" s="5">
        <v>285.95</v>
      </c>
      <c r="U82" s="5">
        <v>84.36</v>
      </c>
      <c r="V82" s="5">
        <v>782.71</v>
      </c>
      <c r="W82" s="5">
        <v>230.9</v>
      </c>
      <c r="X82" s="5">
        <v>45.06</v>
      </c>
      <c r="Y82" s="5">
        <v>13.29</v>
      </c>
      <c r="Z82" s="5">
        <v>89.66</v>
      </c>
      <c r="AA82" s="5">
        <v>10.61</v>
      </c>
      <c r="AB82" s="5">
        <v>658.65</v>
      </c>
      <c r="AC82" s="5">
        <v>54.05</v>
      </c>
      <c r="AD82" s="5">
        <v>14503.290000000003</v>
      </c>
      <c r="AE82" s="5">
        <v>842.5</v>
      </c>
      <c r="AF82" s="5">
        <v>17.672189910979231</v>
      </c>
      <c r="AG82" s="5">
        <v>0.29453649851632052</v>
      </c>
      <c r="AH82" s="5">
        <v>14888.820000000003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-295.39999999999998</v>
      </c>
      <c r="AP82" s="5">
        <v>-87.14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-2.99</v>
      </c>
      <c r="AW82" s="5">
        <v>0</v>
      </c>
      <c r="AX82" s="5">
        <v>0</v>
      </c>
      <c r="AY82" s="5">
        <v>-385.53</v>
      </c>
      <c r="AZ82" s="5" t="s">
        <v>367</v>
      </c>
    </row>
    <row r="83" spans="1:52" ht="14.85" customHeight="1">
      <c r="A83" s="1" t="s">
        <v>52</v>
      </c>
      <c r="B83" s="1" t="s">
        <v>53</v>
      </c>
      <c r="C83" s="1">
        <v>4340</v>
      </c>
      <c r="D83" s="1" t="s">
        <v>368</v>
      </c>
      <c r="E83" s="1" t="s">
        <v>369</v>
      </c>
      <c r="G83" s="1" t="s">
        <v>370</v>
      </c>
      <c r="H83" s="4"/>
      <c r="I83" s="1">
        <v>9.8457600000000003</v>
      </c>
      <c r="K83" s="1">
        <v>1</v>
      </c>
      <c r="M83" s="1" t="s">
        <v>57</v>
      </c>
      <c r="O83" s="1">
        <v>10130.69</v>
      </c>
      <c r="P83" s="5">
        <v>3054.38</v>
      </c>
      <c r="Q83" s="5">
        <v>0</v>
      </c>
      <c r="R83" s="5">
        <v>0</v>
      </c>
      <c r="S83" s="5">
        <v>0</v>
      </c>
      <c r="T83" s="5">
        <v>1868.82</v>
      </c>
      <c r="U83" s="5">
        <v>551.29999999999995</v>
      </c>
      <c r="V83" s="5">
        <v>812.28</v>
      </c>
      <c r="W83" s="5">
        <v>239.62</v>
      </c>
      <c r="X83" s="5">
        <v>32</v>
      </c>
      <c r="Y83" s="5">
        <v>9.44</v>
      </c>
      <c r="Z83" s="5">
        <v>96.48</v>
      </c>
      <c r="AA83" s="5">
        <v>25.84</v>
      </c>
      <c r="AB83" s="5">
        <v>743.37</v>
      </c>
      <c r="AC83" s="5">
        <v>56.09</v>
      </c>
      <c r="AD83" s="5">
        <v>17620.309999999994</v>
      </c>
      <c r="AE83" s="5">
        <v>897.5</v>
      </c>
      <c r="AF83" s="5">
        <v>18.110027855153199</v>
      </c>
      <c r="AG83" s="5">
        <v>0.30183379758588663</v>
      </c>
      <c r="AH83" s="5">
        <v>16253.749999999995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1042.49</v>
      </c>
      <c r="AP83" s="5">
        <v>307.52999999999997</v>
      </c>
      <c r="AQ83" s="5">
        <v>0</v>
      </c>
      <c r="AR83" s="5">
        <v>0</v>
      </c>
      <c r="AS83" s="5">
        <v>4.59</v>
      </c>
      <c r="AT83" s="5">
        <v>1.35</v>
      </c>
      <c r="AU83" s="5">
        <v>0</v>
      </c>
      <c r="AV83" s="5">
        <v>10.6</v>
      </c>
      <c r="AW83" s="5">
        <v>0</v>
      </c>
      <c r="AX83" s="5">
        <v>0</v>
      </c>
      <c r="AY83" s="5">
        <v>1366.5599999999997</v>
      </c>
      <c r="AZ83" s="5" t="s">
        <v>371</v>
      </c>
    </row>
    <row r="84" spans="1:52" ht="14.85" customHeight="1">
      <c r="A84" s="1" t="s">
        <v>52</v>
      </c>
      <c r="B84" s="1" t="s">
        <v>53</v>
      </c>
      <c r="C84" s="1">
        <v>4370</v>
      </c>
      <c r="D84" s="1" t="s">
        <v>372</v>
      </c>
      <c r="E84" s="1" t="s">
        <v>373</v>
      </c>
      <c r="G84" s="1" t="s">
        <v>374</v>
      </c>
      <c r="H84" s="4"/>
      <c r="I84" s="1">
        <v>8.2386599999999994</v>
      </c>
      <c r="K84" s="1">
        <v>1</v>
      </c>
      <c r="M84" s="1" t="s">
        <v>57</v>
      </c>
      <c r="O84" s="1">
        <v>8213.98</v>
      </c>
      <c r="P84" s="5">
        <v>2618.08</v>
      </c>
      <c r="Q84" s="5">
        <v>0</v>
      </c>
      <c r="R84" s="5">
        <v>0</v>
      </c>
      <c r="S84" s="5">
        <v>0</v>
      </c>
      <c r="T84" s="5">
        <v>1003.3</v>
      </c>
      <c r="U84" s="5">
        <v>295.97000000000003</v>
      </c>
      <c r="V84" s="5">
        <v>679.69</v>
      </c>
      <c r="W84" s="5">
        <v>200.51</v>
      </c>
      <c r="X84" s="5">
        <v>30.89</v>
      </c>
      <c r="Y84" s="5">
        <v>9.11</v>
      </c>
      <c r="Z84" s="5">
        <v>82.4</v>
      </c>
      <c r="AA84" s="5">
        <v>16.32</v>
      </c>
      <c r="AB84" s="5">
        <v>624.21999999999991</v>
      </c>
      <c r="AC84" s="5">
        <v>46.94</v>
      </c>
      <c r="AD84" s="5">
        <v>13821.409999999998</v>
      </c>
      <c r="AE84" s="5">
        <v>658.75</v>
      </c>
      <c r="AF84" s="5">
        <v>19.298398481973432</v>
      </c>
      <c r="AG84" s="5">
        <v>0.32163997469955719</v>
      </c>
      <c r="AH84" s="5">
        <v>12712.819999999998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849.41</v>
      </c>
      <c r="AP84" s="5">
        <v>250.58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8.6</v>
      </c>
      <c r="AW84" s="5">
        <v>0</v>
      </c>
      <c r="AX84" s="5">
        <v>0</v>
      </c>
      <c r="AY84" s="5">
        <v>1108.5899999999999</v>
      </c>
      <c r="AZ84" s="5" t="s">
        <v>375</v>
      </c>
    </row>
    <row r="85" spans="1:52" ht="14.85" customHeight="1">
      <c r="A85" s="1" t="s">
        <v>52</v>
      </c>
      <c r="B85" s="1" t="s">
        <v>53</v>
      </c>
      <c r="C85" s="1">
        <v>4400</v>
      </c>
      <c r="D85" s="1" t="s">
        <v>376</v>
      </c>
      <c r="E85" s="1" t="s">
        <v>377</v>
      </c>
      <c r="G85" s="1" t="s">
        <v>378</v>
      </c>
      <c r="H85" s="4"/>
      <c r="I85" s="1">
        <v>2639.92</v>
      </c>
      <c r="K85" s="1">
        <v>9</v>
      </c>
      <c r="M85" s="1" t="s">
        <v>66</v>
      </c>
      <c r="O85" s="1">
        <v>16499.5</v>
      </c>
      <c r="P85" s="5">
        <v>4567.1400000000003</v>
      </c>
      <c r="Q85" s="5">
        <v>0</v>
      </c>
      <c r="R85" s="5">
        <v>0</v>
      </c>
      <c r="S85" s="5">
        <v>0</v>
      </c>
      <c r="T85" s="5">
        <v>3340.38</v>
      </c>
      <c r="U85" s="5">
        <v>911.26</v>
      </c>
      <c r="V85" s="5">
        <v>1319.96</v>
      </c>
      <c r="W85" s="5">
        <v>360.09</v>
      </c>
      <c r="X85" s="5">
        <v>235.99</v>
      </c>
      <c r="Y85" s="5">
        <v>64.38</v>
      </c>
      <c r="Z85" s="5">
        <v>157.18</v>
      </c>
      <c r="AA85" s="5">
        <v>46.63</v>
      </c>
      <c r="AB85" s="5">
        <v>1213.1000000000001</v>
      </c>
      <c r="AC85" s="5">
        <v>91.17</v>
      </c>
      <c r="AD85" s="5">
        <v>28806.78</v>
      </c>
      <c r="AE85" s="5">
        <v>836</v>
      </c>
      <c r="AF85" s="5">
        <v>31.064916267942579</v>
      </c>
      <c r="AG85" s="5">
        <v>0.51774860446570969</v>
      </c>
      <c r="AH85" s="5">
        <v>25970.269999999997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2102.98</v>
      </c>
      <c r="AP85" s="5">
        <v>573.69000000000005</v>
      </c>
      <c r="AQ85" s="5">
        <v>0</v>
      </c>
      <c r="AR85" s="5">
        <v>0</v>
      </c>
      <c r="AS85" s="5">
        <v>108</v>
      </c>
      <c r="AT85" s="5">
        <v>29.46</v>
      </c>
      <c r="AU85" s="5">
        <v>0</v>
      </c>
      <c r="AV85" s="5">
        <v>22.38</v>
      </c>
      <c r="AW85" s="5">
        <v>0</v>
      </c>
      <c r="AX85" s="5">
        <v>0</v>
      </c>
      <c r="AY85" s="5">
        <v>2836.51</v>
      </c>
      <c r="AZ85" s="5" t="s">
        <v>379</v>
      </c>
    </row>
    <row r="86" spans="1:52" ht="14.85" customHeight="1">
      <c r="A86" s="1" t="s">
        <v>52</v>
      </c>
      <c r="B86" s="1" t="s">
        <v>53</v>
      </c>
      <c r="C86" s="1">
        <v>4510</v>
      </c>
      <c r="D86" s="1" t="s">
        <v>380</v>
      </c>
      <c r="E86" s="1" t="s">
        <v>381</v>
      </c>
      <c r="G86" s="1" t="s">
        <v>382</v>
      </c>
      <c r="H86" s="4"/>
      <c r="I86" s="1">
        <v>8.2386599999999994</v>
      </c>
      <c r="K86" s="1">
        <v>2</v>
      </c>
      <c r="M86" s="1" t="s">
        <v>57</v>
      </c>
      <c r="O86" s="1">
        <v>5644</v>
      </c>
      <c r="P86" s="5">
        <v>-3885.5</v>
      </c>
      <c r="Q86" s="5">
        <v>0</v>
      </c>
      <c r="R86" s="5">
        <v>0</v>
      </c>
      <c r="S86" s="5">
        <v>0</v>
      </c>
      <c r="T86" s="5">
        <v>1172.77</v>
      </c>
      <c r="U86" s="5">
        <v>0</v>
      </c>
      <c r="V86" s="5">
        <v>536.61</v>
      </c>
      <c r="W86" s="5">
        <v>0</v>
      </c>
      <c r="X86" s="5">
        <v>150.36000000000001</v>
      </c>
      <c r="Y86" s="5">
        <v>0</v>
      </c>
      <c r="Z86" s="5">
        <v>58.43</v>
      </c>
      <c r="AA86" s="5">
        <v>17.72</v>
      </c>
      <c r="AB86" s="5">
        <v>526.1</v>
      </c>
      <c r="AC86" s="5">
        <v>39.74</v>
      </c>
      <c r="AD86" s="5">
        <v>4260.2299999999996</v>
      </c>
      <c r="AE86" s="5">
        <v>597.25</v>
      </c>
      <c r="AF86" s="5">
        <v>5.6845039765592293</v>
      </c>
      <c r="AG86" s="5">
        <v>9.4741732942653825E-2</v>
      </c>
      <c r="AH86" s="5">
        <v>3395.07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702.02</v>
      </c>
      <c r="AP86" s="5">
        <v>0</v>
      </c>
      <c r="AQ86" s="5">
        <v>0</v>
      </c>
      <c r="AR86" s="5">
        <v>0</v>
      </c>
      <c r="AS86" s="5">
        <v>154.47</v>
      </c>
      <c r="AT86" s="5">
        <v>0</v>
      </c>
      <c r="AU86" s="5">
        <v>0</v>
      </c>
      <c r="AV86" s="5">
        <v>8.67</v>
      </c>
      <c r="AW86" s="5">
        <v>0</v>
      </c>
      <c r="AX86" s="5">
        <v>0</v>
      </c>
      <c r="AY86" s="5">
        <v>865.16</v>
      </c>
      <c r="AZ86" s="5" t="s">
        <v>383</v>
      </c>
    </row>
    <row r="87" spans="1:52" ht="14.85" customHeight="1">
      <c r="A87" s="1" t="s">
        <v>52</v>
      </c>
      <c r="B87" s="1" t="s">
        <v>53</v>
      </c>
      <c r="C87" s="1">
        <v>4600</v>
      </c>
      <c r="D87" s="1" t="s">
        <v>384</v>
      </c>
      <c r="E87" s="1" t="s">
        <v>385</v>
      </c>
      <c r="G87" s="1" t="s">
        <v>386</v>
      </c>
      <c r="H87" s="4" t="s">
        <v>387</v>
      </c>
      <c r="I87" s="1">
        <v>1495.39</v>
      </c>
      <c r="K87" s="1">
        <v>9</v>
      </c>
      <c r="M87" s="1" t="s">
        <v>388</v>
      </c>
      <c r="O87" s="1">
        <v>7708.35</v>
      </c>
      <c r="P87" s="5">
        <v>1048.08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576.15</v>
      </c>
      <c r="AC87" s="5">
        <v>0</v>
      </c>
      <c r="AD87" s="5">
        <v>9332.58</v>
      </c>
      <c r="AE87" s="5">
        <v>477</v>
      </c>
      <c r="AF87" s="5">
        <v>17.528825995807129</v>
      </c>
      <c r="AG87" s="5">
        <v>0.29214709993011884</v>
      </c>
      <c r="AH87" s="5">
        <v>8361.25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861.54</v>
      </c>
      <c r="AP87" s="5">
        <v>109.79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971.33</v>
      </c>
      <c r="AZ87" s="5" t="s">
        <v>389</v>
      </c>
    </row>
    <row r="88" spans="1:52" ht="14.85" customHeight="1">
      <c r="A88" s="1" t="s">
        <v>52</v>
      </c>
      <c r="B88" s="1" t="s">
        <v>53</v>
      </c>
      <c r="C88" s="1">
        <v>4620</v>
      </c>
      <c r="D88" s="1" t="s">
        <v>390</v>
      </c>
      <c r="E88" s="1" t="s">
        <v>391</v>
      </c>
      <c r="G88" s="1" t="s">
        <v>386</v>
      </c>
      <c r="H88" s="4"/>
      <c r="I88" s="1">
        <v>3608.32</v>
      </c>
      <c r="K88" s="1">
        <v>13</v>
      </c>
      <c r="M88" s="1" t="s">
        <v>75</v>
      </c>
      <c r="O88" s="1">
        <v>26409.759999999998</v>
      </c>
      <c r="P88" s="5">
        <v>6971.04</v>
      </c>
      <c r="Q88" s="5">
        <v>0</v>
      </c>
      <c r="R88" s="5">
        <v>1545.2</v>
      </c>
      <c r="S88" s="5">
        <v>0</v>
      </c>
      <c r="T88" s="5">
        <v>1616.97</v>
      </c>
      <c r="U88" s="5">
        <v>445.52</v>
      </c>
      <c r="V88" s="5">
        <v>1804.16</v>
      </c>
      <c r="W88" s="5">
        <v>497.1</v>
      </c>
      <c r="X88" s="5">
        <v>0</v>
      </c>
      <c r="Y88" s="5">
        <v>0</v>
      </c>
      <c r="Z88" s="5">
        <v>96.19</v>
      </c>
      <c r="AA88" s="5">
        <v>13.13</v>
      </c>
      <c r="AB88" s="5">
        <v>4.16</v>
      </c>
      <c r="AC88" s="5">
        <v>124.61</v>
      </c>
      <c r="AD88" s="5">
        <v>39527.839999999997</v>
      </c>
      <c r="AE88" s="5">
        <v>874</v>
      </c>
      <c r="AF88" s="5">
        <v>44.310835240274599</v>
      </c>
      <c r="AG88" s="5">
        <v>0.73851392067124333</v>
      </c>
      <c r="AH88" s="5">
        <v>38727.67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625.44000000000005</v>
      </c>
      <c r="AP88" s="5">
        <v>172.33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2.4</v>
      </c>
      <c r="AW88" s="5">
        <v>0</v>
      </c>
      <c r="AX88" s="5">
        <v>0</v>
      </c>
      <c r="AY88" s="5">
        <v>800.17</v>
      </c>
      <c r="AZ88" s="5" t="s">
        <v>392</v>
      </c>
    </row>
    <row r="89" spans="1:52" ht="14.85" customHeight="1">
      <c r="A89" s="1" t="s">
        <v>52</v>
      </c>
      <c r="B89" s="1" t="s">
        <v>53</v>
      </c>
      <c r="C89" s="1">
        <v>4710</v>
      </c>
      <c r="D89" s="1" t="s">
        <v>393</v>
      </c>
      <c r="E89" s="1" t="s">
        <v>394</v>
      </c>
      <c r="G89" s="1" t="s">
        <v>395</v>
      </c>
      <c r="H89" s="4"/>
      <c r="I89" s="1">
        <v>9.9457599999999999</v>
      </c>
      <c r="K89" s="1">
        <v>2</v>
      </c>
      <c r="M89" s="1" t="s">
        <v>57</v>
      </c>
      <c r="O89" s="1">
        <v>10207.82</v>
      </c>
      <c r="P89" s="5">
        <v>3077.64</v>
      </c>
      <c r="Q89" s="5">
        <v>0</v>
      </c>
      <c r="R89" s="5">
        <v>0</v>
      </c>
      <c r="S89" s="5">
        <v>0</v>
      </c>
      <c r="T89" s="5">
        <v>1933.46</v>
      </c>
      <c r="U89" s="5">
        <v>570.37</v>
      </c>
      <c r="V89" s="5">
        <v>820.53</v>
      </c>
      <c r="W89" s="5">
        <v>242.06</v>
      </c>
      <c r="X89" s="5">
        <v>47.24</v>
      </c>
      <c r="Y89" s="5">
        <v>13.94</v>
      </c>
      <c r="Z89" s="5">
        <v>97.23</v>
      </c>
      <c r="AA89" s="5">
        <v>26.68</v>
      </c>
      <c r="AB89" s="5">
        <v>740.54000000000008</v>
      </c>
      <c r="AC89" s="5">
        <v>56.67</v>
      </c>
      <c r="AD89" s="5">
        <v>17834.18</v>
      </c>
      <c r="AE89" s="5">
        <v>781.75</v>
      </c>
      <c r="AF89" s="5">
        <v>19.545327790214266</v>
      </c>
      <c r="AG89" s="5">
        <v>0.32575546317023779</v>
      </c>
      <c r="AH89" s="5">
        <v>15279.560000000001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1952.46</v>
      </c>
      <c r="AP89" s="5">
        <v>575.98</v>
      </c>
      <c r="AQ89" s="5">
        <v>0</v>
      </c>
      <c r="AR89" s="5">
        <v>0</v>
      </c>
      <c r="AS89" s="5">
        <v>4.92</v>
      </c>
      <c r="AT89" s="5">
        <v>1.45</v>
      </c>
      <c r="AU89" s="5">
        <v>0</v>
      </c>
      <c r="AV89" s="5">
        <v>19.809999999999999</v>
      </c>
      <c r="AW89" s="5">
        <v>0</v>
      </c>
      <c r="AX89" s="5">
        <v>0</v>
      </c>
      <c r="AY89" s="5">
        <v>2554.62</v>
      </c>
      <c r="AZ89" s="5" t="s">
        <v>396</v>
      </c>
    </row>
    <row r="90" spans="1:52" ht="14.85" customHeight="1">
      <c r="A90" s="1" t="s">
        <v>52</v>
      </c>
      <c r="B90" s="1" t="s">
        <v>53</v>
      </c>
      <c r="C90" s="1">
        <v>4730</v>
      </c>
      <c r="D90" s="1" t="s">
        <v>397</v>
      </c>
      <c r="E90" s="1" t="s">
        <v>398</v>
      </c>
      <c r="G90" s="1" t="s">
        <v>399</v>
      </c>
      <c r="H90" s="4"/>
      <c r="I90" s="1">
        <v>8.63734</v>
      </c>
      <c r="K90" s="1">
        <v>1</v>
      </c>
      <c r="M90" s="1" t="s">
        <v>57</v>
      </c>
      <c r="O90" s="1">
        <v>8808.02</v>
      </c>
      <c r="P90" s="5">
        <v>2776.46</v>
      </c>
      <c r="Q90" s="5">
        <v>0</v>
      </c>
      <c r="R90" s="5">
        <v>0</v>
      </c>
      <c r="S90" s="5">
        <v>0</v>
      </c>
      <c r="T90" s="5">
        <v>1764.61</v>
      </c>
      <c r="U90" s="5">
        <v>520.55999999999995</v>
      </c>
      <c r="V90" s="5">
        <v>712.58</v>
      </c>
      <c r="W90" s="5">
        <v>210.21</v>
      </c>
      <c r="X90" s="5">
        <v>43.19</v>
      </c>
      <c r="Y90" s="5">
        <v>12.74</v>
      </c>
      <c r="Z90" s="5">
        <v>87.5</v>
      </c>
      <c r="AA90" s="5">
        <v>24.01</v>
      </c>
      <c r="AB90" s="5">
        <v>643.51</v>
      </c>
      <c r="AC90" s="5">
        <v>49.21</v>
      </c>
      <c r="AD90" s="5">
        <v>15652.599999999999</v>
      </c>
      <c r="AE90" s="5">
        <v>853.5</v>
      </c>
      <c r="AF90" s="5">
        <v>16.146268306971294</v>
      </c>
      <c r="AG90" s="5">
        <v>0.2691044717828549</v>
      </c>
      <c r="AH90" s="5">
        <v>13780.839999999998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1434.17</v>
      </c>
      <c r="AP90" s="5">
        <v>423.08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14.51</v>
      </c>
      <c r="AW90" s="5">
        <v>0</v>
      </c>
      <c r="AX90" s="5">
        <v>0</v>
      </c>
      <c r="AY90" s="5">
        <v>1871.76</v>
      </c>
      <c r="AZ90" s="5" t="s">
        <v>400</v>
      </c>
    </row>
    <row r="91" spans="1:52" ht="14.85" customHeight="1">
      <c r="A91" s="1" t="s">
        <v>52</v>
      </c>
      <c r="B91" s="1" t="s">
        <v>53</v>
      </c>
      <c r="C91" s="1">
        <v>4740</v>
      </c>
      <c r="D91" s="1" t="s">
        <v>401</v>
      </c>
      <c r="E91" s="1" t="s">
        <v>402</v>
      </c>
      <c r="G91" s="1" t="s">
        <v>399</v>
      </c>
      <c r="H91" s="4"/>
      <c r="I91" s="1">
        <v>1425.16</v>
      </c>
      <c r="K91" s="1">
        <v>13</v>
      </c>
      <c r="M91" s="1" t="s">
        <v>66</v>
      </c>
      <c r="O91" s="1">
        <v>4514.6899999999996</v>
      </c>
      <c r="P91" s="5">
        <v>-1429.9</v>
      </c>
      <c r="Q91" s="5">
        <v>300</v>
      </c>
      <c r="R91" s="5">
        <v>0</v>
      </c>
      <c r="S91" s="5">
        <v>0</v>
      </c>
      <c r="T91" s="5">
        <v>1855.21</v>
      </c>
      <c r="U91" s="5">
        <v>0</v>
      </c>
      <c r="V91" s="5">
        <v>393.77</v>
      </c>
      <c r="W91" s="5">
        <v>0</v>
      </c>
      <c r="X91" s="5">
        <v>1656.21</v>
      </c>
      <c r="Y91" s="5">
        <v>0</v>
      </c>
      <c r="Z91" s="5">
        <v>18.149999999999999</v>
      </c>
      <c r="AA91" s="5">
        <v>14.99</v>
      </c>
      <c r="AB91" s="5">
        <v>385.77</v>
      </c>
      <c r="AC91" s="5">
        <v>29.16</v>
      </c>
      <c r="AD91" s="5">
        <v>7438.0499999999993</v>
      </c>
      <c r="AE91" s="5">
        <v>387.75</v>
      </c>
      <c r="AF91" s="5">
        <v>12.303726627981947</v>
      </c>
      <c r="AG91" s="5">
        <v>0.20506211046636577</v>
      </c>
      <c r="AH91" s="5">
        <v>4770.7699999999995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1374.14</v>
      </c>
      <c r="AP91" s="5">
        <v>0</v>
      </c>
      <c r="AQ91" s="5">
        <v>0</v>
      </c>
      <c r="AR91" s="5">
        <v>0</v>
      </c>
      <c r="AS91" s="5">
        <v>1282.94</v>
      </c>
      <c r="AT91" s="5">
        <v>0</v>
      </c>
      <c r="AU91" s="5">
        <v>0</v>
      </c>
      <c r="AV91" s="5">
        <v>10.199999999999999</v>
      </c>
      <c r="AW91" s="5">
        <v>0</v>
      </c>
      <c r="AX91" s="5">
        <v>0</v>
      </c>
      <c r="AY91" s="5">
        <v>2667.28</v>
      </c>
      <c r="AZ91" s="5" t="s">
        <v>403</v>
      </c>
    </row>
    <row r="92" spans="1:52" ht="14.85" customHeight="1">
      <c r="A92" s="1" t="s">
        <v>52</v>
      </c>
      <c r="B92" s="1" t="s">
        <v>53</v>
      </c>
      <c r="C92" s="1">
        <v>4760</v>
      </c>
      <c r="D92" s="1" t="s">
        <v>404</v>
      </c>
      <c r="E92" s="1" t="s">
        <v>255</v>
      </c>
      <c r="G92" s="1" t="s">
        <v>405</v>
      </c>
      <c r="H92" s="4"/>
      <c r="I92" s="1">
        <v>8.63734</v>
      </c>
      <c r="K92" s="1">
        <v>1</v>
      </c>
      <c r="M92" s="1" t="s">
        <v>57</v>
      </c>
      <c r="O92" s="1">
        <v>6926.01</v>
      </c>
      <c r="P92" s="5">
        <v>2196.1999999999998</v>
      </c>
      <c r="Q92" s="5">
        <v>0</v>
      </c>
      <c r="R92" s="5">
        <v>0</v>
      </c>
      <c r="S92" s="5">
        <v>0</v>
      </c>
      <c r="T92" s="5">
        <v>890.08</v>
      </c>
      <c r="U92" s="5">
        <v>262.57</v>
      </c>
      <c r="V92" s="5">
        <v>562.58000000000004</v>
      </c>
      <c r="W92" s="5">
        <v>165.96</v>
      </c>
      <c r="X92" s="5">
        <v>0</v>
      </c>
      <c r="Y92" s="5">
        <v>0</v>
      </c>
      <c r="Z92" s="5">
        <v>67.11</v>
      </c>
      <c r="AA92" s="5">
        <v>13.84</v>
      </c>
      <c r="AB92" s="5">
        <v>506.99</v>
      </c>
      <c r="AC92" s="5">
        <v>38.85</v>
      </c>
      <c r="AD92" s="5">
        <v>11630.189999999999</v>
      </c>
      <c r="AE92" s="5">
        <v>622.5</v>
      </c>
      <c r="AF92" s="5">
        <v>16.992899598393571</v>
      </c>
      <c r="AG92" s="5">
        <v>0.28321499330655953</v>
      </c>
      <c r="AH92" s="5">
        <v>10578.079999999998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825.35</v>
      </c>
      <c r="AP92" s="5">
        <v>243.48</v>
      </c>
      <c r="AQ92" s="5">
        <v>0</v>
      </c>
      <c r="AR92" s="5">
        <v>0</v>
      </c>
      <c r="AS92" s="5">
        <v>-19.21</v>
      </c>
      <c r="AT92" s="5">
        <v>-5.67</v>
      </c>
      <c r="AU92" s="5">
        <v>0</v>
      </c>
      <c r="AV92" s="5">
        <v>8.16</v>
      </c>
      <c r="AW92" s="5">
        <v>0</v>
      </c>
      <c r="AX92" s="5">
        <v>0</v>
      </c>
      <c r="AY92" s="5">
        <v>1052.1099999999999</v>
      </c>
      <c r="AZ92" s="5" t="s">
        <v>406</v>
      </c>
    </row>
    <row r="93" spans="1:52" ht="14.85" customHeight="1">
      <c r="A93" s="1" t="s">
        <v>52</v>
      </c>
      <c r="B93" s="1" t="s">
        <v>53</v>
      </c>
      <c r="C93" s="1">
        <v>4800</v>
      </c>
      <c r="D93" s="1" t="s">
        <v>407</v>
      </c>
      <c r="E93" s="1" t="s">
        <v>408</v>
      </c>
      <c r="G93" s="1" t="s">
        <v>409</v>
      </c>
      <c r="H93" s="4"/>
      <c r="I93" s="1">
        <v>2449.42</v>
      </c>
      <c r="K93" s="1">
        <v>10</v>
      </c>
      <c r="M93" s="1" t="s">
        <v>66</v>
      </c>
      <c r="O93" s="1">
        <v>17684.55</v>
      </c>
      <c r="P93" s="5">
        <v>4682.26</v>
      </c>
      <c r="Q93" s="5">
        <v>1000</v>
      </c>
      <c r="R93" s="5">
        <v>1046.57</v>
      </c>
      <c r="S93" s="5">
        <v>0</v>
      </c>
      <c r="T93" s="5">
        <v>3434.53</v>
      </c>
      <c r="U93" s="5">
        <v>920.45</v>
      </c>
      <c r="V93" s="5">
        <v>1224.71</v>
      </c>
      <c r="W93" s="5">
        <v>328.22</v>
      </c>
      <c r="X93" s="5">
        <v>233.81</v>
      </c>
      <c r="Y93" s="5">
        <v>62.66</v>
      </c>
      <c r="Z93" s="5">
        <v>158.88999999999999</v>
      </c>
      <c r="AA93" s="5">
        <v>46.6</v>
      </c>
      <c r="AB93" s="5">
        <v>2.4700000000000002</v>
      </c>
      <c r="AC93" s="5">
        <v>84.58</v>
      </c>
      <c r="AD93" s="5">
        <v>29910.3</v>
      </c>
      <c r="AE93" s="5">
        <v>879.75</v>
      </c>
      <c r="AF93" s="5">
        <v>30.233350383631713</v>
      </c>
      <c r="AG93" s="5">
        <v>0.50388917306052849</v>
      </c>
      <c r="AH93" s="5">
        <v>26597.79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2474.2399999999998</v>
      </c>
      <c r="AP93" s="5">
        <v>663.1</v>
      </c>
      <c r="AQ93" s="5">
        <v>0</v>
      </c>
      <c r="AR93" s="5">
        <v>0</v>
      </c>
      <c r="AS93" s="5">
        <v>117.46</v>
      </c>
      <c r="AT93" s="5">
        <v>31.48</v>
      </c>
      <c r="AU93" s="5">
        <v>0</v>
      </c>
      <c r="AV93" s="5">
        <v>26.23</v>
      </c>
      <c r="AW93" s="5">
        <v>0</v>
      </c>
      <c r="AX93" s="5">
        <v>0</v>
      </c>
      <c r="AY93" s="5">
        <v>3312.51</v>
      </c>
      <c r="AZ93" s="5" t="s">
        <v>410</v>
      </c>
    </row>
    <row r="94" spans="1:52" ht="14.85" customHeight="1">
      <c r="A94" s="1" t="s">
        <v>52</v>
      </c>
      <c r="B94" s="1" t="s">
        <v>53</v>
      </c>
      <c r="C94" s="1">
        <v>4870</v>
      </c>
      <c r="D94" s="1" t="s">
        <v>411</v>
      </c>
      <c r="E94" s="1" t="s">
        <v>412</v>
      </c>
      <c r="G94" s="1" t="s">
        <v>413</v>
      </c>
      <c r="H94" s="4"/>
      <c r="I94" s="1">
        <v>1906.65</v>
      </c>
      <c r="K94" s="1">
        <v>9</v>
      </c>
      <c r="M94" s="1" t="s">
        <v>66</v>
      </c>
      <c r="O94" s="1">
        <v>12714.58</v>
      </c>
      <c r="P94" s="5">
        <v>2161.5500000000002</v>
      </c>
      <c r="Q94" s="5">
        <v>0</v>
      </c>
      <c r="R94" s="5">
        <v>0</v>
      </c>
      <c r="S94" s="5">
        <v>0</v>
      </c>
      <c r="T94" s="5">
        <v>1064.03</v>
      </c>
      <c r="U94" s="5">
        <v>290.27</v>
      </c>
      <c r="V94" s="5">
        <v>953.32</v>
      </c>
      <c r="W94" s="5">
        <v>260.07</v>
      </c>
      <c r="X94" s="5">
        <v>0</v>
      </c>
      <c r="Y94" s="5">
        <v>0</v>
      </c>
      <c r="Z94" s="5">
        <v>22.69</v>
      </c>
      <c r="AA94" s="5">
        <v>19.21</v>
      </c>
      <c r="AB94" s="5">
        <v>908.87</v>
      </c>
      <c r="AC94" s="5">
        <v>65.84</v>
      </c>
      <c r="AD94" s="5">
        <v>18460.43</v>
      </c>
      <c r="AE94" s="5">
        <v>788.25</v>
      </c>
      <c r="AF94" s="5">
        <v>22.90107199492547</v>
      </c>
      <c r="AG94" s="5">
        <v>0.38168453324875784</v>
      </c>
      <c r="AH94" s="5">
        <v>18051.77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344.56</v>
      </c>
      <c r="AP94" s="5">
        <v>48.96</v>
      </c>
      <c r="AQ94" s="5">
        <v>0</v>
      </c>
      <c r="AR94" s="5">
        <v>0</v>
      </c>
      <c r="AS94" s="5">
        <v>13.26</v>
      </c>
      <c r="AT94" s="5">
        <v>1.88</v>
      </c>
      <c r="AU94" s="5">
        <v>0</v>
      </c>
      <c r="AV94" s="5">
        <v>0</v>
      </c>
      <c r="AW94" s="5">
        <v>0</v>
      </c>
      <c r="AX94" s="5">
        <v>0</v>
      </c>
      <c r="AY94" s="5">
        <v>408.66</v>
      </c>
      <c r="AZ94" s="5" t="s">
        <v>414</v>
      </c>
    </row>
    <row r="95" spans="1:52" ht="14.85" customHeight="1">
      <c r="A95" s="1" t="s">
        <v>52</v>
      </c>
      <c r="B95" s="1" t="s">
        <v>53</v>
      </c>
      <c r="C95" s="1">
        <v>4880</v>
      </c>
      <c r="D95" s="1" t="s">
        <v>108</v>
      </c>
      <c r="E95" s="1" t="s">
        <v>415</v>
      </c>
      <c r="G95" s="1" t="s">
        <v>413</v>
      </c>
      <c r="H95" s="4"/>
      <c r="I95" s="1">
        <v>1466.05</v>
      </c>
      <c r="K95" s="1">
        <v>8</v>
      </c>
      <c r="M95" s="1" t="s">
        <v>388</v>
      </c>
      <c r="O95" s="1">
        <v>9100.83</v>
      </c>
      <c r="P95" s="5">
        <v>1225.6400000000001</v>
      </c>
      <c r="Q95" s="5">
        <v>0</v>
      </c>
      <c r="R95" s="5">
        <v>0</v>
      </c>
      <c r="S95" s="5">
        <v>0</v>
      </c>
      <c r="T95" s="5">
        <v>1951</v>
      </c>
      <c r="U95" s="5">
        <v>248.62</v>
      </c>
      <c r="V95" s="5">
        <v>733.02</v>
      </c>
      <c r="W95" s="5">
        <v>93.41</v>
      </c>
      <c r="X95" s="5">
        <v>11.11</v>
      </c>
      <c r="Y95" s="5">
        <v>1.42</v>
      </c>
      <c r="Z95" s="5">
        <v>0</v>
      </c>
      <c r="AA95" s="5">
        <v>0</v>
      </c>
      <c r="AB95" s="5">
        <v>708.3</v>
      </c>
      <c r="AC95" s="5">
        <v>54.29</v>
      </c>
      <c r="AD95" s="5">
        <v>14127.640000000001</v>
      </c>
      <c r="AE95" s="5">
        <v>866</v>
      </c>
      <c r="AF95" s="5">
        <v>14.477678983833721</v>
      </c>
      <c r="AG95" s="5">
        <v>0.24129464973056203</v>
      </c>
      <c r="AH95" s="5">
        <v>12537.670000000002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1390.55</v>
      </c>
      <c r="AP95" s="5">
        <v>177.2</v>
      </c>
      <c r="AQ95" s="5">
        <v>0</v>
      </c>
      <c r="AR95" s="5">
        <v>0</v>
      </c>
      <c r="AS95" s="5">
        <v>19.71</v>
      </c>
      <c r="AT95" s="5">
        <v>2.5099999999999998</v>
      </c>
      <c r="AU95" s="5">
        <v>0</v>
      </c>
      <c r="AV95" s="5">
        <v>0</v>
      </c>
      <c r="AW95" s="5">
        <v>0</v>
      </c>
      <c r="AX95" s="5">
        <v>0</v>
      </c>
      <c r="AY95" s="5">
        <v>1589.97</v>
      </c>
      <c r="AZ95" s="5" t="s">
        <v>416</v>
      </c>
    </row>
    <row r="96" spans="1:52" ht="14.85" customHeight="1">
      <c r="A96" s="1" t="s">
        <v>52</v>
      </c>
      <c r="B96" s="1" t="s">
        <v>53</v>
      </c>
      <c r="C96" s="1">
        <v>4930</v>
      </c>
      <c r="D96" s="1" t="s">
        <v>417</v>
      </c>
      <c r="E96" s="1" t="s">
        <v>418</v>
      </c>
      <c r="G96" s="1" t="s">
        <v>419</v>
      </c>
      <c r="H96" s="4"/>
      <c r="I96" s="1">
        <v>8.63734</v>
      </c>
      <c r="K96" s="1">
        <v>1</v>
      </c>
      <c r="M96" s="1" t="s">
        <v>57</v>
      </c>
      <c r="O96" s="1">
        <v>8491.0499999999993</v>
      </c>
      <c r="P96" s="5">
        <v>2575.35</v>
      </c>
      <c r="Q96" s="5">
        <v>0</v>
      </c>
      <c r="R96" s="5">
        <v>0</v>
      </c>
      <c r="S96" s="5">
        <v>0</v>
      </c>
      <c r="T96" s="5">
        <v>423.92</v>
      </c>
      <c r="U96" s="5">
        <v>125.06</v>
      </c>
      <c r="V96" s="5">
        <v>712.58</v>
      </c>
      <c r="W96" s="5">
        <v>210.21</v>
      </c>
      <c r="X96" s="5">
        <v>12.96</v>
      </c>
      <c r="Y96" s="5">
        <v>3.82</v>
      </c>
      <c r="Z96" s="5">
        <v>83.14</v>
      </c>
      <c r="AA96" s="5">
        <v>10.95</v>
      </c>
      <c r="AB96" s="5">
        <v>636.28</v>
      </c>
      <c r="AC96" s="5">
        <v>49.21</v>
      </c>
      <c r="AD96" s="5">
        <v>13334.529999999997</v>
      </c>
      <c r="AE96" s="5">
        <v>750</v>
      </c>
      <c r="AF96" s="5">
        <v>17.169119999999996</v>
      </c>
      <c r="AG96" s="5">
        <v>0.28615199999999991</v>
      </c>
      <c r="AH96" s="5">
        <v>12876.839999999997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344.56</v>
      </c>
      <c r="AP96" s="5">
        <v>101.65</v>
      </c>
      <c r="AQ96" s="5">
        <v>0</v>
      </c>
      <c r="AR96" s="5">
        <v>0</v>
      </c>
      <c r="AS96" s="5">
        <v>6.12</v>
      </c>
      <c r="AT96" s="5">
        <v>1.81</v>
      </c>
      <c r="AU96" s="5">
        <v>0</v>
      </c>
      <c r="AV96" s="5">
        <v>3.55</v>
      </c>
      <c r="AW96" s="5">
        <v>0</v>
      </c>
      <c r="AX96" s="5">
        <v>0</v>
      </c>
      <c r="AY96" s="5">
        <v>457.69000000000005</v>
      </c>
      <c r="AZ96" s="5" t="s">
        <v>420</v>
      </c>
    </row>
    <row r="97" spans="1:52" ht="14.85" customHeight="1">
      <c r="A97" s="1" t="s">
        <v>52</v>
      </c>
      <c r="B97" s="1" t="s">
        <v>53</v>
      </c>
      <c r="C97" s="1">
        <v>5000</v>
      </c>
      <c r="D97" s="1" t="s">
        <v>421</v>
      </c>
      <c r="E97" s="1" t="s">
        <v>422</v>
      </c>
      <c r="G97" s="1" t="s">
        <v>423</v>
      </c>
      <c r="H97" s="4"/>
      <c r="I97" s="1">
        <v>8.63734</v>
      </c>
      <c r="K97" s="1">
        <v>17</v>
      </c>
      <c r="M97" s="1" t="s">
        <v>57</v>
      </c>
      <c r="O97" s="1">
        <v>8871.01</v>
      </c>
      <c r="P97" s="5">
        <v>1368.36</v>
      </c>
      <c r="Q97" s="5">
        <v>0</v>
      </c>
      <c r="R97" s="5">
        <v>0</v>
      </c>
      <c r="S97" s="5">
        <v>0</v>
      </c>
      <c r="T97" s="5">
        <v>174.39</v>
      </c>
      <c r="U97" s="5">
        <v>24.78</v>
      </c>
      <c r="V97" s="5">
        <v>712.58</v>
      </c>
      <c r="W97" s="5">
        <v>101.26</v>
      </c>
      <c r="X97" s="5">
        <v>2.16</v>
      </c>
      <c r="Y97" s="5">
        <v>0.31</v>
      </c>
      <c r="Z97" s="5">
        <v>0</v>
      </c>
      <c r="AA97" s="5">
        <v>0</v>
      </c>
      <c r="AB97" s="5">
        <v>672.35</v>
      </c>
      <c r="AC97" s="5">
        <v>52.78</v>
      </c>
      <c r="AD97" s="5">
        <v>11979.980000000001</v>
      </c>
      <c r="AE97" s="5">
        <v>838.75</v>
      </c>
      <c r="AF97" s="5">
        <v>14.604137108792848</v>
      </c>
      <c r="AG97" s="5">
        <v>0.24340228514654746</v>
      </c>
      <c r="AH97" s="5">
        <v>12249.22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-239.82</v>
      </c>
      <c r="AP97" s="5">
        <v>-34.08</v>
      </c>
      <c r="AQ97" s="5">
        <v>0</v>
      </c>
      <c r="AR97" s="5">
        <v>0</v>
      </c>
      <c r="AS97" s="5">
        <v>4.08</v>
      </c>
      <c r="AT97" s="5">
        <v>0.57999999999999996</v>
      </c>
      <c r="AU97" s="5">
        <v>0</v>
      </c>
      <c r="AV97" s="5">
        <v>0</v>
      </c>
      <c r="AW97" s="5">
        <v>0</v>
      </c>
      <c r="AX97" s="5">
        <v>0</v>
      </c>
      <c r="AY97" s="5">
        <v>-269.24</v>
      </c>
      <c r="AZ97" s="5" t="s">
        <v>424</v>
      </c>
    </row>
    <row r="98" spans="1:52" ht="14.85" customHeight="1">
      <c r="A98" s="1" t="s">
        <v>52</v>
      </c>
      <c r="B98" s="1" t="s">
        <v>53</v>
      </c>
      <c r="C98" s="1">
        <v>5010</v>
      </c>
      <c r="D98" s="1" t="s">
        <v>425</v>
      </c>
      <c r="E98" s="1" t="s">
        <v>426</v>
      </c>
      <c r="G98" s="1" t="s">
        <v>427</v>
      </c>
      <c r="H98" s="4"/>
      <c r="I98" s="1">
        <v>8.2386599999999994</v>
      </c>
      <c r="K98" s="1">
        <v>1</v>
      </c>
      <c r="M98" s="1" t="s">
        <v>57</v>
      </c>
      <c r="O98" s="1">
        <v>7960.13</v>
      </c>
      <c r="P98" s="5">
        <v>2617.75</v>
      </c>
      <c r="Q98" s="5">
        <v>0</v>
      </c>
      <c r="R98" s="5">
        <v>0</v>
      </c>
      <c r="S98" s="5">
        <v>0</v>
      </c>
      <c r="T98" s="5">
        <v>1315.63</v>
      </c>
      <c r="U98" s="5">
        <v>388.11</v>
      </c>
      <c r="V98" s="5">
        <v>679.69</v>
      </c>
      <c r="W98" s="5">
        <v>200.51</v>
      </c>
      <c r="X98" s="5">
        <v>22.66</v>
      </c>
      <c r="Y98" s="5">
        <v>6.68</v>
      </c>
      <c r="Z98" s="5">
        <v>82.38</v>
      </c>
      <c r="AA98" s="5">
        <v>19.22</v>
      </c>
      <c r="AB98" s="5">
        <v>604.98</v>
      </c>
      <c r="AC98" s="5">
        <v>46.94</v>
      </c>
      <c r="AD98" s="5">
        <v>13944.680000000002</v>
      </c>
      <c r="AE98" s="5">
        <v>777</v>
      </c>
      <c r="AF98" s="5">
        <v>16.290965250965254</v>
      </c>
      <c r="AG98" s="5">
        <v>0.27151608751608758</v>
      </c>
      <c r="AH98" s="5">
        <v>12658.080000000002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981.73</v>
      </c>
      <c r="AP98" s="5">
        <v>289.61</v>
      </c>
      <c r="AQ98" s="5">
        <v>0</v>
      </c>
      <c r="AR98" s="5">
        <v>0</v>
      </c>
      <c r="AS98" s="5">
        <v>4.08</v>
      </c>
      <c r="AT98" s="5">
        <v>1.2</v>
      </c>
      <c r="AU98" s="5">
        <v>0</v>
      </c>
      <c r="AV98" s="5">
        <v>9.98</v>
      </c>
      <c r="AW98" s="5">
        <v>0</v>
      </c>
      <c r="AX98" s="5">
        <v>0</v>
      </c>
      <c r="AY98" s="5">
        <v>1286.6000000000001</v>
      </c>
      <c r="AZ98" s="5" t="s">
        <v>428</v>
      </c>
    </row>
    <row r="99" spans="1:52" ht="14.85" customHeight="1">
      <c r="A99" s="1" t="s">
        <v>52</v>
      </c>
      <c r="B99" s="1" t="s">
        <v>53</v>
      </c>
      <c r="C99" s="1">
        <v>5040</v>
      </c>
      <c r="D99" s="1" t="s">
        <v>429</v>
      </c>
      <c r="E99" s="1" t="s">
        <v>430</v>
      </c>
      <c r="G99" s="1" t="s">
        <v>431</v>
      </c>
      <c r="H99" s="4"/>
      <c r="I99" s="1">
        <v>1836.65</v>
      </c>
      <c r="K99" s="1">
        <v>15</v>
      </c>
      <c r="M99" s="1" t="s">
        <v>66</v>
      </c>
      <c r="O99" s="1">
        <v>12825.76</v>
      </c>
      <c r="P99" s="5">
        <v>3661.52</v>
      </c>
      <c r="Q99" s="5">
        <v>0</v>
      </c>
      <c r="R99" s="5">
        <v>0</v>
      </c>
      <c r="S99" s="5">
        <v>0</v>
      </c>
      <c r="T99" s="5">
        <v>3085.46</v>
      </c>
      <c r="U99" s="5">
        <v>864.95</v>
      </c>
      <c r="V99" s="5">
        <v>918.32</v>
      </c>
      <c r="W99" s="5">
        <v>257.43</v>
      </c>
      <c r="X99" s="5">
        <v>13.91</v>
      </c>
      <c r="Y99" s="5">
        <v>3.9</v>
      </c>
      <c r="Z99" s="5">
        <v>49.22</v>
      </c>
      <c r="AA99" s="5">
        <v>15.42</v>
      </c>
      <c r="AB99" s="5">
        <v>815.95999999999992</v>
      </c>
      <c r="AC99" s="5">
        <v>63.42</v>
      </c>
      <c r="AD99" s="5">
        <v>22575.269999999997</v>
      </c>
      <c r="AE99" s="5">
        <v>881</v>
      </c>
      <c r="AF99" s="5">
        <v>21.903870601589102</v>
      </c>
      <c r="AG99" s="5">
        <v>0.36506451002648505</v>
      </c>
      <c r="AH99" s="5">
        <v>19297.309999999998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2551.7399999999998</v>
      </c>
      <c r="AP99" s="5">
        <v>715.33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10.89</v>
      </c>
      <c r="AW99" s="5">
        <v>0</v>
      </c>
      <c r="AX99" s="5">
        <v>0</v>
      </c>
      <c r="AY99" s="5">
        <v>3277.9599999999996</v>
      </c>
      <c r="AZ99" s="5" t="s">
        <v>432</v>
      </c>
    </row>
    <row r="100" spans="1:52" ht="14.85" customHeight="1">
      <c r="A100" s="1" t="s">
        <v>52</v>
      </c>
      <c r="B100" s="1" t="s">
        <v>53</v>
      </c>
      <c r="C100" s="1">
        <v>5090</v>
      </c>
      <c r="D100" s="1" t="s">
        <v>433</v>
      </c>
      <c r="E100" s="1" t="s">
        <v>434</v>
      </c>
      <c r="G100" s="1" t="s">
        <v>435</v>
      </c>
      <c r="H100" s="4"/>
      <c r="I100" s="1">
        <v>8.1572700000000005</v>
      </c>
      <c r="K100" s="1">
        <v>2</v>
      </c>
      <c r="M100" s="1" t="s">
        <v>57</v>
      </c>
      <c r="O100" s="1">
        <v>5671.86</v>
      </c>
      <c r="P100" s="5">
        <v>0</v>
      </c>
      <c r="Q100" s="5">
        <v>0</v>
      </c>
      <c r="R100" s="5">
        <v>0</v>
      </c>
      <c r="S100" s="5">
        <v>0</v>
      </c>
      <c r="T100" s="5">
        <v>158.01</v>
      </c>
      <c r="U100" s="5">
        <v>0</v>
      </c>
      <c r="V100" s="5">
        <v>531.30999999999995</v>
      </c>
      <c r="W100" s="5">
        <v>0</v>
      </c>
      <c r="X100" s="5">
        <v>32.630000000000003</v>
      </c>
      <c r="Y100" s="5">
        <v>0</v>
      </c>
      <c r="Z100" s="5">
        <v>62.26</v>
      </c>
      <c r="AA100" s="5">
        <v>6.88</v>
      </c>
      <c r="AB100" s="5">
        <v>449.22999999999996</v>
      </c>
      <c r="AC100" s="5">
        <v>39.35</v>
      </c>
      <c r="AD100" s="5">
        <v>6951.5300000000007</v>
      </c>
      <c r="AE100" s="5">
        <v>531.5</v>
      </c>
      <c r="AF100" s="5">
        <v>13.660752587017875</v>
      </c>
      <c r="AG100" s="5">
        <v>0.22767920978363124</v>
      </c>
      <c r="AH100" s="5">
        <v>7260.69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-306.06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-3.1</v>
      </c>
      <c r="AW100" s="5">
        <v>0</v>
      </c>
      <c r="AX100" s="5">
        <v>0</v>
      </c>
      <c r="AY100" s="5">
        <v>-309.16000000000003</v>
      </c>
      <c r="AZ100" s="5" t="s">
        <v>436</v>
      </c>
    </row>
    <row r="101" spans="1:52" ht="14.85" customHeight="1">
      <c r="A101" s="1" t="s">
        <v>52</v>
      </c>
      <c r="B101" s="1" t="s">
        <v>53</v>
      </c>
      <c r="C101" s="1">
        <v>5110</v>
      </c>
      <c r="D101" s="1" t="s">
        <v>437</v>
      </c>
      <c r="E101" s="1" t="s">
        <v>438</v>
      </c>
      <c r="G101" s="1" t="s">
        <v>439</v>
      </c>
      <c r="H101" s="4"/>
      <c r="I101" s="1">
        <v>2275.2600000000002</v>
      </c>
      <c r="K101" s="1">
        <v>13</v>
      </c>
      <c r="M101" s="1" t="s">
        <v>66</v>
      </c>
      <c r="O101" s="1">
        <v>14556.27</v>
      </c>
      <c r="P101" s="5">
        <v>4111.1900000000005</v>
      </c>
      <c r="Q101" s="5">
        <v>0</v>
      </c>
      <c r="R101" s="5">
        <v>0</v>
      </c>
      <c r="S101" s="5">
        <v>0</v>
      </c>
      <c r="T101" s="5">
        <v>2082.48</v>
      </c>
      <c r="U101" s="5">
        <v>583.78</v>
      </c>
      <c r="V101" s="5">
        <v>1137.6300000000001</v>
      </c>
      <c r="W101" s="5">
        <v>318.91000000000003</v>
      </c>
      <c r="X101" s="5">
        <v>0</v>
      </c>
      <c r="Y101" s="5">
        <v>0</v>
      </c>
      <c r="Z101" s="5">
        <v>69.05</v>
      </c>
      <c r="AA101" s="5">
        <v>15.4</v>
      </c>
      <c r="AB101" s="5">
        <v>1026.6300000000001</v>
      </c>
      <c r="AC101" s="5">
        <v>78.569999999999993</v>
      </c>
      <c r="AD101" s="5">
        <v>23979.91</v>
      </c>
      <c r="AE101" s="5">
        <v>692.75</v>
      </c>
      <c r="AF101" s="5">
        <v>30.402887044388304</v>
      </c>
      <c r="AG101" s="5">
        <v>0.50671478407313841</v>
      </c>
      <c r="AH101" s="5">
        <v>21061.599999999999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2029.53</v>
      </c>
      <c r="AP101" s="5">
        <v>568.94000000000005</v>
      </c>
      <c r="AQ101" s="5">
        <v>0</v>
      </c>
      <c r="AR101" s="5">
        <v>0</v>
      </c>
      <c r="AS101" s="5">
        <v>241.32</v>
      </c>
      <c r="AT101" s="5">
        <v>67.650000000000006</v>
      </c>
      <c r="AU101" s="5">
        <v>0</v>
      </c>
      <c r="AV101" s="5">
        <v>10.87</v>
      </c>
      <c r="AW101" s="5">
        <v>0</v>
      </c>
      <c r="AX101" s="5">
        <v>0</v>
      </c>
      <c r="AY101" s="5">
        <v>2918.3100000000004</v>
      </c>
      <c r="AZ101" s="5" t="s">
        <v>440</v>
      </c>
    </row>
    <row r="102" spans="1:52" ht="14.85" customHeight="1">
      <c r="A102" s="1" t="s">
        <v>52</v>
      </c>
      <c r="B102" s="1" t="s">
        <v>53</v>
      </c>
      <c r="C102" s="1">
        <v>5170</v>
      </c>
      <c r="D102" s="1" t="s">
        <v>441</v>
      </c>
      <c r="E102" s="1" t="s">
        <v>442</v>
      </c>
      <c r="G102" s="1" t="s">
        <v>443</v>
      </c>
      <c r="H102" s="4"/>
      <c r="I102" s="1">
        <v>8.1572700000000005</v>
      </c>
      <c r="K102" s="1">
        <v>1</v>
      </c>
      <c r="M102" s="1" t="s">
        <v>57</v>
      </c>
      <c r="O102" s="1">
        <v>6467.01</v>
      </c>
      <c r="P102" s="5">
        <v>-907.2</v>
      </c>
      <c r="Q102" s="5">
        <v>0</v>
      </c>
      <c r="R102" s="5">
        <v>0</v>
      </c>
      <c r="S102" s="5">
        <v>0</v>
      </c>
      <c r="T102" s="5">
        <v>-220.57</v>
      </c>
      <c r="U102" s="5">
        <v>0</v>
      </c>
      <c r="V102" s="5">
        <v>560.80999999999995</v>
      </c>
      <c r="W102" s="5">
        <v>0</v>
      </c>
      <c r="X102" s="5">
        <v>0</v>
      </c>
      <c r="Y102" s="5">
        <v>0</v>
      </c>
      <c r="Z102" s="5">
        <v>61.59</v>
      </c>
      <c r="AA102" s="5">
        <v>3.24</v>
      </c>
      <c r="AB102" s="5">
        <v>503.71</v>
      </c>
      <c r="AC102" s="5">
        <v>41.54</v>
      </c>
      <c r="AD102" s="5">
        <v>6510.130000000001</v>
      </c>
      <c r="AE102" s="5">
        <v>561.25</v>
      </c>
      <c r="AF102" s="5">
        <v>12.094699331848554</v>
      </c>
      <c r="AG102" s="5">
        <v>0.2015783221974759</v>
      </c>
      <c r="AH102" s="5">
        <v>6788.1500000000015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-275.23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-2.79</v>
      </c>
      <c r="AW102" s="5">
        <v>0</v>
      </c>
      <c r="AX102" s="5">
        <v>0</v>
      </c>
      <c r="AY102" s="5">
        <v>-278.02000000000004</v>
      </c>
      <c r="AZ102" s="5" t="s">
        <v>444</v>
      </c>
    </row>
    <row r="103" spans="1:52" ht="14.85" customHeight="1">
      <c r="A103" s="1" t="s">
        <v>52</v>
      </c>
      <c r="B103" s="1" t="s">
        <v>53</v>
      </c>
      <c r="C103" s="1">
        <v>5250</v>
      </c>
      <c r="D103" s="1" t="s">
        <v>445</v>
      </c>
      <c r="E103" s="1" t="s">
        <v>446</v>
      </c>
      <c r="G103" s="1" t="s">
        <v>447</v>
      </c>
      <c r="H103" s="4"/>
      <c r="I103" s="1">
        <v>9.8887300000000007</v>
      </c>
      <c r="K103" s="1">
        <v>1</v>
      </c>
      <c r="M103" s="1" t="s">
        <v>57</v>
      </c>
      <c r="O103" s="1">
        <v>9850.1</v>
      </c>
      <c r="P103" s="5">
        <v>1356.49</v>
      </c>
      <c r="Q103" s="5">
        <v>0</v>
      </c>
      <c r="R103" s="5">
        <v>0</v>
      </c>
      <c r="S103" s="5">
        <v>0</v>
      </c>
      <c r="T103" s="5">
        <v>563.26</v>
      </c>
      <c r="U103" s="5">
        <v>154.9</v>
      </c>
      <c r="V103" s="5">
        <v>815.82</v>
      </c>
      <c r="W103" s="5">
        <v>224.35</v>
      </c>
      <c r="X103" s="5">
        <v>22.25</v>
      </c>
      <c r="Y103" s="5">
        <v>6.12</v>
      </c>
      <c r="Z103" s="5">
        <v>0</v>
      </c>
      <c r="AA103" s="5">
        <v>0</v>
      </c>
      <c r="AB103" s="5">
        <v>715.2</v>
      </c>
      <c r="AC103" s="5">
        <v>56.35</v>
      </c>
      <c r="AD103" s="5">
        <v>13764.840000000002</v>
      </c>
      <c r="AE103" s="5">
        <v>864.75</v>
      </c>
      <c r="AF103" s="5">
        <v>15.628308759757157</v>
      </c>
      <c r="AG103" s="5">
        <v>0.26047181266261926</v>
      </c>
      <c r="AH103" s="5">
        <v>13514.580000000002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220.9</v>
      </c>
      <c r="AP103" s="5">
        <v>26.97</v>
      </c>
      <c r="AQ103" s="5">
        <v>0</v>
      </c>
      <c r="AR103" s="5">
        <v>0</v>
      </c>
      <c r="AS103" s="5">
        <v>2.13</v>
      </c>
      <c r="AT103" s="5">
        <v>0.26</v>
      </c>
      <c r="AU103" s="5">
        <v>0</v>
      </c>
      <c r="AV103" s="5">
        <v>0</v>
      </c>
      <c r="AW103" s="5">
        <v>0</v>
      </c>
      <c r="AX103" s="5">
        <v>0</v>
      </c>
      <c r="AY103" s="5">
        <v>250.26</v>
      </c>
      <c r="AZ103" s="5" t="s">
        <v>448</v>
      </c>
    </row>
    <row r="104" spans="1:52" ht="14.85" customHeight="1">
      <c r="A104" s="1" t="s">
        <v>52</v>
      </c>
      <c r="B104" s="1" t="s">
        <v>53</v>
      </c>
      <c r="C104" s="1">
        <v>5290</v>
      </c>
      <c r="D104" s="1" t="s">
        <v>449</v>
      </c>
      <c r="E104" s="1" t="s">
        <v>450</v>
      </c>
      <c r="G104" s="1" t="s">
        <v>451</v>
      </c>
      <c r="H104" s="4"/>
      <c r="I104" s="1">
        <v>8.1572700000000005</v>
      </c>
      <c r="K104" s="1">
        <v>2</v>
      </c>
      <c r="M104" s="1" t="s">
        <v>57</v>
      </c>
      <c r="O104" s="1">
        <v>6104.28</v>
      </c>
      <c r="P104" s="5">
        <v>67.099999999999994</v>
      </c>
      <c r="Q104" s="5">
        <v>0</v>
      </c>
      <c r="R104" s="5">
        <v>0</v>
      </c>
      <c r="S104" s="5">
        <v>0</v>
      </c>
      <c r="T104" s="5">
        <v>396.85</v>
      </c>
      <c r="U104" s="5">
        <v>0</v>
      </c>
      <c r="V104" s="5">
        <v>531.30999999999995</v>
      </c>
      <c r="W104" s="5">
        <v>0</v>
      </c>
      <c r="X104" s="5">
        <v>63.22</v>
      </c>
      <c r="Y104" s="5">
        <v>0</v>
      </c>
      <c r="Z104" s="5">
        <v>68.349999999999994</v>
      </c>
      <c r="AA104" s="5">
        <v>9.44</v>
      </c>
      <c r="AB104" s="5">
        <v>503.46</v>
      </c>
      <c r="AC104" s="5">
        <v>39.35</v>
      </c>
      <c r="AD104" s="5">
        <v>7783.3600000000015</v>
      </c>
      <c r="AE104" s="5">
        <v>545.5</v>
      </c>
      <c r="AF104" s="5">
        <v>14.139761686526127</v>
      </c>
      <c r="AG104" s="5">
        <v>0.23566269477543544</v>
      </c>
      <c r="AH104" s="5">
        <v>7713.2400000000016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40.869999999999997</v>
      </c>
      <c r="AP104" s="5">
        <v>0</v>
      </c>
      <c r="AQ104" s="5">
        <v>0</v>
      </c>
      <c r="AR104" s="5">
        <v>0</v>
      </c>
      <c r="AS104" s="5">
        <v>28.55</v>
      </c>
      <c r="AT104" s="5">
        <v>0</v>
      </c>
      <c r="AU104" s="5">
        <v>0</v>
      </c>
      <c r="AV104" s="5">
        <v>0.7</v>
      </c>
      <c r="AW104" s="5">
        <v>0</v>
      </c>
      <c r="AX104" s="5">
        <v>0</v>
      </c>
      <c r="AY104" s="5">
        <v>70.12</v>
      </c>
      <c r="AZ104" s="5" t="s">
        <v>452</v>
      </c>
    </row>
    <row r="105" spans="1:52" ht="14.85" customHeight="1">
      <c r="A105" s="1" t="s">
        <v>52</v>
      </c>
      <c r="B105" s="1" t="s">
        <v>53</v>
      </c>
      <c r="C105" s="1">
        <v>5300</v>
      </c>
      <c r="D105" s="1" t="s">
        <v>453</v>
      </c>
      <c r="E105" s="1" t="s">
        <v>454</v>
      </c>
      <c r="G105" s="1" t="s">
        <v>443</v>
      </c>
      <c r="H105" s="4"/>
      <c r="I105" s="1">
        <v>8.1572700000000005</v>
      </c>
      <c r="K105" s="1">
        <v>2</v>
      </c>
      <c r="M105" s="1" t="s">
        <v>57</v>
      </c>
      <c r="O105" s="1">
        <v>6691.22</v>
      </c>
      <c r="P105" s="5">
        <v>2107.4899999999998</v>
      </c>
      <c r="Q105" s="5">
        <v>0</v>
      </c>
      <c r="R105" s="5">
        <v>0</v>
      </c>
      <c r="S105" s="5">
        <v>0</v>
      </c>
      <c r="T105" s="5">
        <v>29.37</v>
      </c>
      <c r="U105" s="5">
        <v>8.66</v>
      </c>
      <c r="V105" s="5">
        <v>672.97</v>
      </c>
      <c r="W105" s="5">
        <v>198.53</v>
      </c>
      <c r="X105" s="5">
        <v>34.67</v>
      </c>
      <c r="Y105" s="5">
        <v>10.23</v>
      </c>
      <c r="Z105" s="5">
        <v>68.02</v>
      </c>
      <c r="AA105" s="5">
        <v>7.02</v>
      </c>
      <c r="AB105" s="5">
        <v>597.93999999999994</v>
      </c>
      <c r="AC105" s="5">
        <v>46.47</v>
      </c>
      <c r="AD105" s="5">
        <v>10472.59</v>
      </c>
      <c r="AE105" s="5">
        <v>627.5</v>
      </c>
      <c r="AF105" s="5">
        <v>17.930772908366531</v>
      </c>
      <c r="AG105" s="5">
        <v>0.29884621513944221</v>
      </c>
      <c r="AH105" s="5">
        <v>11251.56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-601.52</v>
      </c>
      <c r="AP105" s="5">
        <v>-177.45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-778.97</v>
      </c>
      <c r="AZ105" s="5" t="s">
        <v>455</v>
      </c>
    </row>
    <row r="106" spans="1:52" ht="14.85" customHeight="1">
      <c r="A106" s="1" t="s">
        <v>52</v>
      </c>
      <c r="B106" s="1" t="s">
        <v>53</v>
      </c>
      <c r="C106" s="1">
        <v>5320</v>
      </c>
      <c r="D106" s="1" t="s">
        <v>456</v>
      </c>
      <c r="E106" s="1" t="s">
        <v>457</v>
      </c>
      <c r="F106" s="1" t="s">
        <v>91</v>
      </c>
      <c r="G106" s="1" t="s">
        <v>451</v>
      </c>
      <c r="H106" s="4" t="s">
        <v>458</v>
      </c>
      <c r="I106" s="1">
        <v>1345.95</v>
      </c>
      <c r="K106" s="1">
        <v>6</v>
      </c>
      <c r="M106" s="1" t="s">
        <v>57</v>
      </c>
      <c r="O106" s="1">
        <v>1196.5899999999999</v>
      </c>
      <c r="P106" s="5">
        <v>760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12.88</v>
      </c>
      <c r="AA106" s="5">
        <v>0</v>
      </c>
      <c r="AB106" s="5">
        <v>67.78</v>
      </c>
      <c r="AC106" s="5">
        <v>0</v>
      </c>
      <c r="AD106" s="5">
        <v>2037.25</v>
      </c>
      <c r="AE106" s="5">
        <v>63</v>
      </c>
      <c r="AF106" s="5">
        <v>40.508412698412691</v>
      </c>
      <c r="AG106" s="5">
        <v>0.67514021164021154</v>
      </c>
      <c r="AH106" s="5">
        <v>2552.0299999999997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-507.3</v>
      </c>
      <c r="AP106" s="5">
        <v>-7.48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-514.78</v>
      </c>
      <c r="AZ106" s="5" t="s">
        <v>459</v>
      </c>
    </row>
    <row r="107" spans="1:52" ht="14.85" customHeight="1">
      <c r="A107" s="1" t="s">
        <v>52</v>
      </c>
      <c r="B107" s="1" t="s">
        <v>53</v>
      </c>
      <c r="C107" s="1">
        <v>5330</v>
      </c>
      <c r="D107" s="1" t="s">
        <v>460</v>
      </c>
      <c r="E107" s="1" t="s">
        <v>461</v>
      </c>
      <c r="G107" s="1" t="s">
        <v>462</v>
      </c>
      <c r="H107" s="4"/>
      <c r="I107" s="1">
        <v>1515.09</v>
      </c>
      <c r="K107" s="1">
        <v>13</v>
      </c>
      <c r="M107" s="1" t="s">
        <v>388</v>
      </c>
      <c r="N107" s="1" t="s">
        <v>463</v>
      </c>
      <c r="O107" s="1">
        <v>10167.67</v>
      </c>
      <c r="P107" s="5">
        <v>1280.7</v>
      </c>
      <c r="Q107" s="5">
        <v>0</v>
      </c>
      <c r="R107" s="5">
        <v>0</v>
      </c>
      <c r="S107" s="5">
        <v>0</v>
      </c>
      <c r="T107" s="5">
        <v>1728.76</v>
      </c>
      <c r="U107" s="5">
        <v>220.3</v>
      </c>
      <c r="V107" s="5">
        <v>757.54</v>
      </c>
      <c r="W107" s="5">
        <v>96.53</v>
      </c>
      <c r="X107" s="5">
        <v>52.8</v>
      </c>
      <c r="Y107" s="5">
        <v>6.73</v>
      </c>
      <c r="Z107" s="5">
        <v>0</v>
      </c>
      <c r="AA107" s="5">
        <v>0</v>
      </c>
      <c r="AB107" s="5">
        <v>720.99</v>
      </c>
      <c r="AC107" s="5">
        <v>56.11</v>
      </c>
      <c r="AD107" s="5">
        <v>15088.13</v>
      </c>
      <c r="AE107" s="5">
        <v>863.75</v>
      </c>
      <c r="AF107" s="5">
        <v>16.337736613603475</v>
      </c>
      <c r="AG107" s="5">
        <v>0.2722956102267246</v>
      </c>
      <c r="AH107" s="5">
        <v>14111.72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866.05</v>
      </c>
      <c r="AP107" s="5">
        <v>110.36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976.41</v>
      </c>
      <c r="AZ107" s="5" t="s">
        <v>464</v>
      </c>
    </row>
    <row r="108" spans="1:52" ht="14.85" customHeight="1">
      <c r="A108" s="1" t="s">
        <v>52</v>
      </c>
      <c r="B108" s="1" t="s">
        <v>53</v>
      </c>
      <c r="C108" s="1">
        <v>5340</v>
      </c>
      <c r="D108" s="1" t="s">
        <v>465</v>
      </c>
      <c r="E108" s="1" t="s">
        <v>466</v>
      </c>
      <c r="G108" s="1" t="s">
        <v>467</v>
      </c>
      <c r="H108" s="4"/>
      <c r="I108" s="1">
        <v>3192.21</v>
      </c>
      <c r="K108" s="1">
        <v>14</v>
      </c>
      <c r="M108" s="1" t="s">
        <v>75</v>
      </c>
      <c r="O108" s="1">
        <v>23556.31</v>
      </c>
      <c r="P108" s="5">
        <v>6251.7</v>
      </c>
      <c r="Q108" s="5">
        <v>1000</v>
      </c>
      <c r="R108" s="5">
        <v>1365.62</v>
      </c>
      <c r="S108" s="5">
        <v>0</v>
      </c>
      <c r="T108" s="5">
        <v>2261.25</v>
      </c>
      <c r="U108" s="5">
        <v>623.04</v>
      </c>
      <c r="V108" s="5">
        <v>1596.11</v>
      </c>
      <c r="W108" s="5">
        <v>439.78</v>
      </c>
      <c r="X108" s="5">
        <v>0</v>
      </c>
      <c r="Y108" s="5">
        <v>0</v>
      </c>
      <c r="Z108" s="5">
        <v>86.16</v>
      </c>
      <c r="AA108" s="5">
        <v>14.81</v>
      </c>
      <c r="AB108" s="5">
        <v>16.45</v>
      </c>
      <c r="AC108" s="5">
        <v>110.24</v>
      </c>
      <c r="AD108" s="5">
        <v>36321.47</v>
      </c>
      <c r="AE108" s="5">
        <v>863.75</v>
      </c>
      <c r="AF108" s="5">
        <v>39.506535455861076</v>
      </c>
      <c r="AG108" s="5">
        <v>0.6584422575976846</v>
      </c>
      <c r="AH108" s="5">
        <v>34123.770000000004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1717.8</v>
      </c>
      <c r="AP108" s="5">
        <v>473.31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6.59</v>
      </c>
      <c r="AW108" s="5">
        <v>0</v>
      </c>
      <c r="AX108" s="5">
        <v>0</v>
      </c>
      <c r="AY108" s="5">
        <v>2197.7000000000003</v>
      </c>
      <c r="AZ108" s="5" t="s">
        <v>468</v>
      </c>
    </row>
    <row r="109" spans="1:52" ht="14.85" customHeight="1">
      <c r="A109" s="1" t="s">
        <v>52</v>
      </c>
      <c r="B109" s="1" t="s">
        <v>53</v>
      </c>
      <c r="C109" s="1">
        <v>5350</v>
      </c>
      <c r="D109" s="1" t="s">
        <v>469</v>
      </c>
      <c r="E109" s="1" t="s">
        <v>470</v>
      </c>
      <c r="G109" s="1" t="s">
        <v>471</v>
      </c>
      <c r="H109" s="4"/>
      <c r="I109" s="1">
        <v>1345.95</v>
      </c>
      <c r="K109" s="1">
        <v>6</v>
      </c>
      <c r="M109" s="1" t="s">
        <v>57</v>
      </c>
      <c r="O109" s="1">
        <v>7748.46</v>
      </c>
      <c r="P109" s="5">
        <v>136.19999999999999</v>
      </c>
      <c r="Q109" s="5">
        <v>0</v>
      </c>
      <c r="R109" s="5">
        <v>0</v>
      </c>
      <c r="S109" s="5">
        <v>0</v>
      </c>
      <c r="T109" s="5">
        <v>652.16999999999996</v>
      </c>
      <c r="U109" s="5">
        <v>9.6199999999999992</v>
      </c>
      <c r="V109" s="5">
        <v>619.88</v>
      </c>
      <c r="W109" s="5">
        <v>9.14</v>
      </c>
      <c r="X109" s="5">
        <v>0</v>
      </c>
      <c r="Y109" s="5">
        <v>0</v>
      </c>
      <c r="Z109" s="5">
        <v>77.849999999999994</v>
      </c>
      <c r="AA109" s="5">
        <v>12.12</v>
      </c>
      <c r="AB109" s="5">
        <v>588.12</v>
      </c>
      <c r="AC109" s="5">
        <v>45.78</v>
      </c>
      <c r="AD109" s="5">
        <v>9899.340000000002</v>
      </c>
      <c r="AE109" s="5">
        <v>813</v>
      </c>
      <c r="AF109" s="5">
        <v>11.938413284132844</v>
      </c>
      <c r="AG109" s="5">
        <v>0.1989735547355474</v>
      </c>
      <c r="AH109" s="5">
        <v>9705.9300000000021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190.47</v>
      </c>
      <c r="AP109" s="5">
        <v>2.94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193.41</v>
      </c>
      <c r="AZ109" s="5" t="s">
        <v>472</v>
      </c>
    </row>
    <row r="110" spans="1:52" ht="14.85" customHeight="1">
      <c r="A110" s="1" t="s">
        <v>52</v>
      </c>
      <c r="B110" s="1" t="s">
        <v>53</v>
      </c>
      <c r="C110" s="1">
        <v>5370</v>
      </c>
      <c r="D110" s="1" t="s">
        <v>473</v>
      </c>
      <c r="E110" s="1" t="s">
        <v>293</v>
      </c>
      <c r="G110" s="1" t="s">
        <v>474</v>
      </c>
      <c r="H110" s="4"/>
      <c r="I110" s="1">
        <v>8.1572700000000005</v>
      </c>
      <c r="K110" s="1">
        <v>2</v>
      </c>
      <c r="M110" s="1" t="s">
        <v>57</v>
      </c>
      <c r="O110" s="1">
        <v>3957.75</v>
      </c>
      <c r="P110" s="5">
        <v>0</v>
      </c>
      <c r="Q110" s="5">
        <v>0</v>
      </c>
      <c r="R110" s="5">
        <v>0</v>
      </c>
      <c r="S110" s="5">
        <v>0</v>
      </c>
      <c r="T110" s="5">
        <v>450.85</v>
      </c>
      <c r="U110" s="5">
        <v>0</v>
      </c>
      <c r="V110" s="5">
        <v>371.89</v>
      </c>
      <c r="W110" s="5">
        <v>0</v>
      </c>
      <c r="X110" s="5">
        <v>59.14</v>
      </c>
      <c r="Y110" s="5">
        <v>0</v>
      </c>
      <c r="Z110" s="5">
        <v>42.73</v>
      </c>
      <c r="AA110" s="5">
        <v>8.4</v>
      </c>
      <c r="AB110" s="5">
        <v>351.07</v>
      </c>
      <c r="AC110" s="5">
        <v>27.54</v>
      </c>
      <c r="AD110" s="5">
        <v>5269.37</v>
      </c>
      <c r="AE110" s="5">
        <v>385.5</v>
      </c>
      <c r="AF110" s="5">
        <v>13.008249027237355</v>
      </c>
      <c r="AG110" s="5">
        <v>0.2168041504539559</v>
      </c>
      <c r="AH110" s="5">
        <v>5014.68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252.14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2.5499999999999998</v>
      </c>
      <c r="AW110" s="5">
        <v>0</v>
      </c>
      <c r="AX110" s="5">
        <v>0</v>
      </c>
      <c r="AY110" s="5">
        <v>254.69</v>
      </c>
      <c r="AZ110" s="5" t="s">
        <v>475</v>
      </c>
    </row>
    <row r="111" spans="1:52" ht="14.85" customHeight="1">
      <c r="A111" s="1" t="s">
        <v>52</v>
      </c>
      <c r="B111" s="1" t="s">
        <v>53</v>
      </c>
      <c r="C111" s="1">
        <v>5400</v>
      </c>
      <c r="D111" s="1" t="s">
        <v>476</v>
      </c>
      <c r="E111" s="1" t="s">
        <v>477</v>
      </c>
      <c r="G111" s="1" t="s">
        <v>478</v>
      </c>
      <c r="H111" s="4"/>
      <c r="I111" s="1">
        <v>7.3415400000000002</v>
      </c>
      <c r="K111" s="1">
        <v>1</v>
      </c>
      <c r="M111" s="1" t="s">
        <v>479</v>
      </c>
      <c r="O111" s="1">
        <v>7392.48</v>
      </c>
      <c r="P111" s="5">
        <v>1116.3900000000001</v>
      </c>
      <c r="Q111" s="5">
        <v>0</v>
      </c>
      <c r="R111" s="5">
        <v>0</v>
      </c>
      <c r="S111" s="5">
        <v>0</v>
      </c>
      <c r="T111" s="5">
        <v>483.81</v>
      </c>
      <c r="U111" s="5">
        <v>68.75</v>
      </c>
      <c r="V111" s="5">
        <v>597.67999999999995</v>
      </c>
      <c r="W111" s="5">
        <v>84.93</v>
      </c>
      <c r="X111" s="5">
        <v>0</v>
      </c>
      <c r="Y111" s="5">
        <v>0</v>
      </c>
      <c r="Z111" s="5">
        <v>0</v>
      </c>
      <c r="AA111" s="5">
        <v>0</v>
      </c>
      <c r="AB111" s="5">
        <v>563.44999999999993</v>
      </c>
      <c r="AC111" s="5">
        <v>44.27</v>
      </c>
      <c r="AD111" s="5">
        <v>10351.76</v>
      </c>
      <c r="AE111" s="5">
        <v>795.75</v>
      </c>
      <c r="AF111" s="5">
        <v>12.950122525918944</v>
      </c>
      <c r="AG111" s="5">
        <v>0.21583537543198242</v>
      </c>
      <c r="AH111" s="5">
        <v>10305.06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40.89</v>
      </c>
      <c r="AP111" s="5">
        <v>5.81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46.7</v>
      </c>
      <c r="AZ111" s="5" t="s">
        <v>480</v>
      </c>
    </row>
    <row r="112" spans="1:52" ht="14.85" customHeight="1">
      <c r="A112" s="1" t="s">
        <v>52</v>
      </c>
      <c r="B112" s="1" t="s">
        <v>53</v>
      </c>
      <c r="C112" s="1">
        <v>5410</v>
      </c>
      <c r="D112" s="1" t="s">
        <v>481</v>
      </c>
      <c r="E112" s="1" t="s">
        <v>482</v>
      </c>
      <c r="G112" s="1" t="s">
        <v>478</v>
      </c>
      <c r="H112" s="4"/>
      <c r="I112" s="1">
        <v>9.8887300000000007</v>
      </c>
      <c r="K112" s="1">
        <v>1</v>
      </c>
      <c r="M112" s="1" t="s">
        <v>57</v>
      </c>
      <c r="O112" s="1">
        <v>9664.14</v>
      </c>
      <c r="P112" s="5">
        <v>1466.57</v>
      </c>
      <c r="Q112" s="5">
        <v>0</v>
      </c>
      <c r="R112" s="5">
        <v>0</v>
      </c>
      <c r="S112" s="5">
        <v>0</v>
      </c>
      <c r="T112" s="5">
        <v>1707.09</v>
      </c>
      <c r="U112" s="5">
        <v>242.58</v>
      </c>
      <c r="V112" s="5">
        <v>815.82</v>
      </c>
      <c r="W112" s="5">
        <v>115.93</v>
      </c>
      <c r="X112" s="5">
        <v>42.03</v>
      </c>
      <c r="Y112" s="5">
        <v>5.97</v>
      </c>
      <c r="Z112" s="5">
        <v>0</v>
      </c>
      <c r="AA112" s="5">
        <v>0</v>
      </c>
      <c r="AB112" s="5">
        <v>722.19</v>
      </c>
      <c r="AC112" s="5">
        <v>60.43</v>
      </c>
      <c r="AD112" s="5">
        <v>14842.75</v>
      </c>
      <c r="AE112" s="5">
        <v>915.75</v>
      </c>
      <c r="AF112" s="5">
        <v>15.262757302757304</v>
      </c>
      <c r="AG112" s="5">
        <v>0.25437928837928842</v>
      </c>
      <c r="AH112" s="5">
        <v>13976.87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762.42</v>
      </c>
      <c r="AP112" s="5">
        <v>108.34</v>
      </c>
      <c r="AQ112" s="5">
        <v>0</v>
      </c>
      <c r="AR112" s="5">
        <v>0</v>
      </c>
      <c r="AS112" s="5">
        <v>-4.2699999999999996</v>
      </c>
      <c r="AT112" s="5">
        <v>-0.61</v>
      </c>
      <c r="AU112" s="5">
        <v>0</v>
      </c>
      <c r="AV112" s="5">
        <v>0</v>
      </c>
      <c r="AW112" s="5">
        <v>0</v>
      </c>
      <c r="AX112" s="5">
        <v>0</v>
      </c>
      <c r="AY112" s="5">
        <v>865.88</v>
      </c>
      <c r="AZ112" s="5" t="s">
        <v>483</v>
      </c>
    </row>
    <row r="113" spans="1:52" ht="14.85" customHeight="1">
      <c r="A113" s="1" t="s">
        <v>52</v>
      </c>
      <c r="B113" s="1" t="s">
        <v>53</v>
      </c>
      <c r="C113" s="1">
        <v>5420</v>
      </c>
      <c r="D113" s="1" t="s">
        <v>484</v>
      </c>
      <c r="E113" s="1" t="s">
        <v>73</v>
      </c>
      <c r="G113" s="1" t="s">
        <v>485</v>
      </c>
      <c r="H113" s="4"/>
      <c r="I113" s="1">
        <v>8.1572700000000005</v>
      </c>
      <c r="K113" s="1">
        <v>1</v>
      </c>
      <c r="M113" s="1" t="s">
        <v>57</v>
      </c>
      <c r="O113" s="1">
        <v>3043.3</v>
      </c>
      <c r="P113" s="5">
        <v>0</v>
      </c>
      <c r="Q113" s="5">
        <v>0</v>
      </c>
      <c r="R113" s="5">
        <v>0</v>
      </c>
      <c r="S113" s="5">
        <v>0</v>
      </c>
      <c r="T113" s="5">
        <v>352.48</v>
      </c>
      <c r="U113" s="5">
        <v>0</v>
      </c>
      <c r="V113" s="5">
        <v>371.89</v>
      </c>
      <c r="W113" s="5">
        <v>0</v>
      </c>
      <c r="X113" s="5">
        <v>2.04</v>
      </c>
      <c r="Y113" s="5">
        <v>0</v>
      </c>
      <c r="Z113" s="5">
        <v>46.73</v>
      </c>
      <c r="AA113" s="5">
        <v>6.92</v>
      </c>
      <c r="AB113" s="5">
        <v>350.26</v>
      </c>
      <c r="AC113" s="5">
        <v>27.54</v>
      </c>
      <c r="AD113" s="5">
        <v>4201.16</v>
      </c>
      <c r="AE113" s="5">
        <v>167.25</v>
      </c>
      <c r="AF113" s="5">
        <v>24.929327354260092</v>
      </c>
      <c r="AG113" s="5">
        <v>0.41548878923766819</v>
      </c>
      <c r="AH113" s="5">
        <v>4169.43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29.37</v>
      </c>
      <c r="AP113" s="5">
        <v>0</v>
      </c>
      <c r="AQ113" s="5">
        <v>0</v>
      </c>
      <c r="AR113" s="5">
        <v>0</v>
      </c>
      <c r="AS113" s="5">
        <v>2.04</v>
      </c>
      <c r="AT113" s="5">
        <v>0</v>
      </c>
      <c r="AU113" s="5">
        <v>0</v>
      </c>
      <c r="AV113" s="5">
        <v>0.32</v>
      </c>
      <c r="AW113" s="5">
        <v>0</v>
      </c>
      <c r="AX113" s="5">
        <v>0</v>
      </c>
      <c r="AY113" s="5">
        <v>31.73</v>
      </c>
      <c r="AZ113" s="5" t="s">
        <v>486</v>
      </c>
    </row>
    <row r="114" spans="1:52" ht="14.85" customHeight="1">
      <c r="A114" s="1" t="s">
        <v>52</v>
      </c>
      <c r="B114" s="1" t="s">
        <v>53</v>
      </c>
      <c r="C114" s="1">
        <v>5430</v>
      </c>
      <c r="D114" s="1" t="s">
        <v>487</v>
      </c>
      <c r="E114" s="1" t="s">
        <v>488</v>
      </c>
      <c r="G114" s="1" t="s">
        <v>489</v>
      </c>
      <c r="H114" s="4"/>
      <c r="I114" s="1">
        <v>1345.95</v>
      </c>
      <c r="K114" s="1">
        <v>6</v>
      </c>
      <c r="M114" s="1" t="s">
        <v>57</v>
      </c>
      <c r="O114" s="1">
        <v>6857.44</v>
      </c>
      <c r="P114" s="5">
        <v>118</v>
      </c>
      <c r="Q114" s="5">
        <v>0</v>
      </c>
      <c r="R114" s="5">
        <v>0</v>
      </c>
      <c r="S114" s="5">
        <v>0</v>
      </c>
      <c r="T114" s="5">
        <v>-343.83</v>
      </c>
      <c r="U114" s="5">
        <v>-5.07</v>
      </c>
      <c r="V114" s="5">
        <v>619.88</v>
      </c>
      <c r="W114" s="5">
        <v>9.14</v>
      </c>
      <c r="X114" s="5">
        <v>8.16</v>
      </c>
      <c r="Y114" s="5">
        <v>0.12</v>
      </c>
      <c r="Z114" s="5">
        <v>69.930000000000007</v>
      </c>
      <c r="AA114" s="5">
        <v>2.71</v>
      </c>
      <c r="AB114" s="5">
        <v>530.87</v>
      </c>
      <c r="AC114" s="5">
        <v>45.78</v>
      </c>
      <c r="AD114" s="5">
        <v>7913.13</v>
      </c>
      <c r="AE114" s="5">
        <v>659.75</v>
      </c>
      <c r="AF114" s="5">
        <v>13.174323607427056</v>
      </c>
      <c r="AG114" s="5">
        <v>0.21957206012378425</v>
      </c>
      <c r="AH114" s="5">
        <v>8691.76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-766.78</v>
      </c>
      <c r="AP114" s="5">
        <v>-11.85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-778.63</v>
      </c>
      <c r="AZ114" s="5" t="s">
        <v>490</v>
      </c>
    </row>
    <row r="115" spans="1:52" ht="14.85" customHeight="1">
      <c r="A115" s="1" t="s">
        <v>52</v>
      </c>
      <c r="B115" s="1" t="s">
        <v>53</v>
      </c>
      <c r="C115" s="1">
        <v>5440</v>
      </c>
      <c r="D115" s="1" t="s">
        <v>491</v>
      </c>
      <c r="E115" s="1" t="s">
        <v>492</v>
      </c>
      <c r="F115" s="1" t="s">
        <v>91</v>
      </c>
      <c r="G115" s="1" t="s">
        <v>478</v>
      </c>
      <c r="H115" s="4" t="s">
        <v>493</v>
      </c>
      <c r="I115" s="1">
        <v>1345.95</v>
      </c>
      <c r="K115" s="1">
        <v>6</v>
      </c>
      <c r="M115" s="1" t="s">
        <v>57</v>
      </c>
      <c r="O115" s="1">
        <v>1818.13</v>
      </c>
      <c r="P115" s="5">
        <v>27.4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12.66</v>
      </c>
      <c r="AA115" s="5">
        <v>0</v>
      </c>
      <c r="AB115" s="5">
        <v>70.86</v>
      </c>
      <c r="AC115" s="5">
        <v>0</v>
      </c>
      <c r="AD115" s="5">
        <v>1929.0500000000002</v>
      </c>
      <c r="AE115" s="5">
        <v>126</v>
      </c>
      <c r="AF115" s="5">
        <v>12.130634920634924</v>
      </c>
      <c r="AG115" s="5">
        <v>0.20217724867724873</v>
      </c>
      <c r="AH115" s="5">
        <v>1528.4600000000003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394.4</v>
      </c>
      <c r="AP115" s="5">
        <v>6.19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400.59</v>
      </c>
      <c r="AZ115" s="5" t="s">
        <v>494</v>
      </c>
    </row>
    <row r="116" spans="1:52" ht="14.85" customHeight="1">
      <c r="A116" s="1" t="s">
        <v>52</v>
      </c>
      <c r="B116" s="1" t="s">
        <v>53</v>
      </c>
      <c r="C116" s="1">
        <v>5460</v>
      </c>
      <c r="D116" s="1" t="s">
        <v>495</v>
      </c>
      <c r="E116" s="1" t="s">
        <v>496</v>
      </c>
      <c r="F116" s="1" t="s">
        <v>91</v>
      </c>
      <c r="G116" s="1" t="s">
        <v>497</v>
      </c>
      <c r="H116" s="4" t="s">
        <v>498</v>
      </c>
      <c r="I116" s="1">
        <v>1345.95</v>
      </c>
      <c r="K116" s="1">
        <v>6</v>
      </c>
      <c r="M116" s="1" t="s">
        <v>57</v>
      </c>
      <c r="O116" s="1">
        <v>0</v>
      </c>
      <c r="P116" s="5">
        <v>0</v>
      </c>
      <c r="Q116" s="5">
        <v>0</v>
      </c>
      <c r="R116" s="5">
        <v>0</v>
      </c>
      <c r="S116" s="5">
        <v>0</v>
      </c>
      <c r="T116" s="5">
        <v>-447.83</v>
      </c>
      <c r="U116" s="5">
        <v>-6.92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-4.26</v>
      </c>
      <c r="AB116" s="5">
        <v>6.5</v>
      </c>
      <c r="AC116" s="5">
        <v>0</v>
      </c>
      <c r="AD116" s="5">
        <v>-452.51</v>
      </c>
      <c r="AE116" s="5">
        <v>0</v>
      </c>
      <c r="AF116" s="5">
        <v>0</v>
      </c>
      <c r="AG116" s="5">
        <v>0</v>
      </c>
      <c r="AH116" s="5">
        <v>2.2400000000000091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-447.83</v>
      </c>
      <c r="AP116" s="5">
        <v>-6.92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-454.75</v>
      </c>
      <c r="AZ116" s="5" t="s">
        <v>499</v>
      </c>
    </row>
    <row r="117" spans="1:52" ht="14.85" customHeight="1">
      <c r="A117" s="1" t="s">
        <v>52</v>
      </c>
      <c r="B117" s="1" t="s">
        <v>53</v>
      </c>
      <c r="C117" s="1">
        <v>5470</v>
      </c>
      <c r="D117" s="1" t="s">
        <v>500</v>
      </c>
      <c r="E117" s="1" t="s">
        <v>501</v>
      </c>
      <c r="G117" s="1" t="s">
        <v>502</v>
      </c>
      <c r="H117" s="4"/>
      <c r="I117" s="1">
        <v>9.8887300000000007</v>
      </c>
      <c r="K117" s="1">
        <v>1</v>
      </c>
      <c r="M117" s="1" t="s">
        <v>57</v>
      </c>
      <c r="O117" s="1">
        <v>8654.7900000000009</v>
      </c>
      <c r="P117" s="5">
        <v>1336.54</v>
      </c>
      <c r="Q117" s="5">
        <v>0</v>
      </c>
      <c r="R117" s="5">
        <v>0</v>
      </c>
      <c r="S117" s="5">
        <v>0</v>
      </c>
      <c r="T117" s="5">
        <v>-557.72</v>
      </c>
      <c r="U117" s="5">
        <v>-79.25</v>
      </c>
      <c r="V117" s="5">
        <v>815.82</v>
      </c>
      <c r="W117" s="5">
        <v>115.93</v>
      </c>
      <c r="X117" s="5">
        <v>19.78</v>
      </c>
      <c r="Y117" s="5">
        <v>2.81</v>
      </c>
      <c r="Z117" s="5">
        <v>0</v>
      </c>
      <c r="AA117" s="5">
        <v>0</v>
      </c>
      <c r="AB117" s="5">
        <v>649.86</v>
      </c>
      <c r="AC117" s="5">
        <v>60.43</v>
      </c>
      <c r="AD117" s="5">
        <v>11018.990000000003</v>
      </c>
      <c r="AE117" s="5">
        <v>673.75</v>
      </c>
      <c r="AF117" s="5">
        <v>16.774337662337665</v>
      </c>
      <c r="AG117" s="5">
        <v>0.27957229437229442</v>
      </c>
      <c r="AH117" s="5">
        <v>11301.710000000003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-247.54</v>
      </c>
      <c r="AP117" s="5">
        <v>-35.18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-282.71999999999997</v>
      </c>
      <c r="AZ117" s="5" t="s">
        <v>503</v>
      </c>
    </row>
    <row r="118" spans="1:52" ht="14.85" customHeight="1">
      <c r="A118" s="1" t="s">
        <v>52</v>
      </c>
      <c r="B118" s="1" t="s">
        <v>53</v>
      </c>
      <c r="C118" s="1">
        <v>5480</v>
      </c>
      <c r="D118" s="1" t="s">
        <v>504</v>
      </c>
      <c r="E118" s="1" t="s">
        <v>505</v>
      </c>
      <c r="F118" s="1" t="s">
        <v>91</v>
      </c>
      <c r="G118" s="1" t="s">
        <v>506</v>
      </c>
      <c r="H118" s="4" t="s">
        <v>93</v>
      </c>
      <c r="I118" s="1">
        <v>8.5387299999999993</v>
      </c>
      <c r="K118" s="1">
        <v>14</v>
      </c>
      <c r="M118" s="1" t="s">
        <v>66</v>
      </c>
      <c r="O118" s="1">
        <v>2145.02</v>
      </c>
      <c r="P118" s="5">
        <v>631.34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10.69</v>
      </c>
      <c r="AA118" s="5">
        <v>0</v>
      </c>
      <c r="AB118" s="5">
        <v>108.89</v>
      </c>
      <c r="AC118" s="5">
        <v>0</v>
      </c>
      <c r="AD118" s="5">
        <v>2895.94</v>
      </c>
      <c r="AE118" s="5">
        <v>136.5</v>
      </c>
      <c r="AF118" s="5">
        <v>18.382783882783883</v>
      </c>
      <c r="AG118" s="5">
        <v>0.3063797313797314</v>
      </c>
      <c r="AH118" s="5">
        <v>2509.25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297.14999999999998</v>
      </c>
      <c r="AP118" s="5">
        <v>87.46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2.08</v>
      </c>
      <c r="AW118" s="5">
        <v>0</v>
      </c>
      <c r="AX118" s="5">
        <v>0</v>
      </c>
      <c r="AY118" s="5">
        <v>386.68999999999994</v>
      </c>
      <c r="AZ118" s="5" t="s">
        <v>507</v>
      </c>
    </row>
    <row r="119" spans="1:52" ht="14.85" customHeight="1">
      <c r="A119" s="1" t="s">
        <v>52</v>
      </c>
      <c r="B119" s="1" t="s">
        <v>53</v>
      </c>
      <c r="C119" s="1">
        <v>5510</v>
      </c>
      <c r="D119" s="1" t="s">
        <v>508</v>
      </c>
      <c r="E119" s="1" t="s">
        <v>509</v>
      </c>
      <c r="G119" s="1" t="s">
        <v>510</v>
      </c>
      <c r="H119" s="4"/>
      <c r="I119" s="1">
        <v>8.1572700000000005</v>
      </c>
      <c r="K119" s="1">
        <v>1</v>
      </c>
      <c r="M119" s="1" t="s">
        <v>57</v>
      </c>
      <c r="O119" s="1">
        <v>6624.6</v>
      </c>
      <c r="P119" s="5">
        <v>0</v>
      </c>
      <c r="Q119" s="5">
        <v>0</v>
      </c>
      <c r="R119" s="5">
        <v>0</v>
      </c>
      <c r="S119" s="5">
        <v>0</v>
      </c>
      <c r="T119" s="5">
        <v>-71.459999999999994</v>
      </c>
      <c r="U119" s="5">
        <v>0</v>
      </c>
      <c r="V119" s="5">
        <v>540.13</v>
      </c>
      <c r="W119" s="5">
        <v>0</v>
      </c>
      <c r="X119" s="5">
        <v>28.55</v>
      </c>
      <c r="Y119" s="5">
        <v>0</v>
      </c>
      <c r="Z119" s="5">
        <v>67.86</v>
      </c>
      <c r="AA119" s="5">
        <v>4.74</v>
      </c>
      <c r="AB119" s="5">
        <v>501.19</v>
      </c>
      <c r="AC119" s="5">
        <v>40</v>
      </c>
      <c r="AD119" s="5">
        <v>7735.61</v>
      </c>
      <c r="AE119" s="5">
        <v>662.5</v>
      </c>
      <c r="AF119" s="5">
        <v>12.052241509433962</v>
      </c>
      <c r="AG119" s="5">
        <v>0.20087069182389936</v>
      </c>
      <c r="AH119" s="5">
        <v>7984.61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-246.51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-2.4900000000000002</v>
      </c>
      <c r="AW119" s="5">
        <v>0</v>
      </c>
      <c r="AX119" s="5">
        <v>0</v>
      </c>
      <c r="AY119" s="5">
        <v>-249</v>
      </c>
      <c r="AZ119" s="5" t="s">
        <v>511</v>
      </c>
    </row>
    <row r="120" spans="1:52" ht="14.85" customHeight="1">
      <c r="A120" s="1" t="s">
        <v>52</v>
      </c>
      <c r="B120" s="1" t="s">
        <v>53</v>
      </c>
      <c r="C120" s="1">
        <v>5520</v>
      </c>
      <c r="D120" s="1" t="s">
        <v>512</v>
      </c>
      <c r="E120" s="1" t="s">
        <v>477</v>
      </c>
      <c r="G120" s="1" t="s">
        <v>510</v>
      </c>
      <c r="H120" s="4"/>
      <c r="I120" s="1">
        <v>3499.96</v>
      </c>
      <c r="K120" s="1">
        <v>8</v>
      </c>
      <c r="M120" s="1" t="s">
        <v>75</v>
      </c>
      <c r="O120" s="1">
        <v>23424.75</v>
      </c>
      <c r="P120" s="5">
        <v>6231.94</v>
      </c>
      <c r="Q120" s="5">
        <v>0</v>
      </c>
      <c r="R120" s="5">
        <v>0</v>
      </c>
      <c r="S120" s="5">
        <v>0</v>
      </c>
      <c r="T120" s="5">
        <v>36.270000000000003</v>
      </c>
      <c r="U120" s="5">
        <v>9.89</v>
      </c>
      <c r="V120" s="5">
        <v>1749.98</v>
      </c>
      <c r="W120" s="5">
        <v>477.39</v>
      </c>
      <c r="X120" s="5">
        <v>0</v>
      </c>
      <c r="Y120" s="5">
        <v>0</v>
      </c>
      <c r="Z120" s="5">
        <v>233.94</v>
      </c>
      <c r="AA120" s="5">
        <v>17.010000000000002</v>
      </c>
      <c r="AB120" s="5">
        <v>1528.96</v>
      </c>
      <c r="AC120" s="5">
        <v>120.87</v>
      </c>
      <c r="AD120" s="5">
        <v>33831</v>
      </c>
      <c r="AE120" s="5">
        <v>846.5</v>
      </c>
      <c r="AF120" s="5">
        <v>41.009935026580038</v>
      </c>
      <c r="AG120" s="5">
        <v>0.68349891710966726</v>
      </c>
      <c r="AH120" s="5">
        <v>34714.910000000003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-681.54</v>
      </c>
      <c r="AP120" s="5">
        <v>-195.47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-6.9</v>
      </c>
      <c r="AW120" s="5">
        <v>0</v>
      </c>
      <c r="AX120" s="5">
        <v>0</v>
      </c>
      <c r="AY120" s="5">
        <v>-883.91</v>
      </c>
      <c r="AZ120" s="5" t="s">
        <v>513</v>
      </c>
    </row>
    <row r="121" spans="1:52" ht="14.85" customHeight="1">
      <c r="A121" s="1" t="s">
        <v>52</v>
      </c>
      <c r="B121" s="1" t="s">
        <v>53</v>
      </c>
      <c r="C121" s="1">
        <v>5530</v>
      </c>
      <c r="D121" s="1" t="s">
        <v>514</v>
      </c>
      <c r="E121" s="1" t="s">
        <v>515</v>
      </c>
      <c r="G121" s="1" t="s">
        <v>516</v>
      </c>
      <c r="H121" s="4"/>
      <c r="I121" s="1">
        <v>9.7332699999999992</v>
      </c>
      <c r="K121" s="1">
        <v>11</v>
      </c>
      <c r="M121" s="1" t="s">
        <v>57</v>
      </c>
      <c r="O121" s="1">
        <v>9944.99</v>
      </c>
      <c r="P121" s="5">
        <v>2788.55</v>
      </c>
      <c r="Q121" s="5">
        <v>0</v>
      </c>
      <c r="R121" s="5">
        <v>0</v>
      </c>
      <c r="S121" s="5">
        <v>0</v>
      </c>
      <c r="T121" s="5">
        <v>-78.260000000000005</v>
      </c>
      <c r="U121" s="5">
        <v>-23.09</v>
      </c>
      <c r="V121" s="5">
        <v>802.99</v>
      </c>
      <c r="W121" s="5">
        <v>236.88</v>
      </c>
      <c r="X121" s="5">
        <v>4.87</v>
      </c>
      <c r="Y121" s="5">
        <v>1.44</v>
      </c>
      <c r="Z121" s="5">
        <v>94.78</v>
      </c>
      <c r="AA121" s="5">
        <v>6.95</v>
      </c>
      <c r="AB121" s="5">
        <v>701.5</v>
      </c>
      <c r="AC121" s="5">
        <v>55.46</v>
      </c>
      <c r="AD121" s="5">
        <v>14537.060000000001</v>
      </c>
      <c r="AE121" s="5">
        <v>820.5</v>
      </c>
      <c r="AF121" s="5">
        <v>17.963168799512495</v>
      </c>
      <c r="AG121" s="5">
        <v>0.29938614665854157</v>
      </c>
      <c r="AH121" s="5">
        <v>14738.78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-154.56</v>
      </c>
      <c r="AP121" s="5">
        <v>-45.6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-1.56</v>
      </c>
      <c r="AW121" s="5">
        <v>0</v>
      </c>
      <c r="AX121" s="5">
        <v>0</v>
      </c>
      <c r="AY121" s="5">
        <v>-201.72</v>
      </c>
      <c r="AZ121" s="5" t="s">
        <v>517</v>
      </c>
    </row>
    <row r="122" spans="1:52" ht="14.85" customHeight="1">
      <c r="A122" s="1" t="s">
        <v>52</v>
      </c>
      <c r="B122" s="1" t="s">
        <v>53</v>
      </c>
      <c r="C122" s="1">
        <v>5550</v>
      </c>
      <c r="D122" s="1" t="s">
        <v>518</v>
      </c>
      <c r="E122" s="1" t="s">
        <v>519</v>
      </c>
      <c r="G122" s="1" t="s">
        <v>520</v>
      </c>
      <c r="H122" s="4"/>
      <c r="I122" s="1">
        <v>9.8887300000000007</v>
      </c>
      <c r="K122" s="1">
        <v>1</v>
      </c>
      <c r="M122" s="1" t="s">
        <v>57</v>
      </c>
      <c r="O122" s="1">
        <v>9577.8700000000008</v>
      </c>
      <c r="P122" s="5">
        <v>1440.15</v>
      </c>
      <c r="Q122" s="5">
        <v>0</v>
      </c>
      <c r="R122" s="5">
        <v>0</v>
      </c>
      <c r="S122" s="5">
        <v>0</v>
      </c>
      <c r="T122" s="5">
        <v>-325.64</v>
      </c>
      <c r="U122" s="5">
        <v>-46.27</v>
      </c>
      <c r="V122" s="5">
        <v>815.82</v>
      </c>
      <c r="W122" s="5">
        <v>115.93</v>
      </c>
      <c r="X122" s="5">
        <v>14.83</v>
      </c>
      <c r="Y122" s="5">
        <v>2.11</v>
      </c>
      <c r="Z122" s="5">
        <v>0</v>
      </c>
      <c r="AA122" s="5">
        <v>0</v>
      </c>
      <c r="AB122" s="5">
        <v>698.94</v>
      </c>
      <c r="AC122" s="5">
        <v>60.43</v>
      </c>
      <c r="AD122" s="5">
        <v>12354.170000000002</v>
      </c>
      <c r="AE122" s="5">
        <v>783.5</v>
      </c>
      <c r="AF122" s="5">
        <v>16.289189534141673</v>
      </c>
      <c r="AG122" s="5">
        <v>0.27148649223569454</v>
      </c>
      <c r="AH122" s="5">
        <v>12762.580000000002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-357.6</v>
      </c>
      <c r="AP122" s="5">
        <v>-50.81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-408.41</v>
      </c>
      <c r="AZ122" s="5" t="s">
        <v>521</v>
      </c>
    </row>
    <row r="123" spans="1:52" ht="14.85" customHeight="1">
      <c r="A123" s="1" t="s">
        <v>52</v>
      </c>
      <c r="B123" s="1" t="s">
        <v>53</v>
      </c>
      <c r="C123" s="1">
        <v>5570</v>
      </c>
      <c r="D123" s="1" t="s">
        <v>522</v>
      </c>
      <c r="E123" s="1" t="s">
        <v>523</v>
      </c>
      <c r="G123" s="1" t="s">
        <v>524</v>
      </c>
      <c r="H123" s="4"/>
      <c r="I123" s="1">
        <v>8.1572700000000005</v>
      </c>
      <c r="K123" s="1">
        <v>1</v>
      </c>
      <c r="M123" s="1" t="s">
        <v>57</v>
      </c>
      <c r="O123" s="1">
        <v>6921.85</v>
      </c>
      <c r="P123" s="5">
        <v>0</v>
      </c>
      <c r="Q123" s="5">
        <v>0</v>
      </c>
      <c r="R123" s="5">
        <v>0</v>
      </c>
      <c r="S123" s="5">
        <v>0</v>
      </c>
      <c r="T123" s="5">
        <v>175.95</v>
      </c>
      <c r="U123" s="5">
        <v>0</v>
      </c>
      <c r="V123" s="5">
        <v>672.97</v>
      </c>
      <c r="W123" s="5">
        <v>0</v>
      </c>
      <c r="X123" s="5">
        <v>34.67</v>
      </c>
      <c r="Y123" s="5">
        <v>0</v>
      </c>
      <c r="Z123" s="5">
        <v>65.92</v>
      </c>
      <c r="AA123" s="5">
        <v>8.41</v>
      </c>
      <c r="AB123" s="5">
        <v>628.72</v>
      </c>
      <c r="AC123" s="5">
        <v>49.84</v>
      </c>
      <c r="AD123" s="5">
        <v>8558.33</v>
      </c>
      <c r="AE123" s="5">
        <v>706.5</v>
      </c>
      <c r="AF123" s="5">
        <v>12.618358103326257</v>
      </c>
      <c r="AG123" s="5">
        <v>0.21030596838877094</v>
      </c>
      <c r="AH123" s="5">
        <v>8914.8700000000008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-352.97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-3.57</v>
      </c>
      <c r="AW123" s="5">
        <v>0</v>
      </c>
      <c r="AX123" s="5">
        <v>0</v>
      </c>
      <c r="AY123" s="5">
        <v>-356.54</v>
      </c>
      <c r="AZ123" s="5" t="s">
        <v>525</v>
      </c>
    </row>
    <row r="124" spans="1:52" ht="14.85" customHeight="1">
      <c r="A124" s="1" t="s">
        <v>52</v>
      </c>
      <c r="B124" s="1" t="s">
        <v>53</v>
      </c>
      <c r="C124" s="1">
        <v>5580</v>
      </c>
      <c r="D124" s="1" t="s">
        <v>526</v>
      </c>
      <c r="E124" s="1" t="s">
        <v>527</v>
      </c>
      <c r="G124" s="1" t="s">
        <v>524</v>
      </c>
      <c r="H124" s="4"/>
      <c r="I124" s="1">
        <v>8.1572700000000005</v>
      </c>
      <c r="K124" s="1">
        <v>2</v>
      </c>
      <c r="M124" s="1" t="s">
        <v>57</v>
      </c>
      <c r="O124" s="1">
        <v>7785.29</v>
      </c>
      <c r="P124" s="5">
        <v>0</v>
      </c>
      <c r="Q124" s="5">
        <v>0</v>
      </c>
      <c r="R124" s="5">
        <v>0</v>
      </c>
      <c r="S124" s="5">
        <v>0</v>
      </c>
      <c r="T124" s="5">
        <v>172.61</v>
      </c>
      <c r="U124" s="5">
        <v>0</v>
      </c>
      <c r="V124" s="5">
        <v>628.69000000000005</v>
      </c>
      <c r="W124" s="5">
        <v>0</v>
      </c>
      <c r="X124" s="5">
        <v>32.630000000000003</v>
      </c>
      <c r="Y124" s="5">
        <v>0</v>
      </c>
      <c r="Z124" s="5">
        <v>80.67</v>
      </c>
      <c r="AA124" s="5">
        <v>7.94</v>
      </c>
      <c r="AB124" s="5">
        <v>587.35</v>
      </c>
      <c r="AC124" s="5">
        <v>46.56</v>
      </c>
      <c r="AD124" s="5">
        <v>9341.74</v>
      </c>
      <c r="AE124" s="5">
        <v>719</v>
      </c>
      <c r="AF124" s="5">
        <v>12.835229485396384</v>
      </c>
      <c r="AG124" s="5">
        <v>0.21392049142327307</v>
      </c>
      <c r="AH124" s="5">
        <v>9228.5300000000007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112.08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1.1299999999999999</v>
      </c>
      <c r="AW124" s="5">
        <v>0</v>
      </c>
      <c r="AX124" s="5">
        <v>0</v>
      </c>
      <c r="AY124" s="5">
        <v>113.21</v>
      </c>
      <c r="AZ124" s="5" t="s">
        <v>528</v>
      </c>
    </row>
    <row r="125" spans="1:52" ht="14.85" customHeight="1">
      <c r="A125" s="1" t="s">
        <v>52</v>
      </c>
      <c r="B125" s="1" t="s">
        <v>53</v>
      </c>
      <c r="C125" s="1">
        <v>5590</v>
      </c>
      <c r="D125" s="1" t="s">
        <v>529</v>
      </c>
      <c r="E125" s="1" t="s">
        <v>530</v>
      </c>
      <c r="F125" s="1" t="s">
        <v>91</v>
      </c>
      <c r="G125" s="1" t="s">
        <v>531</v>
      </c>
      <c r="H125" s="4" t="s">
        <v>532</v>
      </c>
      <c r="I125" s="1">
        <v>8.5387299999999993</v>
      </c>
      <c r="K125" s="1">
        <v>14</v>
      </c>
      <c r="M125" s="1" t="s">
        <v>66</v>
      </c>
      <c r="O125" s="1">
        <v>4746.45</v>
      </c>
      <c r="P125" s="5">
        <v>1412.49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23.06</v>
      </c>
      <c r="AA125" s="5">
        <v>0</v>
      </c>
      <c r="AB125" s="5">
        <v>259.75</v>
      </c>
      <c r="AC125" s="5">
        <v>0</v>
      </c>
      <c r="AD125" s="5">
        <v>6441.75</v>
      </c>
      <c r="AE125" s="5">
        <v>329</v>
      </c>
      <c r="AF125" s="5">
        <v>16.825866261398176</v>
      </c>
      <c r="AG125" s="5">
        <v>0.28043110435663626</v>
      </c>
      <c r="AH125" s="5">
        <v>5535.71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700.01</v>
      </c>
      <c r="AP125" s="5">
        <v>206.03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906.04</v>
      </c>
      <c r="AZ125" s="5" t="s">
        <v>533</v>
      </c>
    </row>
    <row r="126" spans="1:52" ht="14.85" customHeight="1">
      <c r="A126" s="1" t="s">
        <v>52</v>
      </c>
      <c r="B126" s="1" t="s">
        <v>53</v>
      </c>
      <c r="C126" s="1">
        <v>5600</v>
      </c>
      <c r="D126" s="1" t="s">
        <v>534</v>
      </c>
      <c r="E126" s="1" t="s">
        <v>535</v>
      </c>
      <c r="G126" s="1" t="s">
        <v>536</v>
      </c>
      <c r="H126" s="4"/>
      <c r="I126" s="1">
        <v>8.1572700000000005</v>
      </c>
      <c r="K126" s="1">
        <v>2</v>
      </c>
      <c r="M126" s="1" t="s">
        <v>57</v>
      </c>
      <c r="O126" s="1">
        <v>8312.26</v>
      </c>
      <c r="P126" s="5">
        <v>0</v>
      </c>
      <c r="Q126" s="5">
        <v>0</v>
      </c>
      <c r="R126" s="5">
        <v>0</v>
      </c>
      <c r="S126" s="5">
        <v>0</v>
      </c>
      <c r="T126" s="5">
        <v>-155.56</v>
      </c>
      <c r="U126" s="5">
        <v>0</v>
      </c>
      <c r="V126" s="5">
        <v>672.97</v>
      </c>
      <c r="W126" s="5">
        <v>0</v>
      </c>
      <c r="X126" s="5">
        <v>16.309999999999999</v>
      </c>
      <c r="Y126" s="5">
        <v>0</v>
      </c>
      <c r="Z126" s="5">
        <v>79.150000000000006</v>
      </c>
      <c r="AA126" s="5">
        <v>5.08</v>
      </c>
      <c r="AB126" s="5">
        <v>625.59</v>
      </c>
      <c r="AC126" s="5">
        <v>49.84</v>
      </c>
      <c r="AD126" s="5">
        <v>9605.64</v>
      </c>
      <c r="AE126" s="5">
        <v>832.5</v>
      </c>
      <c r="AF126" s="5">
        <v>11.925897897897897</v>
      </c>
      <c r="AG126" s="5">
        <v>0.19876496496496496</v>
      </c>
      <c r="AH126" s="5">
        <v>9928.31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-317.39999999999998</v>
      </c>
      <c r="AP126" s="5">
        <v>0</v>
      </c>
      <c r="AQ126" s="5">
        <v>0</v>
      </c>
      <c r="AR126" s="5">
        <v>0</v>
      </c>
      <c r="AS126" s="5">
        <v>-2.04</v>
      </c>
      <c r="AT126" s="5">
        <v>0</v>
      </c>
      <c r="AU126" s="5">
        <v>0</v>
      </c>
      <c r="AV126" s="5">
        <v>-3.23</v>
      </c>
      <c r="AW126" s="5">
        <v>0</v>
      </c>
      <c r="AX126" s="5">
        <v>0</v>
      </c>
      <c r="AY126" s="5">
        <v>-322.67</v>
      </c>
      <c r="AZ126" s="5" t="s">
        <v>537</v>
      </c>
    </row>
    <row r="127" spans="1:52" ht="14.85" customHeight="1">
      <c r="A127" s="1" t="s">
        <v>52</v>
      </c>
      <c r="B127" s="1" t="s">
        <v>53</v>
      </c>
      <c r="C127" s="1">
        <v>5620</v>
      </c>
      <c r="D127" s="1" t="s">
        <v>538</v>
      </c>
      <c r="E127" s="1" t="s">
        <v>539</v>
      </c>
      <c r="G127" s="1" t="s">
        <v>540</v>
      </c>
      <c r="H127" s="4"/>
      <c r="I127" s="1">
        <v>1363.69</v>
      </c>
      <c r="K127" s="1">
        <v>9</v>
      </c>
      <c r="M127" s="1" t="s">
        <v>388</v>
      </c>
      <c r="O127" s="1">
        <v>8559.26</v>
      </c>
      <c r="P127" s="5">
        <v>1266.03</v>
      </c>
      <c r="Q127" s="5">
        <v>0</v>
      </c>
      <c r="R127" s="5">
        <v>0</v>
      </c>
      <c r="S127" s="5">
        <v>0</v>
      </c>
      <c r="T127" s="5">
        <v>552.25</v>
      </c>
      <c r="U127" s="5">
        <v>78.47</v>
      </c>
      <c r="V127" s="5">
        <v>681.85</v>
      </c>
      <c r="W127" s="5">
        <v>96.89</v>
      </c>
      <c r="X127" s="5">
        <v>0</v>
      </c>
      <c r="Y127" s="5">
        <v>0</v>
      </c>
      <c r="Z127" s="5">
        <v>0</v>
      </c>
      <c r="AA127" s="5">
        <v>0</v>
      </c>
      <c r="AB127" s="5">
        <v>614.16</v>
      </c>
      <c r="AC127" s="5">
        <v>50.5</v>
      </c>
      <c r="AD127" s="5">
        <v>11899.41</v>
      </c>
      <c r="AE127" s="5">
        <v>842.75</v>
      </c>
      <c r="AF127" s="5">
        <v>14.191361613764462</v>
      </c>
      <c r="AG127" s="5">
        <v>0.23652269356274103</v>
      </c>
      <c r="AH127" s="5">
        <v>11959.77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-70.41</v>
      </c>
      <c r="AP127" s="5">
        <v>-10.01</v>
      </c>
      <c r="AQ127" s="5">
        <v>0</v>
      </c>
      <c r="AR127" s="5">
        <v>0</v>
      </c>
      <c r="AS127" s="5">
        <v>17.559999999999999</v>
      </c>
      <c r="AT127" s="5">
        <v>2.5</v>
      </c>
      <c r="AU127" s="5">
        <v>0</v>
      </c>
      <c r="AV127" s="5">
        <v>0</v>
      </c>
      <c r="AW127" s="5">
        <v>0</v>
      </c>
      <c r="AX127" s="5">
        <v>0</v>
      </c>
      <c r="AY127" s="5">
        <v>-60.36</v>
      </c>
      <c r="AZ127" s="5" t="s">
        <v>541</v>
      </c>
    </row>
    <row r="128" spans="1:52" ht="14.85" customHeight="1">
      <c r="A128" s="1" t="s">
        <v>52</v>
      </c>
      <c r="B128" s="1" t="s">
        <v>53</v>
      </c>
      <c r="C128" s="1">
        <v>5630</v>
      </c>
      <c r="D128" s="1" t="s">
        <v>542</v>
      </c>
      <c r="E128" s="1" t="s">
        <v>543</v>
      </c>
      <c r="G128" s="1" t="s">
        <v>524</v>
      </c>
      <c r="H128" s="4"/>
      <c r="I128" s="1">
        <v>2128</v>
      </c>
      <c r="K128" s="1">
        <v>8</v>
      </c>
      <c r="M128" s="1" t="s">
        <v>66</v>
      </c>
      <c r="O128" s="1">
        <v>13415.12</v>
      </c>
      <c r="P128" s="5">
        <v>756.41</v>
      </c>
      <c r="Q128" s="5">
        <v>0</v>
      </c>
      <c r="R128" s="5">
        <v>0</v>
      </c>
      <c r="S128" s="5">
        <v>0</v>
      </c>
      <c r="T128" s="5">
        <v>1690.41</v>
      </c>
      <c r="U128" s="5">
        <v>473.87</v>
      </c>
      <c r="V128" s="5">
        <v>1064</v>
      </c>
      <c r="W128" s="5">
        <v>298.27</v>
      </c>
      <c r="X128" s="5">
        <v>0</v>
      </c>
      <c r="Y128" s="5">
        <v>0</v>
      </c>
      <c r="Z128" s="5">
        <v>51.44</v>
      </c>
      <c r="AA128" s="5">
        <v>10.57</v>
      </c>
      <c r="AB128" s="5">
        <v>933.17</v>
      </c>
      <c r="AC128" s="5">
        <v>73.489999999999995</v>
      </c>
      <c r="AD128" s="5">
        <v>18766.750000000004</v>
      </c>
      <c r="AE128" s="5">
        <v>754</v>
      </c>
      <c r="AF128" s="5">
        <v>23.47327586206897</v>
      </c>
      <c r="AG128" s="5">
        <v>0.39122126436781618</v>
      </c>
      <c r="AH128" s="5">
        <v>17698.850000000002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699.4</v>
      </c>
      <c r="AP128" s="5">
        <v>196.06</v>
      </c>
      <c r="AQ128" s="5">
        <v>0</v>
      </c>
      <c r="AR128" s="5">
        <v>0</v>
      </c>
      <c r="AS128" s="5">
        <v>132.19</v>
      </c>
      <c r="AT128" s="5">
        <v>37.06</v>
      </c>
      <c r="AU128" s="5">
        <v>0</v>
      </c>
      <c r="AV128" s="5">
        <v>3.19</v>
      </c>
      <c r="AW128" s="5">
        <v>0</v>
      </c>
      <c r="AX128" s="5">
        <v>0</v>
      </c>
      <c r="AY128" s="5">
        <v>1067.9000000000001</v>
      </c>
      <c r="AZ128" s="5" t="s">
        <v>544</v>
      </c>
    </row>
    <row r="129" spans="1:52" ht="14.85" customHeight="1">
      <c r="A129" s="1" t="s">
        <v>52</v>
      </c>
      <c r="B129" s="1" t="s">
        <v>53</v>
      </c>
      <c r="C129" s="1">
        <v>5640</v>
      </c>
      <c r="D129" s="1" t="s">
        <v>545</v>
      </c>
      <c r="E129" s="1" t="s">
        <v>546</v>
      </c>
      <c r="G129" s="1" t="s">
        <v>524</v>
      </c>
      <c r="H129" s="4"/>
      <c r="I129" s="1">
        <v>8.1572700000000005</v>
      </c>
      <c r="K129" s="1">
        <v>2</v>
      </c>
      <c r="M129" s="1" t="s">
        <v>57</v>
      </c>
      <c r="O129" s="1">
        <v>5524.27</v>
      </c>
      <c r="P129" s="5">
        <v>0</v>
      </c>
      <c r="Q129" s="5">
        <v>0</v>
      </c>
      <c r="R129" s="5">
        <v>0</v>
      </c>
      <c r="S129" s="5">
        <v>0</v>
      </c>
      <c r="T129" s="5">
        <v>165.35</v>
      </c>
      <c r="U129" s="5">
        <v>0</v>
      </c>
      <c r="V129" s="5">
        <v>442.75</v>
      </c>
      <c r="W129" s="5">
        <v>0</v>
      </c>
      <c r="X129" s="5">
        <v>18.350000000000001</v>
      </c>
      <c r="Y129" s="5">
        <v>0</v>
      </c>
      <c r="Z129" s="5">
        <v>57.06</v>
      </c>
      <c r="AA129" s="5">
        <v>5.97</v>
      </c>
      <c r="AB129" s="5">
        <v>413.63</v>
      </c>
      <c r="AC129" s="5">
        <v>32.79</v>
      </c>
      <c r="AD129" s="5">
        <v>6660.1700000000019</v>
      </c>
      <c r="AE129" s="5">
        <v>536</v>
      </c>
      <c r="AF129" s="5">
        <v>12.227388059701497</v>
      </c>
      <c r="AG129" s="5">
        <v>0.20378980099502494</v>
      </c>
      <c r="AH129" s="5">
        <v>6553.8800000000019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98.13</v>
      </c>
      <c r="AP129" s="5">
        <v>0</v>
      </c>
      <c r="AQ129" s="5">
        <v>0</v>
      </c>
      <c r="AR129" s="5">
        <v>0</v>
      </c>
      <c r="AS129" s="5">
        <v>8.16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106.29</v>
      </c>
      <c r="AZ129" s="5" t="s">
        <v>547</v>
      </c>
    </row>
    <row r="130" spans="1:52" ht="14.85" customHeight="1">
      <c r="A130" s="1" t="s">
        <v>52</v>
      </c>
      <c r="B130" s="1" t="s">
        <v>53</v>
      </c>
      <c r="C130" s="1">
        <v>5660</v>
      </c>
      <c r="D130" s="1" t="s">
        <v>548</v>
      </c>
      <c r="E130" s="1" t="s">
        <v>192</v>
      </c>
      <c r="G130" s="1" t="s">
        <v>549</v>
      </c>
      <c r="H130" s="4"/>
      <c r="I130" s="1">
        <v>1345.95</v>
      </c>
      <c r="K130" s="1">
        <v>6</v>
      </c>
      <c r="M130" s="1" t="s">
        <v>57</v>
      </c>
      <c r="O130" s="1">
        <v>7718.7</v>
      </c>
      <c r="P130" s="5">
        <v>152.41</v>
      </c>
      <c r="Q130" s="5">
        <v>0</v>
      </c>
      <c r="R130" s="5">
        <v>0</v>
      </c>
      <c r="S130" s="5">
        <v>0</v>
      </c>
      <c r="T130" s="5">
        <v>345.46</v>
      </c>
      <c r="U130" s="5">
        <v>5.34</v>
      </c>
      <c r="V130" s="5">
        <v>619.88</v>
      </c>
      <c r="W130" s="5">
        <v>9.58</v>
      </c>
      <c r="X130" s="5">
        <v>0</v>
      </c>
      <c r="Y130" s="5">
        <v>0</v>
      </c>
      <c r="Z130" s="5">
        <v>77.849999999999994</v>
      </c>
      <c r="AA130" s="5">
        <v>9.19</v>
      </c>
      <c r="AB130" s="5">
        <v>579.34</v>
      </c>
      <c r="AC130" s="5">
        <v>45.78</v>
      </c>
      <c r="AD130" s="5">
        <v>9563.5300000000007</v>
      </c>
      <c r="AE130" s="5">
        <v>814.75</v>
      </c>
      <c r="AF130" s="5">
        <v>12.046038662166309</v>
      </c>
      <c r="AG130" s="5">
        <v>0.20076731103610515</v>
      </c>
      <c r="AH130" s="5">
        <v>9814.51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-244.72</v>
      </c>
      <c r="AP130" s="5">
        <v>-3.78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-2.48</v>
      </c>
      <c r="AW130" s="5">
        <v>0</v>
      </c>
      <c r="AX130" s="5">
        <v>0</v>
      </c>
      <c r="AY130" s="5">
        <v>-250.98</v>
      </c>
      <c r="AZ130" s="5" t="s">
        <v>550</v>
      </c>
    </row>
    <row r="131" spans="1:52" ht="14.85" customHeight="1">
      <c r="A131" s="1" t="s">
        <v>52</v>
      </c>
      <c r="B131" s="1" t="s">
        <v>53</v>
      </c>
      <c r="C131" s="1">
        <v>5670</v>
      </c>
      <c r="D131" s="1" t="s">
        <v>551</v>
      </c>
      <c r="E131" s="1" t="s">
        <v>552</v>
      </c>
      <c r="G131" s="1" t="s">
        <v>549</v>
      </c>
      <c r="H131" s="4"/>
      <c r="I131" s="1">
        <v>1345.95</v>
      </c>
      <c r="K131" s="1">
        <v>6</v>
      </c>
      <c r="M131" s="1" t="s">
        <v>57</v>
      </c>
      <c r="O131" s="1">
        <v>7493.54</v>
      </c>
      <c r="P131" s="5">
        <v>148.38999999999999</v>
      </c>
      <c r="Q131" s="5">
        <v>0</v>
      </c>
      <c r="R131" s="5">
        <v>0</v>
      </c>
      <c r="S131" s="5">
        <v>0</v>
      </c>
      <c r="T131" s="5">
        <v>-99.11</v>
      </c>
      <c r="U131" s="5">
        <v>-1.53</v>
      </c>
      <c r="V131" s="5">
        <v>619.88</v>
      </c>
      <c r="W131" s="5">
        <v>9.58</v>
      </c>
      <c r="X131" s="5">
        <v>0</v>
      </c>
      <c r="Y131" s="5">
        <v>0</v>
      </c>
      <c r="Z131" s="5">
        <v>75.14</v>
      </c>
      <c r="AA131" s="5">
        <v>4.96</v>
      </c>
      <c r="AB131" s="5">
        <v>0</v>
      </c>
      <c r="AC131" s="5">
        <v>0</v>
      </c>
      <c r="AD131" s="5">
        <v>8250.85</v>
      </c>
      <c r="AE131" s="5">
        <v>800.5</v>
      </c>
      <c r="AF131" s="5">
        <v>11.212542161149281</v>
      </c>
      <c r="AG131" s="5">
        <v>0.18687570268582135</v>
      </c>
      <c r="AH131" s="5">
        <v>8975.64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-713.76</v>
      </c>
      <c r="AP131" s="5">
        <v>-11.03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-724.79</v>
      </c>
      <c r="AZ131" s="5" t="s">
        <v>553</v>
      </c>
    </row>
    <row r="132" spans="1:52" ht="14.85" customHeight="1">
      <c r="A132" s="1" t="s">
        <v>52</v>
      </c>
      <c r="B132" s="1" t="s">
        <v>53</v>
      </c>
      <c r="C132" s="1">
        <v>5680</v>
      </c>
      <c r="D132" s="1" t="s">
        <v>554</v>
      </c>
      <c r="E132" s="1" t="s">
        <v>555</v>
      </c>
      <c r="G132" s="1" t="s">
        <v>556</v>
      </c>
      <c r="H132" s="4"/>
      <c r="I132" s="1">
        <v>1345.95</v>
      </c>
      <c r="K132" s="1">
        <v>6</v>
      </c>
      <c r="M132" s="1" t="s">
        <v>57</v>
      </c>
      <c r="O132" s="1">
        <v>7748.46</v>
      </c>
      <c r="P132" s="5">
        <v>153.58000000000001</v>
      </c>
      <c r="Q132" s="5">
        <v>0</v>
      </c>
      <c r="R132" s="5">
        <v>0</v>
      </c>
      <c r="S132" s="5">
        <v>0</v>
      </c>
      <c r="T132" s="5">
        <v>106.04</v>
      </c>
      <c r="U132" s="5">
        <v>1.64</v>
      </c>
      <c r="V132" s="5">
        <v>619.88</v>
      </c>
      <c r="W132" s="5">
        <v>9.58</v>
      </c>
      <c r="X132" s="5">
        <v>0</v>
      </c>
      <c r="Y132" s="5">
        <v>0</v>
      </c>
      <c r="Z132" s="5">
        <v>77.849999999999994</v>
      </c>
      <c r="AA132" s="5">
        <v>6.92</v>
      </c>
      <c r="AB132" s="5">
        <v>577.82000000000005</v>
      </c>
      <c r="AC132" s="5">
        <v>45.78</v>
      </c>
      <c r="AD132" s="5">
        <v>9347.5500000000011</v>
      </c>
      <c r="AE132" s="5">
        <v>805.25</v>
      </c>
      <c r="AF132" s="5">
        <v>11.833020800993481</v>
      </c>
      <c r="AG132" s="5">
        <v>0.19721701334989133</v>
      </c>
      <c r="AH132" s="5">
        <v>9528.5400000000009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-178.24</v>
      </c>
      <c r="AP132" s="5">
        <v>-2.75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-180.99</v>
      </c>
      <c r="AZ132" s="5" t="s">
        <v>557</v>
      </c>
    </row>
    <row r="133" spans="1:52" ht="14.85" customHeight="1">
      <c r="A133" s="1" t="s">
        <v>52</v>
      </c>
      <c r="B133" s="1" t="s">
        <v>53</v>
      </c>
      <c r="C133" s="1">
        <v>5690</v>
      </c>
      <c r="D133" s="1" t="s">
        <v>558</v>
      </c>
      <c r="E133" s="1" t="s">
        <v>251</v>
      </c>
      <c r="G133" s="1" t="s">
        <v>556</v>
      </c>
      <c r="H133" s="4"/>
      <c r="I133" s="1">
        <v>1605.99</v>
      </c>
      <c r="K133" s="1">
        <v>15</v>
      </c>
      <c r="M133" s="1" t="s">
        <v>66</v>
      </c>
      <c r="O133" s="1">
        <v>10447.44</v>
      </c>
      <c r="P133" s="5">
        <v>3074.89</v>
      </c>
      <c r="Q133" s="5">
        <v>0</v>
      </c>
      <c r="R133" s="5">
        <v>0</v>
      </c>
      <c r="S133" s="5">
        <v>0</v>
      </c>
      <c r="T133" s="5">
        <v>1157.29</v>
      </c>
      <c r="U133" s="5">
        <v>340.63</v>
      </c>
      <c r="V133" s="5">
        <v>802.99</v>
      </c>
      <c r="W133" s="5">
        <v>236.34</v>
      </c>
      <c r="X133" s="5">
        <v>165.47</v>
      </c>
      <c r="Y133" s="5">
        <v>48.7</v>
      </c>
      <c r="Z133" s="5">
        <v>40.090000000000003</v>
      </c>
      <c r="AA133" s="5">
        <v>8.16</v>
      </c>
      <c r="AB133" s="5">
        <v>698.57</v>
      </c>
      <c r="AC133" s="5">
        <v>55.46</v>
      </c>
      <c r="AD133" s="5">
        <v>17076.03</v>
      </c>
      <c r="AE133" s="5">
        <v>889</v>
      </c>
      <c r="AF133" s="5">
        <v>18.276332958380202</v>
      </c>
      <c r="AG133" s="5">
        <v>0.30460554930633671</v>
      </c>
      <c r="AH133" s="5">
        <v>16247.659999999998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638.11</v>
      </c>
      <c r="AP133" s="5">
        <v>187.81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2.4500000000000002</v>
      </c>
      <c r="AW133" s="5">
        <v>0</v>
      </c>
      <c r="AX133" s="5">
        <v>0</v>
      </c>
      <c r="AY133" s="5">
        <v>828.37000000000012</v>
      </c>
      <c r="AZ133" s="5" t="s">
        <v>559</v>
      </c>
    </row>
    <row r="134" spans="1:52" ht="14.85" customHeight="1">
      <c r="A134" s="1" t="s">
        <v>52</v>
      </c>
      <c r="B134" s="1" t="s">
        <v>53</v>
      </c>
      <c r="C134" s="1">
        <v>5700</v>
      </c>
      <c r="D134" s="1" t="s">
        <v>560</v>
      </c>
      <c r="E134" s="1" t="s">
        <v>561</v>
      </c>
      <c r="G134" s="1" t="s">
        <v>556</v>
      </c>
      <c r="H134" s="4"/>
      <c r="I134" s="1">
        <v>8.1572700000000005</v>
      </c>
      <c r="K134" s="1">
        <v>1</v>
      </c>
      <c r="M134" s="1" t="s">
        <v>57</v>
      </c>
      <c r="O134" s="1">
        <v>8380.4</v>
      </c>
      <c r="P134" s="5">
        <v>2809.43</v>
      </c>
      <c r="Q134" s="5">
        <v>0</v>
      </c>
      <c r="R134" s="5">
        <v>0</v>
      </c>
      <c r="S134" s="5">
        <v>0</v>
      </c>
      <c r="T134" s="5">
        <v>413.17</v>
      </c>
      <c r="U134" s="5">
        <v>127.67</v>
      </c>
      <c r="V134" s="5">
        <v>672.97</v>
      </c>
      <c r="W134" s="5">
        <v>207.95</v>
      </c>
      <c r="X134" s="5">
        <v>2.04</v>
      </c>
      <c r="Y134" s="5">
        <v>0.63</v>
      </c>
      <c r="Z134" s="5">
        <v>86.58</v>
      </c>
      <c r="AA134" s="5">
        <v>10.36</v>
      </c>
      <c r="AB134" s="5">
        <v>578.03</v>
      </c>
      <c r="AC134" s="5">
        <v>46.47</v>
      </c>
      <c r="AD134" s="5">
        <v>13335.7</v>
      </c>
      <c r="AE134" s="5">
        <v>818.25</v>
      </c>
      <c r="AF134" s="5">
        <v>15.856498625114574</v>
      </c>
      <c r="AG134" s="5">
        <v>0.26427497708524289</v>
      </c>
      <c r="AH134" s="5">
        <v>12974.58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273.76</v>
      </c>
      <c r="AP134" s="5">
        <v>84.59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2.77</v>
      </c>
      <c r="AW134" s="5">
        <v>0</v>
      </c>
      <c r="AX134" s="5">
        <v>0</v>
      </c>
      <c r="AY134" s="5">
        <v>361.12</v>
      </c>
      <c r="AZ134" s="5" t="s">
        <v>562</v>
      </c>
    </row>
    <row r="135" spans="1:52" ht="14.85" customHeight="1">
      <c r="A135" s="1" t="s">
        <v>52</v>
      </c>
      <c r="B135" s="1" t="s">
        <v>53</v>
      </c>
      <c r="C135" s="1">
        <v>5720</v>
      </c>
      <c r="D135" s="1" t="s">
        <v>563</v>
      </c>
      <c r="E135" s="1" t="s">
        <v>564</v>
      </c>
      <c r="G135" s="1" t="s">
        <v>565</v>
      </c>
      <c r="H135" s="4"/>
      <c r="I135" s="1">
        <v>1345.95</v>
      </c>
      <c r="K135" s="1">
        <v>6</v>
      </c>
      <c r="M135" s="1" t="s">
        <v>57</v>
      </c>
      <c r="O135" s="1">
        <v>6523.08</v>
      </c>
      <c r="P135" s="5">
        <v>133.55000000000001</v>
      </c>
      <c r="Q135" s="5">
        <v>0</v>
      </c>
      <c r="R135" s="5">
        <v>0</v>
      </c>
      <c r="S135" s="5">
        <v>0</v>
      </c>
      <c r="T135" s="5">
        <v>-287.45999999999998</v>
      </c>
      <c r="U135" s="5">
        <v>-4.4400000000000004</v>
      </c>
      <c r="V135" s="5">
        <v>566.71</v>
      </c>
      <c r="W135" s="5">
        <v>8.76</v>
      </c>
      <c r="X135" s="5">
        <v>32.630000000000003</v>
      </c>
      <c r="Y135" s="5">
        <v>0.5</v>
      </c>
      <c r="Z135" s="5">
        <v>67.95</v>
      </c>
      <c r="AA135" s="5">
        <v>2.97</v>
      </c>
      <c r="AB135" s="5">
        <v>486.94</v>
      </c>
      <c r="AC135" s="5">
        <v>41.85</v>
      </c>
      <c r="AD135" s="5">
        <v>7573.0400000000009</v>
      </c>
      <c r="AE135" s="5">
        <v>621.75</v>
      </c>
      <c r="AF135" s="5">
        <v>13.187390430237233</v>
      </c>
      <c r="AG135" s="5">
        <v>0.21978984050395389</v>
      </c>
      <c r="AH135" s="5">
        <v>8199.26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-616.69000000000005</v>
      </c>
      <c r="AP135" s="5">
        <v>-9.5299999999999994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-626.22</v>
      </c>
      <c r="AZ135" s="5" t="s">
        <v>566</v>
      </c>
    </row>
    <row r="136" spans="1:52" ht="14.85" customHeight="1">
      <c r="A136" s="1" t="s">
        <v>52</v>
      </c>
      <c r="B136" s="1" t="s">
        <v>53</v>
      </c>
      <c r="C136" s="1">
        <v>5740</v>
      </c>
      <c r="D136" s="1" t="s">
        <v>482</v>
      </c>
      <c r="E136" s="1" t="s">
        <v>567</v>
      </c>
      <c r="G136" s="1" t="s">
        <v>568</v>
      </c>
      <c r="H136" s="4"/>
      <c r="I136" s="1">
        <v>8.1572700000000005</v>
      </c>
      <c r="K136" s="1">
        <v>1</v>
      </c>
      <c r="M136" s="1" t="s">
        <v>57</v>
      </c>
      <c r="O136" s="1">
        <v>8447.2800000000007</v>
      </c>
      <c r="P136" s="5">
        <v>2809.43</v>
      </c>
      <c r="Q136" s="5">
        <v>0</v>
      </c>
      <c r="R136" s="5">
        <v>0</v>
      </c>
      <c r="S136" s="5">
        <v>0</v>
      </c>
      <c r="T136" s="5">
        <v>8.24</v>
      </c>
      <c r="U136" s="5">
        <v>2.5499999999999998</v>
      </c>
      <c r="V136" s="5">
        <v>672.97</v>
      </c>
      <c r="W136" s="5">
        <v>207.95</v>
      </c>
      <c r="X136" s="5">
        <v>30.59</v>
      </c>
      <c r="Y136" s="5">
        <v>9.4499999999999993</v>
      </c>
      <c r="Z136" s="5">
        <v>86.58</v>
      </c>
      <c r="AA136" s="5">
        <v>6.78</v>
      </c>
      <c r="AB136" s="5">
        <v>576.65</v>
      </c>
      <c r="AC136" s="5">
        <v>46.47</v>
      </c>
      <c r="AD136" s="5">
        <v>12904.94</v>
      </c>
      <c r="AE136" s="5">
        <v>806.75</v>
      </c>
      <c r="AF136" s="5">
        <v>15.653820886272081</v>
      </c>
      <c r="AG136" s="5">
        <v>0.26089701477120136</v>
      </c>
      <c r="AH136" s="5">
        <v>12628.72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203.28</v>
      </c>
      <c r="AP136" s="5">
        <v>62.81</v>
      </c>
      <c r="AQ136" s="5">
        <v>0</v>
      </c>
      <c r="AR136" s="5">
        <v>0</v>
      </c>
      <c r="AS136" s="5">
        <v>6.12</v>
      </c>
      <c r="AT136" s="5">
        <v>1.89</v>
      </c>
      <c r="AU136" s="5">
        <v>0</v>
      </c>
      <c r="AV136" s="5">
        <v>2.12</v>
      </c>
      <c r="AW136" s="5">
        <v>0</v>
      </c>
      <c r="AX136" s="5">
        <v>0</v>
      </c>
      <c r="AY136" s="5">
        <v>276.22000000000003</v>
      </c>
      <c r="AZ136" s="5" t="s">
        <v>569</v>
      </c>
    </row>
    <row r="137" spans="1:52" ht="14.85" customHeight="1">
      <c r="A137" s="1" t="s">
        <v>52</v>
      </c>
      <c r="B137" s="1" t="s">
        <v>53</v>
      </c>
      <c r="C137" s="1">
        <v>5750</v>
      </c>
      <c r="D137" s="1" t="s">
        <v>570</v>
      </c>
      <c r="E137" s="1" t="s">
        <v>284</v>
      </c>
      <c r="G137" s="1" t="s">
        <v>568</v>
      </c>
      <c r="H137" s="4"/>
      <c r="I137" s="1">
        <v>9.18309</v>
      </c>
      <c r="K137" s="1">
        <v>11</v>
      </c>
      <c r="M137" s="1" t="s">
        <v>57</v>
      </c>
      <c r="O137" s="1">
        <v>8180.03</v>
      </c>
      <c r="P137" s="5">
        <v>2527.62</v>
      </c>
      <c r="Q137" s="5">
        <v>0</v>
      </c>
      <c r="R137" s="5">
        <v>0</v>
      </c>
      <c r="S137" s="5">
        <v>0</v>
      </c>
      <c r="T137" s="5">
        <v>143.81</v>
      </c>
      <c r="U137" s="5">
        <v>44.44</v>
      </c>
      <c r="V137" s="5">
        <v>651.29</v>
      </c>
      <c r="W137" s="5">
        <v>201.25</v>
      </c>
      <c r="X137" s="5">
        <v>20.66</v>
      </c>
      <c r="Y137" s="5">
        <v>6.38</v>
      </c>
      <c r="Z137" s="5">
        <v>76.739999999999995</v>
      </c>
      <c r="AA137" s="5">
        <v>7.77</v>
      </c>
      <c r="AB137" s="5">
        <v>555.44000000000005</v>
      </c>
      <c r="AC137" s="5">
        <v>44.98</v>
      </c>
      <c r="AD137" s="5">
        <v>12460.409999999998</v>
      </c>
      <c r="AE137" s="5">
        <v>676.5</v>
      </c>
      <c r="AF137" s="5">
        <v>18.319201773835918</v>
      </c>
      <c r="AG137" s="5">
        <v>0.30532002956393195</v>
      </c>
      <c r="AH137" s="5">
        <v>12392.939999999999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37.380000000000003</v>
      </c>
      <c r="AP137" s="5">
        <v>11.55</v>
      </c>
      <c r="AQ137" s="5">
        <v>0</v>
      </c>
      <c r="AR137" s="5">
        <v>0</v>
      </c>
      <c r="AS137" s="5">
        <v>13.77</v>
      </c>
      <c r="AT137" s="5">
        <v>4.25</v>
      </c>
      <c r="AU137" s="5">
        <v>0</v>
      </c>
      <c r="AV137" s="5">
        <v>0.52</v>
      </c>
      <c r="AW137" s="5">
        <v>0</v>
      </c>
      <c r="AX137" s="5">
        <v>0</v>
      </c>
      <c r="AY137" s="5">
        <v>67.47</v>
      </c>
      <c r="AZ137" s="5" t="s">
        <v>571</v>
      </c>
    </row>
    <row r="138" spans="1:52" ht="14.85" customHeight="1">
      <c r="A138" s="1" t="s">
        <v>52</v>
      </c>
      <c r="B138" s="1" t="s">
        <v>53</v>
      </c>
      <c r="C138" s="1">
        <v>5760</v>
      </c>
      <c r="D138" s="1" t="s">
        <v>572</v>
      </c>
      <c r="E138" s="1" t="s">
        <v>573</v>
      </c>
      <c r="G138" s="1" t="s">
        <v>574</v>
      </c>
      <c r="H138" s="4"/>
      <c r="I138" s="1">
        <v>1345.95</v>
      </c>
      <c r="K138" s="1">
        <v>6</v>
      </c>
      <c r="M138" s="1" t="s">
        <v>57</v>
      </c>
      <c r="O138" s="1">
        <v>6040.87</v>
      </c>
      <c r="P138" s="5">
        <v>121.24</v>
      </c>
      <c r="Q138" s="5">
        <v>0</v>
      </c>
      <c r="R138" s="5">
        <v>0</v>
      </c>
      <c r="S138" s="5">
        <v>0</v>
      </c>
      <c r="T138" s="5">
        <v>-91.36</v>
      </c>
      <c r="U138" s="5">
        <v>-1.41</v>
      </c>
      <c r="V138" s="5">
        <v>516.55999999999995</v>
      </c>
      <c r="W138" s="5">
        <v>7.98</v>
      </c>
      <c r="X138" s="5">
        <v>0</v>
      </c>
      <c r="Y138" s="5">
        <v>0</v>
      </c>
      <c r="Z138" s="5">
        <v>60.43</v>
      </c>
      <c r="AA138" s="5">
        <v>4.05</v>
      </c>
      <c r="AB138" s="5">
        <v>434.52000000000004</v>
      </c>
      <c r="AC138" s="5">
        <v>38.15</v>
      </c>
      <c r="AD138" s="5">
        <v>7131.03</v>
      </c>
      <c r="AE138" s="5">
        <v>554.5</v>
      </c>
      <c r="AF138" s="5">
        <v>13.044364292155093</v>
      </c>
      <c r="AG138" s="5">
        <v>0.2174060715359182</v>
      </c>
      <c r="AH138" s="5">
        <v>7233.1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-99.52</v>
      </c>
      <c r="AP138" s="5">
        <v>-1.54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-1.01</v>
      </c>
      <c r="AW138" s="5">
        <v>0</v>
      </c>
      <c r="AX138" s="5">
        <v>0</v>
      </c>
      <c r="AY138" s="5">
        <v>-102.07</v>
      </c>
      <c r="AZ138" s="5" t="s">
        <v>575</v>
      </c>
    </row>
    <row r="139" spans="1:52" ht="14.85" customHeight="1">
      <c r="A139" s="1" t="s">
        <v>52</v>
      </c>
      <c r="B139" s="1" t="s">
        <v>53</v>
      </c>
      <c r="C139" s="1">
        <v>5770</v>
      </c>
      <c r="D139" s="1" t="s">
        <v>576</v>
      </c>
      <c r="E139" s="1" t="s">
        <v>577</v>
      </c>
      <c r="F139" s="1" t="s">
        <v>91</v>
      </c>
      <c r="G139" s="1" t="s">
        <v>578</v>
      </c>
      <c r="H139" s="4" t="s">
        <v>579</v>
      </c>
      <c r="I139" s="1">
        <v>8.5387299999999993</v>
      </c>
      <c r="K139" s="1">
        <v>14</v>
      </c>
      <c r="M139" s="1" t="s">
        <v>66</v>
      </c>
      <c r="O139" s="1">
        <v>4592.6400000000003</v>
      </c>
      <c r="P139" s="5">
        <v>1358.34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23.39</v>
      </c>
      <c r="AA139" s="5">
        <v>0</v>
      </c>
      <c r="AB139" s="5">
        <v>199.97</v>
      </c>
      <c r="AC139" s="5">
        <v>0</v>
      </c>
      <c r="AD139" s="5">
        <v>6174.3400000000011</v>
      </c>
      <c r="AE139" s="5">
        <v>335.45</v>
      </c>
      <c r="AF139" s="5">
        <v>17.720465046951858</v>
      </c>
      <c r="AG139" s="5">
        <v>0.29534108411586429</v>
      </c>
      <c r="AH139" s="5">
        <v>5944.3300000000008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176.75</v>
      </c>
      <c r="AP139" s="5">
        <v>52.02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1.24</v>
      </c>
      <c r="AW139" s="5">
        <v>0</v>
      </c>
      <c r="AX139" s="5">
        <v>0</v>
      </c>
      <c r="AY139" s="5">
        <v>230.01000000000002</v>
      </c>
      <c r="AZ139" s="5" t="s">
        <v>580</v>
      </c>
    </row>
    <row r="140" spans="1:52" ht="14.85" customHeight="1">
      <c r="A140" s="1" t="s">
        <v>52</v>
      </c>
      <c r="B140" s="1" t="s">
        <v>53</v>
      </c>
      <c r="C140" s="1">
        <v>5780</v>
      </c>
      <c r="D140" s="1" t="s">
        <v>581</v>
      </c>
      <c r="E140" s="1" t="s">
        <v>582</v>
      </c>
      <c r="G140" s="1" t="s">
        <v>583</v>
      </c>
      <c r="H140" s="4"/>
      <c r="I140" s="1">
        <v>1345.95</v>
      </c>
      <c r="K140" s="1">
        <v>6</v>
      </c>
      <c r="M140" s="1" t="s">
        <v>57</v>
      </c>
      <c r="O140" s="1">
        <v>7748.46</v>
      </c>
      <c r="P140" s="5">
        <v>153.58000000000001</v>
      </c>
      <c r="Q140" s="5">
        <v>0</v>
      </c>
      <c r="R140" s="5">
        <v>0</v>
      </c>
      <c r="S140" s="5">
        <v>0</v>
      </c>
      <c r="T140" s="5">
        <v>612.20000000000005</v>
      </c>
      <c r="U140" s="5">
        <v>9.4600000000000009</v>
      </c>
      <c r="V140" s="5">
        <v>619.88</v>
      </c>
      <c r="W140" s="5">
        <v>9.58</v>
      </c>
      <c r="X140" s="5">
        <v>0</v>
      </c>
      <c r="Y140" s="5">
        <v>0</v>
      </c>
      <c r="Z140" s="5">
        <v>77.849999999999994</v>
      </c>
      <c r="AA140" s="5">
        <v>11.74</v>
      </c>
      <c r="AB140" s="5">
        <v>574.92000000000007</v>
      </c>
      <c r="AC140" s="5">
        <v>45.78</v>
      </c>
      <c r="AD140" s="5">
        <v>9863.4499999999989</v>
      </c>
      <c r="AE140" s="5">
        <v>854.75</v>
      </c>
      <c r="AF140" s="5">
        <v>11.629692892658671</v>
      </c>
      <c r="AG140" s="5">
        <v>0.19382821487764451</v>
      </c>
      <c r="AH140" s="5">
        <v>9940.48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-75.86</v>
      </c>
      <c r="AP140" s="5">
        <v>-1.17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-77.03</v>
      </c>
      <c r="AZ140" s="5" t="s">
        <v>584</v>
      </c>
    </row>
    <row r="141" spans="1:52" ht="14.85" customHeight="1">
      <c r="A141" s="1" t="s">
        <v>52</v>
      </c>
      <c r="B141" s="1" t="s">
        <v>53</v>
      </c>
      <c r="C141" s="1">
        <v>5790</v>
      </c>
      <c r="D141" s="1" t="s">
        <v>585</v>
      </c>
      <c r="E141" s="1" t="s">
        <v>78</v>
      </c>
      <c r="G141" s="1" t="s">
        <v>583</v>
      </c>
      <c r="H141" s="4"/>
      <c r="I141" s="1">
        <v>1605.99</v>
      </c>
      <c r="K141" s="1">
        <v>14</v>
      </c>
      <c r="M141" s="1" t="s">
        <v>66</v>
      </c>
      <c r="O141" s="1">
        <v>7043.94</v>
      </c>
      <c r="P141" s="5">
        <v>2044.83</v>
      </c>
      <c r="Q141" s="5">
        <v>0</v>
      </c>
      <c r="R141" s="5">
        <v>0</v>
      </c>
      <c r="S141" s="5">
        <v>0</v>
      </c>
      <c r="T141" s="5">
        <v>503.99</v>
      </c>
      <c r="U141" s="5">
        <v>141.28</v>
      </c>
      <c r="V141" s="5">
        <v>563.51</v>
      </c>
      <c r="W141" s="5">
        <v>157.97</v>
      </c>
      <c r="X141" s="5">
        <v>73</v>
      </c>
      <c r="Y141" s="5">
        <v>20.46</v>
      </c>
      <c r="Z141" s="5">
        <v>24.72</v>
      </c>
      <c r="AA141" s="5">
        <v>4.37</v>
      </c>
      <c r="AB141" s="5">
        <v>488.45000000000005</v>
      </c>
      <c r="AC141" s="5">
        <v>38.92</v>
      </c>
      <c r="AD141" s="5">
        <v>11105.44</v>
      </c>
      <c r="AE141" s="5">
        <v>622.75</v>
      </c>
      <c r="AF141" s="5">
        <v>17.953111200321157</v>
      </c>
      <c r="AG141" s="5">
        <v>0.2992185200053526</v>
      </c>
      <c r="AH141" s="5">
        <v>11180.3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-58.3</v>
      </c>
      <c r="AP141" s="5">
        <v>-16.34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-0.22</v>
      </c>
      <c r="AW141" s="5">
        <v>0</v>
      </c>
      <c r="AX141" s="5">
        <v>0</v>
      </c>
      <c r="AY141" s="5">
        <v>-74.86</v>
      </c>
      <c r="AZ141" s="5" t="s">
        <v>586</v>
      </c>
    </row>
    <row r="142" spans="1:52" ht="14.85" customHeight="1">
      <c r="A142" s="1" t="s">
        <v>52</v>
      </c>
      <c r="B142" s="1" t="s">
        <v>53</v>
      </c>
      <c r="C142" s="1">
        <v>5800</v>
      </c>
      <c r="D142" s="1" t="s">
        <v>587</v>
      </c>
      <c r="E142" s="1" t="s">
        <v>588</v>
      </c>
      <c r="G142" s="1" t="s">
        <v>589</v>
      </c>
      <c r="H142" s="4"/>
      <c r="I142" s="1">
        <v>11.81812</v>
      </c>
      <c r="K142" s="1">
        <v>11</v>
      </c>
      <c r="M142" s="1" t="s">
        <v>57</v>
      </c>
      <c r="O142" s="1">
        <v>12375.18</v>
      </c>
      <c r="P142" s="5">
        <v>3628.11</v>
      </c>
      <c r="Q142" s="5">
        <v>300</v>
      </c>
      <c r="R142" s="5">
        <v>0</v>
      </c>
      <c r="S142" s="5">
        <v>0</v>
      </c>
      <c r="T142" s="5">
        <v>1395.96</v>
      </c>
      <c r="U142" s="5">
        <v>411.81</v>
      </c>
      <c r="V142" s="5">
        <v>974.99</v>
      </c>
      <c r="W142" s="5">
        <v>287.62</v>
      </c>
      <c r="X142" s="5">
        <v>5.91</v>
      </c>
      <c r="Y142" s="5">
        <v>1.74</v>
      </c>
      <c r="Z142" s="5">
        <v>114.99</v>
      </c>
      <c r="AA142" s="5">
        <v>22.63</v>
      </c>
      <c r="AB142" s="5">
        <v>838.54000000000008</v>
      </c>
      <c r="AC142" s="5">
        <v>67.34</v>
      </c>
      <c r="AD142" s="5">
        <v>20124.820000000007</v>
      </c>
      <c r="AE142" s="5">
        <v>928</v>
      </c>
      <c r="AF142" s="5">
        <v>21.257758620689664</v>
      </c>
      <c r="AG142" s="5">
        <v>0.3542959770114944</v>
      </c>
      <c r="AH142" s="5">
        <v>19727.200000000008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298.76</v>
      </c>
      <c r="AP142" s="5">
        <v>88.13</v>
      </c>
      <c r="AQ142" s="5">
        <v>0</v>
      </c>
      <c r="AR142" s="5">
        <v>0</v>
      </c>
      <c r="AS142" s="5">
        <v>5.91</v>
      </c>
      <c r="AT142" s="5">
        <v>1.74</v>
      </c>
      <c r="AU142" s="5">
        <v>0</v>
      </c>
      <c r="AV142" s="5">
        <v>3.08</v>
      </c>
      <c r="AW142" s="5">
        <v>0</v>
      </c>
      <c r="AX142" s="5">
        <v>0</v>
      </c>
      <c r="AY142" s="5">
        <v>397.62</v>
      </c>
      <c r="AZ142" s="5" t="s">
        <v>590</v>
      </c>
    </row>
    <row r="143" spans="1:52" ht="14.85" customHeight="1">
      <c r="A143" s="1" t="s">
        <v>52</v>
      </c>
      <c r="B143" s="1" t="s">
        <v>53</v>
      </c>
      <c r="C143" s="1">
        <v>5810</v>
      </c>
      <c r="D143" s="1" t="s">
        <v>591</v>
      </c>
      <c r="E143" s="1" t="s">
        <v>592</v>
      </c>
      <c r="G143" s="1" t="s">
        <v>593</v>
      </c>
      <c r="H143" s="4"/>
      <c r="I143" s="1">
        <v>1345.95</v>
      </c>
      <c r="K143" s="1">
        <v>6</v>
      </c>
      <c r="M143" s="1" t="s">
        <v>57</v>
      </c>
      <c r="O143" s="1">
        <v>7717.68</v>
      </c>
      <c r="P143" s="5">
        <v>152.43</v>
      </c>
      <c r="Q143" s="5">
        <v>0</v>
      </c>
      <c r="R143" s="5">
        <v>0</v>
      </c>
      <c r="S143" s="5">
        <v>0</v>
      </c>
      <c r="T143" s="5">
        <v>127.66</v>
      </c>
      <c r="U143" s="5">
        <v>1.97</v>
      </c>
      <c r="V143" s="5">
        <v>619.88</v>
      </c>
      <c r="W143" s="5">
        <v>9.58</v>
      </c>
      <c r="X143" s="5">
        <v>0</v>
      </c>
      <c r="Y143" s="5">
        <v>0</v>
      </c>
      <c r="Z143" s="5">
        <v>77.849999999999994</v>
      </c>
      <c r="AA143" s="5">
        <v>7.12</v>
      </c>
      <c r="AB143" s="5">
        <v>576.41</v>
      </c>
      <c r="AC143" s="5">
        <v>45.78</v>
      </c>
      <c r="AD143" s="5">
        <v>9336.3600000000024</v>
      </c>
      <c r="AE143" s="5">
        <v>762</v>
      </c>
      <c r="AF143" s="5">
        <v>12.295380577427824</v>
      </c>
      <c r="AG143" s="5">
        <v>0.20492300962379709</v>
      </c>
      <c r="AH143" s="5">
        <v>9369.0800000000017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-32.22</v>
      </c>
      <c r="AP143" s="5">
        <v>-0.5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-32.72</v>
      </c>
      <c r="AZ143" s="5" t="s">
        <v>594</v>
      </c>
    </row>
    <row r="144" spans="1:52" ht="14.85" customHeight="1">
      <c r="A144" s="1" t="s">
        <v>52</v>
      </c>
      <c r="B144" s="1" t="s">
        <v>53</v>
      </c>
      <c r="C144" s="1">
        <v>5820</v>
      </c>
      <c r="D144" s="1" t="s">
        <v>595</v>
      </c>
      <c r="E144" s="1" t="s">
        <v>596</v>
      </c>
      <c r="G144" s="1" t="s">
        <v>597</v>
      </c>
      <c r="H144" s="4"/>
      <c r="I144" s="1">
        <v>8.5387299999999993</v>
      </c>
      <c r="K144" s="1">
        <v>14</v>
      </c>
      <c r="M144" s="1" t="s">
        <v>66</v>
      </c>
      <c r="O144" s="1">
        <v>7876.79</v>
      </c>
      <c r="P144" s="5">
        <v>2349.33</v>
      </c>
      <c r="Q144" s="5">
        <v>0</v>
      </c>
      <c r="R144" s="5">
        <v>0</v>
      </c>
      <c r="S144" s="5">
        <v>0</v>
      </c>
      <c r="T144" s="5">
        <v>516.25</v>
      </c>
      <c r="U144" s="5">
        <v>151.94999999999999</v>
      </c>
      <c r="V144" s="5">
        <v>556.16</v>
      </c>
      <c r="W144" s="5">
        <v>163.69</v>
      </c>
      <c r="X144" s="5">
        <v>0</v>
      </c>
      <c r="Y144" s="5">
        <v>0</v>
      </c>
      <c r="Z144" s="5">
        <v>52.01</v>
      </c>
      <c r="AA144" s="5">
        <v>7.51</v>
      </c>
      <c r="AB144" s="5">
        <v>478.85</v>
      </c>
      <c r="AC144" s="5">
        <v>38.4</v>
      </c>
      <c r="AD144" s="5">
        <v>12190.94</v>
      </c>
      <c r="AE144" s="5">
        <v>738</v>
      </c>
      <c r="AF144" s="5">
        <v>16.356422764227645</v>
      </c>
      <c r="AG144" s="5">
        <v>0.27260704607046077</v>
      </c>
      <c r="AH144" s="5">
        <v>12071.04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92.13</v>
      </c>
      <c r="AP144" s="5">
        <v>27.12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0.65</v>
      </c>
      <c r="AW144" s="5">
        <v>0</v>
      </c>
      <c r="AX144" s="5">
        <v>0</v>
      </c>
      <c r="AY144" s="5">
        <v>119.9</v>
      </c>
      <c r="AZ144" s="5" t="s">
        <v>598</v>
      </c>
    </row>
    <row r="145" spans="1:52" ht="14.85" customHeight="1">
      <c r="A145" s="1" t="s">
        <v>52</v>
      </c>
      <c r="B145" s="1" t="s">
        <v>53</v>
      </c>
      <c r="C145" s="1">
        <v>5830</v>
      </c>
      <c r="D145" s="1" t="s">
        <v>599</v>
      </c>
      <c r="E145" s="1" t="s">
        <v>600</v>
      </c>
      <c r="G145" s="1" t="s">
        <v>601</v>
      </c>
      <c r="H145" s="4"/>
      <c r="I145" s="1">
        <v>7.2579200000000004</v>
      </c>
      <c r="K145" s="1">
        <v>7</v>
      </c>
      <c r="M145" s="1" t="s">
        <v>479</v>
      </c>
      <c r="O145" s="1">
        <v>7415.78</v>
      </c>
      <c r="P145" s="5">
        <v>1119.83</v>
      </c>
      <c r="Q145" s="5">
        <v>0</v>
      </c>
      <c r="R145" s="5">
        <v>0</v>
      </c>
      <c r="S145" s="5">
        <v>0</v>
      </c>
      <c r="T145" s="5">
        <v>556.9</v>
      </c>
      <c r="U145" s="5">
        <v>79.14</v>
      </c>
      <c r="V145" s="5">
        <v>598.78</v>
      </c>
      <c r="W145" s="5">
        <v>85.09</v>
      </c>
      <c r="X145" s="5">
        <v>301.2</v>
      </c>
      <c r="Y145" s="5">
        <v>42.8</v>
      </c>
      <c r="Z145" s="5">
        <v>0</v>
      </c>
      <c r="AA145" s="5">
        <v>0</v>
      </c>
      <c r="AB145" s="5">
        <v>550.83000000000004</v>
      </c>
      <c r="AC145" s="5">
        <v>44.35</v>
      </c>
      <c r="AD145" s="5">
        <v>10794.7</v>
      </c>
      <c r="AE145" s="5">
        <v>875.5</v>
      </c>
      <c r="AF145" s="5">
        <v>12.158012564249001</v>
      </c>
      <c r="AG145" s="5">
        <v>0.20263354273748335</v>
      </c>
      <c r="AH145" s="5">
        <v>10644.34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118.96</v>
      </c>
      <c r="AP145" s="5">
        <v>16.899999999999999</v>
      </c>
      <c r="AQ145" s="5">
        <v>0</v>
      </c>
      <c r="AR145" s="5">
        <v>0</v>
      </c>
      <c r="AS145" s="5">
        <v>12.7</v>
      </c>
      <c r="AT145" s="5">
        <v>1.8</v>
      </c>
      <c r="AU145" s="5">
        <v>0</v>
      </c>
      <c r="AV145" s="5">
        <v>0</v>
      </c>
      <c r="AW145" s="5">
        <v>0</v>
      </c>
      <c r="AX145" s="5">
        <v>0</v>
      </c>
      <c r="AY145" s="5">
        <v>150.35999999999999</v>
      </c>
      <c r="AZ145" s="5" t="s">
        <v>602</v>
      </c>
    </row>
    <row r="146" spans="1:52" ht="14.85" customHeight="1">
      <c r="A146" s="1" t="s">
        <v>52</v>
      </c>
      <c r="B146" s="1" t="s">
        <v>53</v>
      </c>
      <c r="C146" s="1">
        <v>5840</v>
      </c>
      <c r="D146" s="1" t="s">
        <v>603</v>
      </c>
      <c r="E146" s="1" t="s">
        <v>604</v>
      </c>
      <c r="F146" s="1" t="s">
        <v>91</v>
      </c>
      <c r="G146" s="1" t="s">
        <v>601</v>
      </c>
      <c r="H146" s="4" t="s">
        <v>605</v>
      </c>
      <c r="I146" s="1">
        <v>8.1572700000000005</v>
      </c>
      <c r="K146" s="1">
        <v>2</v>
      </c>
      <c r="M146" s="1" t="s">
        <v>57</v>
      </c>
      <c r="O146" s="1">
        <v>1599.48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15.25</v>
      </c>
      <c r="AA146" s="5">
        <v>0</v>
      </c>
      <c r="AB146" s="5">
        <v>118.54</v>
      </c>
      <c r="AC146" s="5">
        <v>0</v>
      </c>
      <c r="AD146" s="5">
        <v>1733.27</v>
      </c>
      <c r="AE146" s="5">
        <v>45</v>
      </c>
      <c r="AF146" s="5">
        <v>37.80488888888889</v>
      </c>
      <c r="AG146" s="5">
        <v>0.63008148148148146</v>
      </c>
      <c r="AH146" s="5">
        <v>1701.22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11.34</v>
      </c>
      <c r="AP146" s="5">
        <v>0</v>
      </c>
      <c r="AQ146" s="5">
        <v>0</v>
      </c>
      <c r="AR146" s="5">
        <v>0</v>
      </c>
      <c r="AS146" s="5">
        <v>20.39</v>
      </c>
      <c r="AT146" s="5">
        <v>0</v>
      </c>
      <c r="AU146" s="5">
        <v>0</v>
      </c>
      <c r="AV146" s="5">
        <v>0.32</v>
      </c>
      <c r="AW146" s="5">
        <v>0</v>
      </c>
      <c r="AX146" s="5">
        <v>0</v>
      </c>
      <c r="AY146" s="5">
        <v>32.049999999999997</v>
      </c>
      <c r="AZ146" s="5" t="s">
        <v>606</v>
      </c>
    </row>
    <row r="147" spans="1:52" ht="14.85" customHeight="1">
      <c r="A147" s="1" t="s">
        <v>52</v>
      </c>
      <c r="B147" s="1" t="s">
        <v>53</v>
      </c>
      <c r="C147" s="1">
        <v>5850</v>
      </c>
      <c r="D147" s="1" t="s">
        <v>607</v>
      </c>
      <c r="E147" s="1" t="s">
        <v>608</v>
      </c>
      <c r="G147" s="1" t="s">
        <v>601</v>
      </c>
      <c r="H147" s="4"/>
      <c r="I147" s="1">
        <v>8.1572700000000005</v>
      </c>
      <c r="K147" s="1">
        <v>1</v>
      </c>
      <c r="M147" s="1" t="s">
        <v>57</v>
      </c>
      <c r="O147" s="1">
        <v>8372.2099999999991</v>
      </c>
      <c r="P147" s="5">
        <v>2774.22</v>
      </c>
      <c r="Q147" s="5">
        <v>0</v>
      </c>
      <c r="R147" s="5">
        <v>0</v>
      </c>
      <c r="S147" s="5">
        <v>0</v>
      </c>
      <c r="T147" s="5">
        <v>303.7</v>
      </c>
      <c r="U147" s="5">
        <v>93.84</v>
      </c>
      <c r="V147" s="5">
        <v>672.97</v>
      </c>
      <c r="W147" s="5">
        <v>207.95</v>
      </c>
      <c r="X147" s="5">
        <v>65.260000000000005</v>
      </c>
      <c r="Y147" s="5">
        <v>20.170000000000002</v>
      </c>
      <c r="Z147" s="5">
        <v>85.5</v>
      </c>
      <c r="AA147" s="5">
        <v>9.93</v>
      </c>
      <c r="AB147" s="5">
        <v>574.08000000000004</v>
      </c>
      <c r="AC147" s="5">
        <v>46.47</v>
      </c>
      <c r="AD147" s="5">
        <v>13226.3</v>
      </c>
      <c r="AE147" s="5">
        <v>807</v>
      </c>
      <c r="AF147" s="5">
        <v>16.317596034696404</v>
      </c>
      <c r="AG147" s="5">
        <v>0.27195993391160672</v>
      </c>
      <c r="AH147" s="5">
        <v>13168.3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43.97</v>
      </c>
      <c r="AP147" s="5">
        <v>13.59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0.44</v>
      </c>
      <c r="AW147" s="5">
        <v>0</v>
      </c>
      <c r="AX147" s="5">
        <v>0</v>
      </c>
      <c r="AY147" s="5">
        <v>58</v>
      </c>
      <c r="AZ147" s="5" t="s">
        <v>609</v>
      </c>
    </row>
    <row r="148" spans="1:52" ht="14.85" customHeight="1">
      <c r="A148" s="1" t="s">
        <v>52</v>
      </c>
      <c r="B148" s="1" t="s">
        <v>53</v>
      </c>
      <c r="C148" s="1">
        <v>5860</v>
      </c>
      <c r="D148" s="1" t="s">
        <v>610</v>
      </c>
      <c r="E148" s="1" t="s">
        <v>611</v>
      </c>
      <c r="G148" s="1" t="s">
        <v>601</v>
      </c>
      <c r="H148" s="4"/>
      <c r="I148" s="1">
        <v>9.8887300000000007</v>
      </c>
      <c r="K148" s="1">
        <v>1</v>
      </c>
      <c r="M148" s="1" t="s">
        <v>57</v>
      </c>
      <c r="O148" s="1">
        <v>9550.6</v>
      </c>
      <c r="P148" s="5">
        <v>3010.26</v>
      </c>
      <c r="Q148" s="5">
        <v>0</v>
      </c>
      <c r="R148" s="5">
        <v>0</v>
      </c>
      <c r="S148" s="5">
        <v>0</v>
      </c>
      <c r="T148" s="5">
        <v>548.63</v>
      </c>
      <c r="U148" s="5">
        <v>169.53</v>
      </c>
      <c r="V148" s="5">
        <v>815.82</v>
      </c>
      <c r="W148" s="5">
        <v>252.09</v>
      </c>
      <c r="X148" s="5">
        <v>74.17</v>
      </c>
      <c r="Y148" s="5">
        <v>22.92</v>
      </c>
      <c r="Z148" s="5">
        <v>92.8</v>
      </c>
      <c r="AA148" s="5">
        <v>13.71</v>
      </c>
      <c r="AB148" s="5">
        <v>659.19</v>
      </c>
      <c r="AC148" s="5">
        <v>56.35</v>
      </c>
      <c r="AD148" s="5">
        <v>15266.07</v>
      </c>
      <c r="AE148" s="5">
        <v>815.5</v>
      </c>
      <c r="AF148" s="5">
        <v>18.598038013488654</v>
      </c>
      <c r="AG148" s="5">
        <v>0.30996730022481089</v>
      </c>
      <c r="AH148" s="5">
        <v>15166.7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75.91</v>
      </c>
      <c r="AP148" s="5">
        <v>23.46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99.37</v>
      </c>
      <c r="AZ148" s="5" t="s">
        <v>612</v>
      </c>
    </row>
    <row r="149" spans="1:52" ht="14.85" customHeight="1">
      <c r="A149" s="1" t="s">
        <v>52</v>
      </c>
      <c r="B149" s="1" t="s">
        <v>53</v>
      </c>
      <c r="C149" s="1">
        <v>5870</v>
      </c>
      <c r="D149" s="1" t="s">
        <v>613</v>
      </c>
      <c r="E149" s="1" t="s">
        <v>614</v>
      </c>
      <c r="F149" s="1" t="s">
        <v>91</v>
      </c>
      <c r="G149" s="1" t="s">
        <v>615</v>
      </c>
      <c r="H149" s="4" t="s">
        <v>616</v>
      </c>
      <c r="I149" s="1">
        <v>8.5387299999999993</v>
      </c>
      <c r="K149" s="1">
        <v>14</v>
      </c>
      <c r="M149" s="1" t="s">
        <v>66</v>
      </c>
      <c r="O149" s="1">
        <v>3634.01</v>
      </c>
      <c r="P149" s="5">
        <v>1037.79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22.84</v>
      </c>
      <c r="AA149" s="5">
        <v>0</v>
      </c>
      <c r="AB149" s="5">
        <v>204.33</v>
      </c>
      <c r="AC149" s="5">
        <v>0</v>
      </c>
      <c r="AD149" s="5">
        <v>4898.97</v>
      </c>
      <c r="AE149" s="5">
        <v>287.5</v>
      </c>
      <c r="AF149" s="5">
        <v>16.760417391304347</v>
      </c>
      <c r="AG149" s="5">
        <v>0.27934028985507248</v>
      </c>
      <c r="AH149" s="5">
        <v>4818.62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62.76</v>
      </c>
      <c r="AP149" s="5">
        <v>17.59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80.349999999999994</v>
      </c>
      <c r="AZ149" s="5" t="s">
        <v>617</v>
      </c>
    </row>
    <row r="150" spans="1:52" ht="14.85" customHeight="1">
      <c r="A150" s="1" t="s">
        <v>52</v>
      </c>
      <c r="B150" s="1" t="s">
        <v>53</v>
      </c>
      <c r="C150" s="1">
        <v>5880</v>
      </c>
      <c r="D150" s="1" t="s">
        <v>618</v>
      </c>
      <c r="E150" s="1" t="s">
        <v>619</v>
      </c>
      <c r="G150" s="1" t="s">
        <v>620</v>
      </c>
      <c r="H150" s="4"/>
      <c r="I150" s="1">
        <v>1605.99</v>
      </c>
      <c r="K150" s="1">
        <v>14</v>
      </c>
      <c r="M150" s="1" t="s">
        <v>66</v>
      </c>
      <c r="O150" s="1">
        <v>5546.62</v>
      </c>
      <c r="P150" s="5">
        <v>0</v>
      </c>
      <c r="Q150" s="5">
        <v>0</v>
      </c>
      <c r="R150" s="5">
        <v>0</v>
      </c>
      <c r="S150" s="5">
        <v>0</v>
      </c>
      <c r="T150" s="5">
        <v>451.23</v>
      </c>
      <c r="U150" s="5">
        <v>0</v>
      </c>
      <c r="V150" s="5">
        <v>443.73</v>
      </c>
      <c r="W150" s="5">
        <v>0</v>
      </c>
      <c r="X150" s="5">
        <v>90.03</v>
      </c>
      <c r="Y150" s="5">
        <v>0</v>
      </c>
      <c r="Z150" s="5">
        <v>19.11</v>
      </c>
      <c r="AA150" s="5">
        <v>3.78</v>
      </c>
      <c r="AB150" s="5">
        <v>410.87</v>
      </c>
      <c r="AC150" s="5">
        <v>32.86</v>
      </c>
      <c r="AD150" s="5">
        <v>6998.2299999999987</v>
      </c>
      <c r="AE150" s="5">
        <v>499.25</v>
      </c>
      <c r="AF150" s="5">
        <v>14.017486229344014</v>
      </c>
      <c r="AG150" s="5">
        <v>0.23362477048906691</v>
      </c>
      <c r="AH150" s="5">
        <v>6998.2299999999987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 t="s">
        <v>621</v>
      </c>
    </row>
    <row r="151" spans="1:52" ht="14.85" customHeight="1">
      <c r="A151" s="1" t="s">
        <v>52</v>
      </c>
      <c r="B151" s="1" t="s">
        <v>53</v>
      </c>
      <c r="C151" s="1">
        <v>5890</v>
      </c>
      <c r="D151" s="1" t="s">
        <v>622</v>
      </c>
      <c r="E151" s="1" t="s">
        <v>623</v>
      </c>
      <c r="F151" s="1" t="s">
        <v>91</v>
      </c>
      <c r="G151" s="1" t="s">
        <v>620</v>
      </c>
      <c r="H151" s="4" t="s">
        <v>624</v>
      </c>
      <c r="I151" s="1">
        <v>1345.95</v>
      </c>
      <c r="K151" s="1">
        <v>6</v>
      </c>
      <c r="M151" s="1" t="s">
        <v>57</v>
      </c>
      <c r="O151" s="1">
        <v>4679.18</v>
      </c>
      <c r="P151" s="5">
        <v>91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348.72</v>
      </c>
      <c r="AC151" s="5">
        <v>0</v>
      </c>
      <c r="AD151" s="5">
        <v>5118.9000000000005</v>
      </c>
      <c r="AE151" s="5">
        <v>339.25</v>
      </c>
      <c r="AF151" s="5">
        <v>15.088872512896096</v>
      </c>
      <c r="AG151" s="5">
        <v>0.25148120854826828</v>
      </c>
      <c r="AH151" s="5">
        <v>5118.9000000000005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 t="s">
        <v>625</v>
      </c>
    </row>
    <row r="152" spans="1:52" ht="14.85" customHeight="1">
      <c r="A152" s="1" t="s">
        <v>52</v>
      </c>
      <c r="B152" s="1" t="s">
        <v>53</v>
      </c>
      <c r="C152" s="1">
        <v>5900</v>
      </c>
      <c r="D152" s="1" t="s">
        <v>626</v>
      </c>
      <c r="E152" s="1" t="s">
        <v>627</v>
      </c>
      <c r="G152" s="1" t="s">
        <v>620</v>
      </c>
      <c r="H152" s="4"/>
      <c r="I152" s="1">
        <v>8.1572700000000005</v>
      </c>
      <c r="K152" s="1">
        <v>7</v>
      </c>
      <c r="M152" s="1" t="s">
        <v>57</v>
      </c>
      <c r="O152" s="1">
        <v>7273.03</v>
      </c>
      <c r="P152" s="5">
        <v>148.13</v>
      </c>
      <c r="Q152" s="5">
        <v>0</v>
      </c>
      <c r="R152" s="5">
        <v>0</v>
      </c>
      <c r="S152" s="5">
        <v>0</v>
      </c>
      <c r="T152" s="5">
        <v>637.49</v>
      </c>
      <c r="U152" s="5">
        <v>9.85</v>
      </c>
      <c r="V152" s="5">
        <v>606.54999999999995</v>
      </c>
      <c r="W152" s="5">
        <v>9.3699999999999992</v>
      </c>
      <c r="X152" s="5">
        <v>185.58</v>
      </c>
      <c r="Y152" s="5">
        <v>2.87</v>
      </c>
      <c r="Z152" s="5">
        <v>80.87</v>
      </c>
      <c r="AA152" s="5">
        <v>13.61</v>
      </c>
      <c r="AB152" s="5">
        <v>553.99</v>
      </c>
      <c r="AC152" s="5">
        <v>44.79</v>
      </c>
      <c r="AD152" s="5">
        <v>9566.1300000000028</v>
      </c>
      <c r="AE152" s="5">
        <v>721.5</v>
      </c>
      <c r="AF152" s="5">
        <v>13.258669438669443</v>
      </c>
      <c r="AG152" s="5">
        <v>0.22097782397782406</v>
      </c>
      <c r="AH152" s="5">
        <v>9566.1300000000028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 t="s">
        <v>628</v>
      </c>
    </row>
    <row r="153" spans="1:52" ht="14.85" customHeight="1">
      <c r="A153" s="1" t="s">
        <v>52</v>
      </c>
      <c r="B153" s="1" t="s">
        <v>53</v>
      </c>
      <c r="C153" s="1">
        <v>5910</v>
      </c>
      <c r="D153" s="1" t="s">
        <v>629</v>
      </c>
      <c r="E153" s="1" t="s">
        <v>630</v>
      </c>
      <c r="G153" s="1" t="s">
        <v>631</v>
      </c>
      <c r="H153" s="4" t="s">
        <v>98</v>
      </c>
      <c r="I153" s="1">
        <v>8.1572700000000005</v>
      </c>
      <c r="K153" s="1">
        <v>2</v>
      </c>
      <c r="M153" s="1" t="s">
        <v>57</v>
      </c>
      <c r="O153" s="1">
        <v>4033.16</v>
      </c>
      <c r="P153" s="5">
        <v>79.94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40.08</v>
      </c>
      <c r="AA153" s="5">
        <v>0</v>
      </c>
      <c r="AB153" s="5">
        <v>285.57</v>
      </c>
      <c r="AC153" s="5">
        <v>0</v>
      </c>
      <c r="AD153" s="5">
        <v>4438.7499999999991</v>
      </c>
      <c r="AE153" s="5">
        <v>376</v>
      </c>
      <c r="AF153" s="5">
        <v>11.805186170212764</v>
      </c>
      <c r="AG153" s="5">
        <v>0.19675310283687938</v>
      </c>
      <c r="AH153" s="5">
        <v>4438.7499999999991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 t="s">
        <v>632</v>
      </c>
    </row>
    <row r="154" spans="1:52" ht="14.85" customHeight="1">
      <c r="A154" s="1" t="s">
        <v>52</v>
      </c>
      <c r="B154" s="1" t="s">
        <v>53</v>
      </c>
      <c r="C154" s="1">
        <v>5920</v>
      </c>
      <c r="D154" s="1" t="s">
        <v>633</v>
      </c>
      <c r="E154" s="1" t="s">
        <v>634</v>
      </c>
      <c r="G154" s="1" t="s">
        <v>635</v>
      </c>
      <c r="H154" s="4"/>
      <c r="I154" s="1">
        <v>1905.99</v>
      </c>
      <c r="K154" s="1">
        <v>15</v>
      </c>
      <c r="M154" s="1" t="s">
        <v>66</v>
      </c>
      <c r="O154" s="1">
        <v>8426.75</v>
      </c>
      <c r="P154" s="5">
        <v>2241.59</v>
      </c>
      <c r="Q154" s="5">
        <v>0</v>
      </c>
      <c r="R154" s="5">
        <v>0</v>
      </c>
      <c r="S154" s="5">
        <v>0</v>
      </c>
      <c r="T154" s="5">
        <v>498.45</v>
      </c>
      <c r="U154" s="5">
        <v>146.71</v>
      </c>
      <c r="V154" s="5">
        <v>417.97</v>
      </c>
      <c r="W154" s="5">
        <v>123.02</v>
      </c>
      <c r="X154" s="5">
        <v>337.88</v>
      </c>
      <c r="Y154" s="5">
        <v>99.45</v>
      </c>
      <c r="Z154" s="5">
        <v>17.55</v>
      </c>
      <c r="AA154" s="5">
        <v>4.82</v>
      </c>
      <c r="AB154" s="5">
        <v>338.18</v>
      </c>
      <c r="AC154" s="5">
        <v>28.87</v>
      </c>
      <c r="AD154" s="5">
        <v>12681.24</v>
      </c>
      <c r="AE154" s="5">
        <v>568.75</v>
      </c>
      <c r="AF154" s="5">
        <v>22.296685714285715</v>
      </c>
      <c r="AG154" s="5">
        <v>0.37161142857142859</v>
      </c>
      <c r="AH154" s="5">
        <v>12681.24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 t="s">
        <v>636</v>
      </c>
    </row>
    <row r="155" spans="1:52" ht="14.85" customHeight="1">
      <c r="A155" s="1" t="s">
        <v>52</v>
      </c>
      <c r="B155" s="1" t="s">
        <v>53</v>
      </c>
      <c r="C155" s="1">
        <v>5930</v>
      </c>
      <c r="D155" s="1" t="s">
        <v>637</v>
      </c>
      <c r="E155" s="1" t="s">
        <v>385</v>
      </c>
      <c r="F155" s="1" t="s">
        <v>91</v>
      </c>
      <c r="G155" s="1" t="s">
        <v>638</v>
      </c>
      <c r="H155" s="4" t="s">
        <v>532</v>
      </c>
      <c r="I155" s="1">
        <v>1345.95</v>
      </c>
      <c r="K155" s="1">
        <v>6</v>
      </c>
      <c r="M155" s="1" t="s">
        <v>57</v>
      </c>
      <c r="O155" s="1">
        <v>2197.63</v>
      </c>
      <c r="P155" s="5">
        <v>40.479999999999997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18.8</v>
      </c>
      <c r="AA155" s="5">
        <v>0</v>
      </c>
      <c r="AB155" s="5">
        <v>164.38</v>
      </c>
      <c r="AC155" s="5">
        <v>0</v>
      </c>
      <c r="AD155" s="5">
        <v>2421.2900000000004</v>
      </c>
      <c r="AE155" s="5">
        <v>187.25</v>
      </c>
      <c r="AF155" s="5">
        <v>12.930787716955944</v>
      </c>
      <c r="AG155" s="5">
        <v>0.21551312861593239</v>
      </c>
      <c r="AH155" s="5">
        <v>2421.2900000000004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 t="s">
        <v>639</v>
      </c>
    </row>
    <row r="156" spans="1:52" ht="14.85" customHeight="1">
      <c r="A156" s="1" t="s">
        <v>52</v>
      </c>
      <c r="B156" s="1" t="s">
        <v>53</v>
      </c>
      <c r="C156" s="1">
        <v>5940</v>
      </c>
      <c r="D156" s="1" t="s">
        <v>640</v>
      </c>
      <c r="E156" s="1" t="s">
        <v>284</v>
      </c>
      <c r="G156" s="1" t="s">
        <v>641</v>
      </c>
      <c r="H156" s="4"/>
      <c r="I156" s="1">
        <v>8.1572700000000005</v>
      </c>
      <c r="K156" s="1">
        <v>1</v>
      </c>
      <c r="M156" s="1" t="s">
        <v>57</v>
      </c>
      <c r="O156" s="1">
        <v>7123.67</v>
      </c>
      <c r="P156" s="5">
        <v>0</v>
      </c>
      <c r="Q156" s="5">
        <v>0</v>
      </c>
      <c r="R156" s="5">
        <v>0</v>
      </c>
      <c r="S156" s="5">
        <v>0</v>
      </c>
      <c r="T156" s="5">
        <v>230.04</v>
      </c>
      <c r="U156" s="5">
        <v>0</v>
      </c>
      <c r="V156" s="5">
        <v>560.80999999999995</v>
      </c>
      <c r="W156" s="5">
        <v>0</v>
      </c>
      <c r="X156" s="5">
        <v>46.9</v>
      </c>
      <c r="Y156" s="5">
        <v>0</v>
      </c>
      <c r="Z156" s="5">
        <v>67.86</v>
      </c>
      <c r="AA156" s="5">
        <v>7.98</v>
      </c>
      <c r="AB156" s="5">
        <v>507.8</v>
      </c>
      <c r="AC156" s="5">
        <v>41.54</v>
      </c>
      <c r="AD156" s="5">
        <v>8586.6</v>
      </c>
      <c r="AE156" s="5">
        <v>519</v>
      </c>
      <c r="AF156" s="5">
        <v>16.544508670520234</v>
      </c>
      <c r="AG156" s="5">
        <v>0.27574181117533725</v>
      </c>
      <c r="AH156" s="5">
        <v>8586.6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 t="s">
        <v>642</v>
      </c>
    </row>
    <row r="157" spans="1:52" ht="14.85" customHeight="1">
      <c r="A157" s="1" t="s">
        <v>52</v>
      </c>
      <c r="B157" s="1" t="s">
        <v>53</v>
      </c>
      <c r="C157" s="1">
        <v>5950</v>
      </c>
      <c r="D157" s="1" t="s">
        <v>643</v>
      </c>
      <c r="E157" s="1" t="s">
        <v>644</v>
      </c>
      <c r="G157" s="1" t="s">
        <v>645</v>
      </c>
      <c r="H157" s="4"/>
      <c r="I157" s="1">
        <v>8.5387299999999993</v>
      </c>
      <c r="K157" s="1">
        <v>14</v>
      </c>
      <c r="M157" s="1" t="s">
        <v>66</v>
      </c>
      <c r="O157" s="1">
        <v>5098.01</v>
      </c>
      <c r="P157" s="5">
        <v>1554.37</v>
      </c>
      <c r="Q157" s="5">
        <v>0</v>
      </c>
      <c r="R157" s="5">
        <v>0</v>
      </c>
      <c r="S157" s="5">
        <v>0</v>
      </c>
      <c r="T157" s="5">
        <v>460.66</v>
      </c>
      <c r="U157" s="5">
        <v>135.59</v>
      </c>
      <c r="V157" s="5">
        <v>386.21</v>
      </c>
      <c r="W157" s="5">
        <v>113.67</v>
      </c>
      <c r="X157" s="5">
        <v>0</v>
      </c>
      <c r="Y157" s="5">
        <v>0</v>
      </c>
      <c r="Z157" s="5">
        <v>34.08</v>
      </c>
      <c r="AA157" s="5">
        <v>5.94</v>
      </c>
      <c r="AB157" s="5">
        <v>332.1</v>
      </c>
      <c r="AC157" s="5">
        <v>26.66</v>
      </c>
      <c r="AD157" s="5">
        <v>8147.29</v>
      </c>
      <c r="AE157" s="5">
        <v>520.5</v>
      </c>
      <c r="AF157" s="5">
        <v>15.652814601344861</v>
      </c>
      <c r="AG157" s="5">
        <v>0.26088024335574767</v>
      </c>
      <c r="AH157" s="5">
        <v>8147.29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 t="s">
        <v>646</v>
      </c>
    </row>
    <row r="158" spans="1:52" ht="14.85" customHeight="1">
      <c r="A158" s="1" t="s">
        <v>52</v>
      </c>
      <c r="B158" s="1" t="s">
        <v>53</v>
      </c>
      <c r="C158" s="1">
        <v>5960</v>
      </c>
      <c r="D158" s="1" t="s">
        <v>647</v>
      </c>
      <c r="E158" s="1" t="s">
        <v>648</v>
      </c>
      <c r="G158" s="1" t="s">
        <v>638</v>
      </c>
      <c r="H158" s="4"/>
      <c r="I158" s="1">
        <v>1345.95</v>
      </c>
      <c r="K158" s="1">
        <v>6</v>
      </c>
      <c r="M158" s="1" t="s">
        <v>57</v>
      </c>
      <c r="O158" s="1">
        <v>6457.04</v>
      </c>
      <c r="P158" s="5">
        <v>125.96</v>
      </c>
      <c r="Q158" s="5">
        <v>0</v>
      </c>
      <c r="R158" s="5">
        <v>0</v>
      </c>
      <c r="S158" s="5">
        <v>0</v>
      </c>
      <c r="T158" s="5">
        <v>83.61</v>
      </c>
      <c r="U158" s="5">
        <v>1.29</v>
      </c>
      <c r="V158" s="5">
        <v>516.55999999999995</v>
      </c>
      <c r="W158" s="5">
        <v>7.98</v>
      </c>
      <c r="X158" s="5">
        <v>0</v>
      </c>
      <c r="Y158" s="5">
        <v>0</v>
      </c>
      <c r="Z158" s="5">
        <v>0</v>
      </c>
      <c r="AA158" s="5">
        <v>0</v>
      </c>
      <c r="AB158" s="5">
        <v>476.57</v>
      </c>
      <c r="AC158" s="5">
        <v>38.15</v>
      </c>
      <c r="AD158" s="5">
        <v>7707.159999999998</v>
      </c>
      <c r="AE158" s="5">
        <v>648.75</v>
      </c>
      <c r="AF158" s="5">
        <v>11.880015414258185</v>
      </c>
      <c r="AG158" s="5">
        <v>0.19800025690430309</v>
      </c>
      <c r="AH158" s="5">
        <v>7707.159999999998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 t="s">
        <v>649</v>
      </c>
    </row>
    <row r="159" spans="1:52" ht="14.85" customHeight="1">
      <c r="A159" s="1" t="s">
        <v>52</v>
      </c>
      <c r="B159" s="1" t="s">
        <v>53</v>
      </c>
      <c r="C159" s="1">
        <v>5970</v>
      </c>
      <c r="D159" s="1" t="s">
        <v>650</v>
      </c>
      <c r="E159" s="1" t="s">
        <v>651</v>
      </c>
      <c r="G159" s="1" t="s">
        <v>493</v>
      </c>
      <c r="H159" s="4"/>
      <c r="I159" s="1">
        <v>7128</v>
      </c>
      <c r="K159" s="1">
        <v>12</v>
      </c>
      <c r="M159" s="1" t="s">
        <v>66</v>
      </c>
      <c r="O159" s="1">
        <v>12479.24</v>
      </c>
      <c r="P159" s="5">
        <v>0</v>
      </c>
      <c r="Q159" s="5">
        <v>0</v>
      </c>
      <c r="R159" s="5">
        <v>868.44</v>
      </c>
      <c r="S159" s="5">
        <v>0</v>
      </c>
      <c r="T159" s="5">
        <v>254.88</v>
      </c>
      <c r="U159" s="5">
        <v>0</v>
      </c>
      <c r="V159" s="5">
        <v>937.93</v>
      </c>
      <c r="W159" s="5">
        <v>0</v>
      </c>
      <c r="X159" s="5">
        <v>0</v>
      </c>
      <c r="Y159" s="5">
        <v>0</v>
      </c>
      <c r="Z159" s="5">
        <v>8.35</v>
      </c>
      <c r="AA159" s="5">
        <v>4.58</v>
      </c>
      <c r="AB159" s="5">
        <v>0</v>
      </c>
      <c r="AC159" s="5">
        <v>69.47</v>
      </c>
      <c r="AD159" s="5">
        <v>14622.89</v>
      </c>
      <c r="AE159" s="5">
        <v>212</v>
      </c>
      <c r="AF159" s="5">
        <v>68.975896226415088</v>
      </c>
      <c r="AG159" s="5">
        <v>1.1495982704402514</v>
      </c>
      <c r="AH159" s="5">
        <v>14622.89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 t="s">
        <v>652</v>
      </c>
    </row>
    <row r="160" spans="1:52" ht="14.85" customHeight="1">
      <c r="A160" s="1" t="s">
        <v>52</v>
      </c>
      <c r="B160" s="1" t="s">
        <v>53</v>
      </c>
      <c r="C160" s="1">
        <v>5980</v>
      </c>
      <c r="D160" s="1" t="s">
        <v>653</v>
      </c>
      <c r="E160" s="1" t="s">
        <v>654</v>
      </c>
      <c r="G160" s="1" t="s">
        <v>655</v>
      </c>
      <c r="H160" s="4"/>
      <c r="I160" s="1">
        <v>1956</v>
      </c>
      <c r="K160" s="1">
        <v>14</v>
      </c>
      <c r="M160" s="1" t="s">
        <v>66</v>
      </c>
      <c r="O160" s="1">
        <v>9127.77</v>
      </c>
      <c r="P160" s="5">
        <v>2592.83</v>
      </c>
      <c r="Q160" s="5">
        <v>0</v>
      </c>
      <c r="R160" s="5">
        <v>0</v>
      </c>
      <c r="S160" s="5">
        <v>0</v>
      </c>
      <c r="T160" s="5">
        <v>211.13</v>
      </c>
      <c r="U160" s="5">
        <v>59.19</v>
      </c>
      <c r="V160" s="5">
        <v>652</v>
      </c>
      <c r="W160" s="5">
        <v>182.78</v>
      </c>
      <c r="X160" s="5">
        <v>5.93</v>
      </c>
      <c r="Y160" s="5">
        <v>1.66</v>
      </c>
      <c r="Z160" s="5">
        <v>34.72</v>
      </c>
      <c r="AA160" s="5">
        <v>3.33</v>
      </c>
      <c r="AB160" s="5">
        <v>562.96</v>
      </c>
      <c r="AC160" s="5">
        <v>45.03</v>
      </c>
      <c r="AD160" s="5">
        <v>13479.33</v>
      </c>
      <c r="AE160" s="5">
        <v>613.5</v>
      </c>
      <c r="AF160" s="5">
        <v>21.971198044009778</v>
      </c>
      <c r="AG160" s="5">
        <v>0.36618663406682966</v>
      </c>
      <c r="AH160" s="5">
        <v>13479.33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 t="s">
        <v>656</v>
      </c>
    </row>
    <row r="161" spans="1:52" ht="14.85" customHeight="1">
      <c r="A161" s="1" t="s">
        <v>52</v>
      </c>
      <c r="B161" s="1" t="s">
        <v>53</v>
      </c>
      <c r="C161" s="1">
        <v>5990</v>
      </c>
      <c r="D161" s="1" t="s">
        <v>657</v>
      </c>
      <c r="E161" s="1" t="s">
        <v>658</v>
      </c>
      <c r="F161" s="1" t="s">
        <v>91</v>
      </c>
      <c r="G161" s="1" t="s">
        <v>655</v>
      </c>
      <c r="H161" s="4" t="s">
        <v>659</v>
      </c>
      <c r="I161" s="1">
        <v>8.5387299999999993</v>
      </c>
      <c r="K161" s="1">
        <v>14</v>
      </c>
      <c r="M161" s="1" t="s">
        <v>66</v>
      </c>
      <c r="O161" s="1">
        <v>1211.8699999999999</v>
      </c>
      <c r="P161" s="5">
        <v>359.67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7.69</v>
      </c>
      <c r="AA161" s="5">
        <v>0</v>
      </c>
      <c r="AB161" s="5">
        <v>59.09</v>
      </c>
      <c r="AC161" s="5">
        <v>0</v>
      </c>
      <c r="AD161" s="5">
        <v>1638.32</v>
      </c>
      <c r="AE161" s="5">
        <v>108.5</v>
      </c>
      <c r="AF161" s="5">
        <v>15.099723502304148</v>
      </c>
      <c r="AG161" s="5">
        <v>0.25166205837173578</v>
      </c>
      <c r="AH161" s="5">
        <v>1638.32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 t="s">
        <v>660</v>
      </c>
    </row>
    <row r="162" spans="1:52" ht="14.85" customHeight="1">
      <c r="A162" s="1" t="s">
        <v>52</v>
      </c>
      <c r="B162" s="1" t="s">
        <v>53</v>
      </c>
      <c r="C162" s="1">
        <v>6000</v>
      </c>
      <c r="D162" s="1" t="s">
        <v>661</v>
      </c>
      <c r="E162" s="1" t="s">
        <v>662</v>
      </c>
      <c r="G162" s="1" t="s">
        <v>663</v>
      </c>
      <c r="H162" s="4"/>
      <c r="I162" s="1">
        <v>8.1572700000000005</v>
      </c>
      <c r="K162" s="1">
        <v>1</v>
      </c>
      <c r="M162" s="1" t="s">
        <v>57</v>
      </c>
      <c r="O162" s="1">
        <v>4458.4399999999996</v>
      </c>
      <c r="P162" s="5">
        <v>0</v>
      </c>
      <c r="Q162" s="5">
        <v>0</v>
      </c>
      <c r="R162" s="5">
        <v>0</v>
      </c>
      <c r="S162" s="5">
        <v>0</v>
      </c>
      <c r="T162" s="5">
        <v>174.89</v>
      </c>
      <c r="U162" s="5">
        <v>0</v>
      </c>
      <c r="V162" s="5">
        <v>324.69</v>
      </c>
      <c r="W162" s="5">
        <v>0</v>
      </c>
      <c r="X162" s="5">
        <v>0</v>
      </c>
      <c r="Y162" s="5">
        <v>0</v>
      </c>
      <c r="Z162" s="5">
        <v>44.77</v>
      </c>
      <c r="AA162" s="5">
        <v>4.76</v>
      </c>
      <c r="AB162" s="5">
        <v>297.82</v>
      </c>
      <c r="AC162" s="5">
        <v>24.05</v>
      </c>
      <c r="AD162" s="5">
        <v>5329.42</v>
      </c>
      <c r="AE162" s="5">
        <v>441.5</v>
      </c>
      <c r="AF162" s="5">
        <v>12.071166477916195</v>
      </c>
      <c r="AG162" s="5">
        <v>0.20118610796526992</v>
      </c>
      <c r="AH162" s="5">
        <v>5329.42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 t="s">
        <v>664</v>
      </c>
    </row>
    <row r="163" spans="1:52" ht="14.85" customHeight="1">
      <c r="A163" s="1" t="s">
        <v>52</v>
      </c>
      <c r="B163" s="1" t="s">
        <v>53</v>
      </c>
      <c r="C163" s="1">
        <v>6010</v>
      </c>
      <c r="D163" s="1" t="s">
        <v>665</v>
      </c>
      <c r="E163" s="1" t="s">
        <v>219</v>
      </c>
      <c r="G163" s="1" t="s">
        <v>666</v>
      </c>
      <c r="H163" s="4"/>
      <c r="I163" s="1">
        <v>8.1572700000000005</v>
      </c>
      <c r="K163" s="1">
        <v>1</v>
      </c>
      <c r="M163" s="1" t="s">
        <v>57</v>
      </c>
      <c r="O163" s="1">
        <v>4267.04</v>
      </c>
      <c r="P163" s="5">
        <v>0</v>
      </c>
      <c r="Q163" s="5">
        <v>0</v>
      </c>
      <c r="R163" s="5">
        <v>0</v>
      </c>
      <c r="S163" s="5">
        <v>0</v>
      </c>
      <c r="T163" s="5">
        <v>207.52</v>
      </c>
      <c r="U163" s="5">
        <v>0</v>
      </c>
      <c r="V163" s="5">
        <v>324.69</v>
      </c>
      <c r="W163" s="5">
        <v>0</v>
      </c>
      <c r="X163" s="5">
        <v>8.16</v>
      </c>
      <c r="Y163" s="5">
        <v>0</v>
      </c>
      <c r="Z163" s="5">
        <v>43.47</v>
      </c>
      <c r="AA163" s="5">
        <v>5.15</v>
      </c>
      <c r="AB163" s="5">
        <v>297.82</v>
      </c>
      <c r="AC163" s="5">
        <v>24.05</v>
      </c>
      <c r="AD163" s="5">
        <v>5177.8999999999996</v>
      </c>
      <c r="AE163" s="5">
        <v>391</v>
      </c>
      <c r="AF163" s="5">
        <v>13.242710997442455</v>
      </c>
      <c r="AG163" s="5">
        <v>0.22071184995737425</v>
      </c>
      <c r="AH163" s="5">
        <v>5177.8999999999996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 t="s">
        <v>667</v>
      </c>
    </row>
    <row r="164" spans="1:52" ht="14.85" customHeight="1">
      <c r="A164" s="1" t="s">
        <v>52</v>
      </c>
      <c r="B164" s="1" t="s">
        <v>53</v>
      </c>
      <c r="C164" s="1">
        <v>6020</v>
      </c>
      <c r="D164" s="1" t="s">
        <v>668</v>
      </c>
      <c r="E164" s="1" t="s">
        <v>669</v>
      </c>
      <c r="G164" s="1" t="s">
        <v>670</v>
      </c>
      <c r="H164" s="4"/>
      <c r="I164" s="1">
        <v>1365.09</v>
      </c>
      <c r="K164" s="1">
        <v>14</v>
      </c>
      <c r="M164" s="1" t="s">
        <v>479</v>
      </c>
      <c r="O164" s="1">
        <v>5987.11</v>
      </c>
      <c r="P164" s="5">
        <v>800.37</v>
      </c>
      <c r="Q164" s="5">
        <v>0</v>
      </c>
      <c r="R164" s="5">
        <v>0</v>
      </c>
      <c r="S164" s="5">
        <v>0</v>
      </c>
      <c r="T164" s="5">
        <v>542.4</v>
      </c>
      <c r="U164" s="5">
        <v>69.12</v>
      </c>
      <c r="V164" s="5">
        <v>455.03</v>
      </c>
      <c r="W164" s="5">
        <v>57.98</v>
      </c>
      <c r="X164" s="5">
        <v>229.58</v>
      </c>
      <c r="Y164" s="5">
        <v>29.26</v>
      </c>
      <c r="Z164" s="5">
        <v>0</v>
      </c>
      <c r="AA164" s="5">
        <v>0</v>
      </c>
      <c r="AB164" s="5">
        <v>421.33</v>
      </c>
      <c r="AC164" s="5">
        <v>33.700000000000003</v>
      </c>
      <c r="AD164" s="5">
        <v>8625.8799999999992</v>
      </c>
      <c r="AE164" s="5">
        <v>643.5</v>
      </c>
      <c r="AF164" s="5">
        <v>13.404630924630924</v>
      </c>
      <c r="AG164" s="5">
        <v>0.2234105154105154</v>
      </c>
      <c r="AH164" s="5">
        <v>8625.8799999999992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 t="s">
        <v>671</v>
      </c>
    </row>
    <row r="165" spans="1:52" ht="14.85" customHeight="1">
      <c r="A165" s="1" t="s">
        <v>52</v>
      </c>
      <c r="B165" s="1" t="s">
        <v>53</v>
      </c>
      <c r="C165" s="1">
        <v>6030</v>
      </c>
      <c r="D165" s="1" t="s">
        <v>672</v>
      </c>
      <c r="E165" s="1" t="s">
        <v>673</v>
      </c>
      <c r="G165" s="1" t="s">
        <v>674</v>
      </c>
      <c r="H165" s="4"/>
      <c r="I165" s="1">
        <v>2518.9899999999998</v>
      </c>
      <c r="K165" s="1">
        <v>8</v>
      </c>
      <c r="M165" s="1" t="s">
        <v>66</v>
      </c>
      <c r="O165" s="1">
        <v>9825.23</v>
      </c>
      <c r="P165" s="5">
        <v>2725.62</v>
      </c>
      <c r="Q165" s="5">
        <v>0</v>
      </c>
      <c r="R165" s="5">
        <v>0</v>
      </c>
      <c r="S165" s="5">
        <v>0</v>
      </c>
      <c r="T165" s="5">
        <v>649.75</v>
      </c>
      <c r="U165" s="5">
        <v>177.25</v>
      </c>
      <c r="V165" s="5">
        <v>839.66</v>
      </c>
      <c r="W165" s="5">
        <v>229.06</v>
      </c>
      <c r="X165" s="5">
        <v>770.96</v>
      </c>
      <c r="Y165" s="5">
        <v>210.32</v>
      </c>
      <c r="Z165" s="5">
        <v>93.58</v>
      </c>
      <c r="AA165" s="5">
        <v>21.53</v>
      </c>
      <c r="AB165" s="5">
        <v>728.35</v>
      </c>
      <c r="AC165" s="5">
        <v>57.99</v>
      </c>
      <c r="AD165" s="5">
        <v>16329.3</v>
      </c>
      <c r="AE165" s="5">
        <v>545.75</v>
      </c>
      <c r="AF165" s="5">
        <v>29.92084287677508</v>
      </c>
      <c r="AG165" s="5">
        <v>0.49868071461291802</v>
      </c>
      <c r="AH165" s="5">
        <v>16329.3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 t="s">
        <v>675</v>
      </c>
    </row>
    <row r="166" spans="1:52" ht="14.85" customHeight="1">
      <c r="A166" s="1" t="s">
        <v>52</v>
      </c>
      <c r="B166" s="1" t="s">
        <v>53</v>
      </c>
      <c r="C166" s="1">
        <v>6040</v>
      </c>
      <c r="D166" s="1" t="s">
        <v>676</v>
      </c>
      <c r="E166" s="1" t="s">
        <v>466</v>
      </c>
      <c r="G166" s="1" t="s">
        <v>674</v>
      </c>
      <c r="H166" s="4"/>
      <c r="I166" s="1">
        <v>1365.09</v>
      </c>
      <c r="K166" s="1">
        <v>9</v>
      </c>
      <c r="M166" s="1" t="s">
        <v>479</v>
      </c>
      <c r="O166" s="1">
        <v>5324.49</v>
      </c>
      <c r="P166" s="5">
        <v>801.79</v>
      </c>
      <c r="Q166" s="5">
        <v>0</v>
      </c>
      <c r="R166" s="5">
        <v>0</v>
      </c>
      <c r="S166" s="5">
        <v>0</v>
      </c>
      <c r="T166" s="5">
        <v>290.06</v>
      </c>
      <c r="U166" s="5">
        <v>41.22</v>
      </c>
      <c r="V166" s="5">
        <v>455.03</v>
      </c>
      <c r="W166" s="5">
        <v>64.66</v>
      </c>
      <c r="X166" s="5">
        <v>35.159999999999997</v>
      </c>
      <c r="Y166" s="5">
        <v>5</v>
      </c>
      <c r="Z166" s="5">
        <v>0</v>
      </c>
      <c r="AA166" s="5">
        <v>0</v>
      </c>
      <c r="AB166" s="5">
        <v>421.33</v>
      </c>
      <c r="AC166" s="5">
        <v>33.700000000000003</v>
      </c>
      <c r="AD166" s="5">
        <v>7472.44</v>
      </c>
      <c r="AE166" s="5">
        <v>525</v>
      </c>
      <c r="AF166" s="5">
        <v>14.233219047619047</v>
      </c>
      <c r="AG166" s="5">
        <v>0.23722031746031744</v>
      </c>
      <c r="AH166" s="5">
        <v>7472.44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 t="s">
        <v>677</v>
      </c>
    </row>
    <row r="167" spans="1:52" ht="14.85" customHeight="1">
      <c r="A167" s="1" t="s">
        <v>52</v>
      </c>
      <c r="B167" s="1" t="s">
        <v>53</v>
      </c>
      <c r="C167" s="1">
        <v>6050</v>
      </c>
      <c r="D167" s="1" t="s">
        <v>678</v>
      </c>
      <c r="E167" s="1" t="s">
        <v>345</v>
      </c>
      <c r="G167" s="1" t="s">
        <v>679</v>
      </c>
      <c r="H167" s="4"/>
      <c r="I167" s="1">
        <v>8.5387299999999993</v>
      </c>
      <c r="K167" s="1">
        <v>1</v>
      </c>
      <c r="M167" s="1" t="s">
        <v>57</v>
      </c>
      <c r="O167" s="1">
        <v>5355.05</v>
      </c>
      <c r="P167" s="5">
        <v>1698.87</v>
      </c>
      <c r="Q167" s="5">
        <v>0</v>
      </c>
      <c r="R167" s="5">
        <v>0</v>
      </c>
      <c r="S167" s="5">
        <v>0</v>
      </c>
      <c r="T167" s="5">
        <v>474.41</v>
      </c>
      <c r="U167" s="5">
        <v>146.59</v>
      </c>
      <c r="V167" s="5">
        <v>469.63</v>
      </c>
      <c r="W167" s="5">
        <v>145.12</v>
      </c>
      <c r="X167" s="5">
        <v>12.81</v>
      </c>
      <c r="Y167" s="5">
        <v>3.96</v>
      </c>
      <c r="Z167" s="5">
        <v>52.37</v>
      </c>
      <c r="AA167" s="5">
        <v>9.11</v>
      </c>
      <c r="AB167" s="5">
        <v>403.57</v>
      </c>
      <c r="AC167" s="5">
        <v>32.43</v>
      </c>
      <c r="AD167" s="5">
        <v>8803.92</v>
      </c>
      <c r="AE167" s="5">
        <v>549.5</v>
      </c>
      <c r="AF167" s="5">
        <v>16.021692447679708</v>
      </c>
      <c r="AG167" s="5">
        <v>0.26702820746132849</v>
      </c>
      <c r="AH167" s="5">
        <v>8803.92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 t="s">
        <v>680</v>
      </c>
    </row>
    <row r="168" spans="1:52" ht="14.85" customHeight="1">
      <c r="A168" s="1" t="s">
        <v>52</v>
      </c>
      <c r="B168" s="1" t="s">
        <v>53</v>
      </c>
      <c r="C168" s="1">
        <v>6060</v>
      </c>
      <c r="D168" s="1" t="s">
        <v>681</v>
      </c>
      <c r="E168" s="1" t="s">
        <v>682</v>
      </c>
      <c r="G168" s="1" t="s">
        <v>498</v>
      </c>
      <c r="H168" s="4"/>
      <c r="I168" s="1">
        <v>8.1572700000000005</v>
      </c>
      <c r="K168" s="1">
        <v>1</v>
      </c>
      <c r="M168" s="1" t="s">
        <v>57</v>
      </c>
      <c r="O168" s="1">
        <v>5008.58</v>
      </c>
      <c r="P168" s="5">
        <v>1611.44</v>
      </c>
      <c r="Q168" s="5">
        <v>0</v>
      </c>
      <c r="R168" s="5">
        <v>0</v>
      </c>
      <c r="S168" s="5">
        <v>0</v>
      </c>
      <c r="T168" s="5">
        <v>378.66</v>
      </c>
      <c r="U168" s="5">
        <v>117.01</v>
      </c>
      <c r="V168" s="5">
        <v>336.49</v>
      </c>
      <c r="W168" s="5">
        <v>103.98</v>
      </c>
      <c r="X168" s="5">
        <v>67.3</v>
      </c>
      <c r="Y168" s="5">
        <v>20.8</v>
      </c>
      <c r="Z168" s="5">
        <v>49.67</v>
      </c>
      <c r="AA168" s="5">
        <v>7.45</v>
      </c>
      <c r="AB168" s="5">
        <v>381.57</v>
      </c>
      <c r="AC168" s="5">
        <v>23.23</v>
      </c>
      <c r="AD168" s="5">
        <v>8106.1799999999994</v>
      </c>
      <c r="AE168" s="5">
        <v>529.5</v>
      </c>
      <c r="AF168" s="5">
        <v>15.30912181303116</v>
      </c>
      <c r="AG168" s="5">
        <v>0.25515203021718602</v>
      </c>
      <c r="AH168" s="5">
        <v>8106.1799999999994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 t="s">
        <v>683</v>
      </c>
    </row>
    <row r="169" spans="1:52" ht="14.85" customHeight="1">
      <c r="A169" s="1" t="s">
        <v>52</v>
      </c>
      <c r="B169" s="1" t="s">
        <v>53</v>
      </c>
      <c r="C169" s="1">
        <v>6070</v>
      </c>
      <c r="D169" s="1" t="s">
        <v>684</v>
      </c>
      <c r="E169" s="1" t="s">
        <v>685</v>
      </c>
      <c r="G169" s="1" t="s">
        <v>686</v>
      </c>
      <c r="H169" s="4"/>
      <c r="I169" s="1">
        <v>8.1572700000000005</v>
      </c>
      <c r="K169" s="1">
        <v>1</v>
      </c>
      <c r="M169" s="1" t="s">
        <v>57</v>
      </c>
      <c r="O169" s="1">
        <v>4462.3100000000004</v>
      </c>
      <c r="P169" s="5">
        <v>0</v>
      </c>
      <c r="Q169" s="5">
        <v>0</v>
      </c>
      <c r="R169" s="5">
        <v>0</v>
      </c>
      <c r="S169" s="5">
        <v>0</v>
      </c>
      <c r="T169" s="5">
        <v>258.33999999999997</v>
      </c>
      <c r="U169" s="5">
        <v>0</v>
      </c>
      <c r="V169" s="5">
        <v>336.49</v>
      </c>
      <c r="W169" s="5">
        <v>0</v>
      </c>
      <c r="X169" s="5">
        <v>0</v>
      </c>
      <c r="Y169" s="5">
        <v>0</v>
      </c>
      <c r="Z169" s="5">
        <v>42.47</v>
      </c>
      <c r="AA169" s="5">
        <v>5.67</v>
      </c>
      <c r="AB169" s="5">
        <v>310.95999999999998</v>
      </c>
      <c r="AC169" s="5">
        <v>24.92</v>
      </c>
      <c r="AD169" s="5">
        <v>5441.1600000000008</v>
      </c>
      <c r="AE169" s="5">
        <v>396.5</v>
      </c>
      <c r="AF169" s="5">
        <v>13.722976040353091</v>
      </c>
      <c r="AG169" s="5">
        <v>0.22871626733921818</v>
      </c>
      <c r="AH169" s="5">
        <v>5441.1600000000008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 t="s">
        <v>687</v>
      </c>
    </row>
    <row r="170" spans="1:52" ht="14.85" customHeight="1">
      <c r="A170" s="1" t="s">
        <v>52</v>
      </c>
      <c r="B170" s="1" t="s">
        <v>53</v>
      </c>
      <c r="C170" s="1">
        <v>6080</v>
      </c>
      <c r="D170" s="1" t="s">
        <v>688</v>
      </c>
      <c r="E170" s="1" t="s">
        <v>689</v>
      </c>
      <c r="G170" s="1" t="s">
        <v>690</v>
      </c>
      <c r="H170" s="4"/>
      <c r="I170" s="1">
        <v>8.1572700000000005</v>
      </c>
      <c r="K170" s="1">
        <v>2</v>
      </c>
      <c r="M170" s="1" t="s">
        <v>57</v>
      </c>
      <c r="O170" s="1">
        <v>4618.8500000000004</v>
      </c>
      <c r="P170" s="5">
        <v>0</v>
      </c>
      <c r="Q170" s="5">
        <v>0</v>
      </c>
      <c r="R170" s="5">
        <v>0</v>
      </c>
      <c r="S170" s="5">
        <v>0</v>
      </c>
      <c r="T170" s="5">
        <v>-159.72</v>
      </c>
      <c r="U170" s="5">
        <v>0</v>
      </c>
      <c r="V170" s="5">
        <v>336.49</v>
      </c>
      <c r="W170" s="5">
        <v>0</v>
      </c>
      <c r="X170" s="5">
        <v>34.67</v>
      </c>
      <c r="Y170" s="5">
        <v>0</v>
      </c>
      <c r="Z170" s="5">
        <v>0</v>
      </c>
      <c r="AA170" s="5">
        <v>0</v>
      </c>
      <c r="AB170" s="5">
        <v>310.95999999999998</v>
      </c>
      <c r="AC170" s="5">
        <v>24.92</v>
      </c>
      <c r="AD170" s="5">
        <v>5166.17</v>
      </c>
      <c r="AE170" s="5">
        <v>421.75</v>
      </c>
      <c r="AF170" s="5">
        <v>12.249365737996444</v>
      </c>
      <c r="AG170" s="5">
        <v>0.20415609563327405</v>
      </c>
      <c r="AH170" s="5">
        <v>5166.17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 t="s">
        <v>691</v>
      </c>
    </row>
    <row r="171" spans="1:52" ht="14.85" customHeight="1">
      <c r="A171" s="1" t="s">
        <v>52</v>
      </c>
      <c r="B171" s="1" t="s">
        <v>53</v>
      </c>
      <c r="C171" s="1">
        <v>6090</v>
      </c>
      <c r="D171" s="1" t="s">
        <v>692</v>
      </c>
      <c r="E171" s="1" t="s">
        <v>180</v>
      </c>
      <c r="G171" s="1" t="s">
        <v>690</v>
      </c>
      <c r="H171" s="4"/>
      <c r="I171" s="1">
        <v>8.1572700000000005</v>
      </c>
      <c r="K171" s="1">
        <v>1</v>
      </c>
      <c r="M171" s="1" t="s">
        <v>57</v>
      </c>
      <c r="O171" s="1">
        <v>2527.92</v>
      </c>
      <c r="P171" s="5">
        <v>0</v>
      </c>
      <c r="Q171" s="5">
        <v>0</v>
      </c>
      <c r="R171" s="5">
        <v>0</v>
      </c>
      <c r="S171" s="5">
        <v>0</v>
      </c>
      <c r="T171" s="5">
        <v>91.2</v>
      </c>
      <c r="U171" s="5">
        <v>0</v>
      </c>
      <c r="V171" s="5">
        <v>185.94</v>
      </c>
      <c r="W171" s="5">
        <v>0</v>
      </c>
      <c r="X171" s="5">
        <v>0</v>
      </c>
      <c r="Y171" s="5">
        <v>0</v>
      </c>
      <c r="Z171" s="5">
        <v>25.74</v>
      </c>
      <c r="AA171" s="5">
        <v>2.64</v>
      </c>
      <c r="AB171" s="5">
        <v>171.84</v>
      </c>
      <c r="AC171" s="5">
        <v>13.77</v>
      </c>
      <c r="AD171" s="5">
        <v>3019.05</v>
      </c>
      <c r="AE171" s="5">
        <v>265.5</v>
      </c>
      <c r="AF171" s="5">
        <v>11.371186440677965</v>
      </c>
      <c r="AG171" s="5">
        <v>0.18951977401129941</v>
      </c>
      <c r="AH171" s="5">
        <v>3019.05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 t="s">
        <v>693</v>
      </c>
    </row>
    <row r="172" spans="1:52" ht="14.85" customHeight="1">
      <c r="A172" s="1" t="s">
        <v>52</v>
      </c>
      <c r="B172" s="1" t="s">
        <v>53</v>
      </c>
      <c r="C172" s="1">
        <v>6100</v>
      </c>
      <c r="D172" s="1" t="s">
        <v>694</v>
      </c>
      <c r="E172" s="1" t="s">
        <v>695</v>
      </c>
      <c r="G172" s="1" t="s">
        <v>690</v>
      </c>
      <c r="H172" s="4"/>
      <c r="I172" s="1">
        <v>8.1572700000000005</v>
      </c>
      <c r="K172" s="1">
        <v>1</v>
      </c>
      <c r="M172" s="1" t="s">
        <v>57</v>
      </c>
      <c r="O172" s="1">
        <v>4366.45</v>
      </c>
      <c r="P172" s="5">
        <v>0</v>
      </c>
      <c r="Q172" s="5">
        <v>0</v>
      </c>
      <c r="R172" s="5">
        <v>0</v>
      </c>
      <c r="S172" s="5">
        <v>0</v>
      </c>
      <c r="T172" s="5">
        <v>156.37</v>
      </c>
      <c r="U172" s="5">
        <v>0</v>
      </c>
      <c r="V172" s="5">
        <v>336.49</v>
      </c>
      <c r="W172" s="5">
        <v>0</v>
      </c>
      <c r="X172" s="5">
        <v>4.08</v>
      </c>
      <c r="Y172" s="5">
        <v>0</v>
      </c>
      <c r="Z172" s="5">
        <v>41.8</v>
      </c>
      <c r="AA172" s="5">
        <v>4.74</v>
      </c>
      <c r="AB172" s="5">
        <v>310.95999999999998</v>
      </c>
      <c r="AC172" s="5">
        <v>24.92</v>
      </c>
      <c r="AD172" s="5">
        <v>5245.81</v>
      </c>
      <c r="AE172" s="5">
        <v>454.25</v>
      </c>
      <c r="AF172" s="5">
        <v>11.548288387451842</v>
      </c>
      <c r="AG172" s="5">
        <v>0.19247147312419738</v>
      </c>
      <c r="AH172" s="5">
        <v>5245.81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 t="s">
        <v>696</v>
      </c>
    </row>
    <row r="173" spans="1:52" ht="14.85" customHeight="1">
      <c r="A173" s="1" t="s">
        <v>52</v>
      </c>
      <c r="B173" s="1" t="s">
        <v>53</v>
      </c>
      <c r="C173" s="1">
        <v>6110</v>
      </c>
      <c r="D173" s="1" t="s">
        <v>697</v>
      </c>
      <c r="E173" s="1" t="s">
        <v>698</v>
      </c>
      <c r="G173" s="1" t="s">
        <v>699</v>
      </c>
      <c r="H173" s="4"/>
      <c r="I173" s="1">
        <v>8.1572700000000005</v>
      </c>
      <c r="K173" s="1">
        <v>2</v>
      </c>
      <c r="M173" s="1" t="s">
        <v>57</v>
      </c>
      <c r="O173" s="1">
        <v>3591.51</v>
      </c>
      <c r="P173" s="5">
        <v>0</v>
      </c>
      <c r="Q173" s="5">
        <v>0</v>
      </c>
      <c r="R173" s="5">
        <v>0</v>
      </c>
      <c r="S173" s="5">
        <v>0</v>
      </c>
      <c r="T173" s="5">
        <v>41.36</v>
      </c>
      <c r="U173" s="5">
        <v>0</v>
      </c>
      <c r="V173" s="5">
        <v>265.66000000000003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245.49</v>
      </c>
      <c r="AC173" s="5">
        <v>19.670000000000002</v>
      </c>
      <c r="AD173" s="5">
        <v>4163.6900000000005</v>
      </c>
      <c r="AE173" s="5">
        <v>344.25</v>
      </c>
      <c r="AF173" s="5">
        <v>12.094960058097314</v>
      </c>
      <c r="AG173" s="5">
        <v>0.20158266763495522</v>
      </c>
      <c r="AH173" s="5">
        <v>4163.6900000000005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 t="s">
        <v>700</v>
      </c>
    </row>
    <row r="174" spans="1:52" ht="14.85" customHeight="1">
      <c r="A174" s="1" t="s">
        <v>52</v>
      </c>
      <c r="B174" s="1" t="s">
        <v>53</v>
      </c>
      <c r="C174" s="1">
        <v>6120</v>
      </c>
      <c r="D174" s="1" t="s">
        <v>372</v>
      </c>
      <c r="E174" s="1" t="s">
        <v>109</v>
      </c>
      <c r="G174" s="1" t="s">
        <v>701</v>
      </c>
      <c r="H174" s="4"/>
      <c r="I174" s="1">
        <v>1694.41</v>
      </c>
      <c r="K174" s="1">
        <v>13</v>
      </c>
      <c r="M174" s="1" t="s">
        <v>66</v>
      </c>
      <c r="O174" s="1">
        <v>6749.69</v>
      </c>
      <c r="P174" s="5">
        <v>1926.06</v>
      </c>
      <c r="Q174" s="5">
        <v>0</v>
      </c>
      <c r="R174" s="5">
        <v>0</v>
      </c>
      <c r="S174" s="5">
        <v>0</v>
      </c>
      <c r="T174" s="5">
        <v>78.760000000000005</v>
      </c>
      <c r="U174" s="5">
        <v>22.08</v>
      </c>
      <c r="V174" s="5">
        <v>423.6</v>
      </c>
      <c r="W174" s="5">
        <v>118.75</v>
      </c>
      <c r="X174" s="5">
        <v>5.13</v>
      </c>
      <c r="Y174" s="5">
        <v>1.44</v>
      </c>
      <c r="Z174" s="5">
        <v>25.89</v>
      </c>
      <c r="AA174" s="5">
        <v>1.95</v>
      </c>
      <c r="AB174" s="5">
        <v>358.48</v>
      </c>
      <c r="AC174" s="5">
        <v>29.25</v>
      </c>
      <c r="AD174" s="5">
        <v>9741.08</v>
      </c>
      <c r="AE174" s="5">
        <v>404.25</v>
      </c>
      <c r="AF174" s="5">
        <v>24.096672850958566</v>
      </c>
      <c r="AG174" s="5">
        <v>0.40161121418264278</v>
      </c>
      <c r="AH174" s="5">
        <v>9741.08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 t="s">
        <v>702</v>
      </c>
    </row>
    <row r="175" spans="1:52" ht="14.85" customHeight="1">
      <c r="A175" s="1" t="s">
        <v>52</v>
      </c>
      <c r="B175" s="1" t="s">
        <v>53</v>
      </c>
      <c r="C175" s="1">
        <v>6130</v>
      </c>
      <c r="D175" s="1" t="s">
        <v>703</v>
      </c>
      <c r="E175" s="1" t="s">
        <v>704</v>
      </c>
      <c r="G175" s="1" t="s">
        <v>705</v>
      </c>
      <c r="H175" s="4" t="s">
        <v>98</v>
      </c>
      <c r="I175" s="1">
        <v>1345.95</v>
      </c>
      <c r="K175" s="1">
        <v>6</v>
      </c>
      <c r="M175" s="1" t="s">
        <v>57</v>
      </c>
      <c r="O175" s="1">
        <v>942.82</v>
      </c>
      <c r="P175" s="5">
        <v>19.14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68.459999999999994</v>
      </c>
      <c r="AC175" s="5">
        <v>0</v>
      </c>
      <c r="AD175" s="5">
        <v>1030.42</v>
      </c>
      <c r="AE175" s="5">
        <v>69.5</v>
      </c>
      <c r="AF175" s="5">
        <v>14.826187050359714</v>
      </c>
      <c r="AG175" s="5">
        <v>0.24710311750599523</v>
      </c>
      <c r="AH175" s="5">
        <v>1030.42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 t="s">
        <v>706</v>
      </c>
    </row>
    <row r="176" spans="1:52" ht="14.85" customHeight="1">
      <c r="A176" s="1" t="s">
        <v>52</v>
      </c>
      <c r="B176" s="1" t="s">
        <v>53</v>
      </c>
      <c r="C176" s="1">
        <v>6140</v>
      </c>
      <c r="D176" s="1" t="s">
        <v>707</v>
      </c>
      <c r="E176" s="1" t="s">
        <v>64</v>
      </c>
      <c r="G176" s="1" t="s">
        <v>705</v>
      </c>
      <c r="H176" s="4"/>
      <c r="I176" s="1">
        <v>1345.95</v>
      </c>
      <c r="K176" s="1">
        <v>6</v>
      </c>
      <c r="M176" s="1" t="s">
        <v>57</v>
      </c>
      <c r="O176" s="1">
        <v>3874.23</v>
      </c>
      <c r="P176" s="5">
        <v>76.56</v>
      </c>
      <c r="Q176" s="5">
        <v>0</v>
      </c>
      <c r="R176" s="5">
        <v>0</v>
      </c>
      <c r="S176" s="5">
        <v>0</v>
      </c>
      <c r="T176" s="5">
        <v>139.08000000000001</v>
      </c>
      <c r="U176" s="5">
        <v>2.15</v>
      </c>
      <c r="V176" s="5">
        <v>309.94</v>
      </c>
      <c r="W176" s="5">
        <v>4.79</v>
      </c>
      <c r="X176" s="5">
        <v>0</v>
      </c>
      <c r="Y176" s="5">
        <v>0</v>
      </c>
      <c r="Z176" s="5">
        <v>0</v>
      </c>
      <c r="AA176" s="5">
        <v>0</v>
      </c>
      <c r="AB176" s="5">
        <v>285.92</v>
      </c>
      <c r="AC176" s="5">
        <v>22.88</v>
      </c>
      <c r="AD176" s="5">
        <v>4715.55</v>
      </c>
      <c r="AE176" s="5">
        <v>398.75</v>
      </c>
      <c r="AF176" s="5">
        <v>11.825830721003134</v>
      </c>
      <c r="AG176" s="5">
        <v>0.19709717868338558</v>
      </c>
      <c r="AH176" s="5">
        <v>4715.55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 t="s">
        <v>708</v>
      </c>
    </row>
    <row r="177" spans="1:52" ht="14.85" customHeight="1">
      <c r="A177" s="1" t="s">
        <v>52</v>
      </c>
      <c r="B177" s="1" t="s">
        <v>53</v>
      </c>
      <c r="C177" s="1">
        <v>6150</v>
      </c>
      <c r="D177" s="1" t="s">
        <v>456</v>
      </c>
      <c r="E177" s="1" t="s">
        <v>457</v>
      </c>
      <c r="G177" s="1" t="s">
        <v>709</v>
      </c>
      <c r="H177" s="4"/>
      <c r="I177" s="1">
        <v>1345.95</v>
      </c>
      <c r="K177" s="1">
        <v>6</v>
      </c>
      <c r="M177" s="1" t="s">
        <v>57</v>
      </c>
      <c r="O177" s="1">
        <v>2058.3000000000002</v>
      </c>
      <c r="P177" s="5">
        <v>39.82</v>
      </c>
      <c r="Q177" s="5">
        <v>0</v>
      </c>
      <c r="R177" s="5">
        <v>0</v>
      </c>
      <c r="S177" s="5">
        <v>0</v>
      </c>
      <c r="T177" s="5">
        <v>246.35</v>
      </c>
      <c r="U177" s="5">
        <v>3.63</v>
      </c>
      <c r="V177" s="5">
        <v>206.63</v>
      </c>
      <c r="W177" s="5">
        <v>3.05</v>
      </c>
      <c r="X177" s="5">
        <v>0</v>
      </c>
      <c r="Y177" s="5">
        <v>0</v>
      </c>
      <c r="Z177" s="5">
        <v>0</v>
      </c>
      <c r="AA177" s="5">
        <v>0</v>
      </c>
      <c r="AB177" s="5">
        <v>190.75</v>
      </c>
      <c r="AC177" s="5">
        <v>15.25</v>
      </c>
      <c r="AD177" s="5">
        <v>2763.7800000000007</v>
      </c>
      <c r="AE177" s="5">
        <v>243</v>
      </c>
      <c r="AF177" s="5">
        <v>11.373580246913583</v>
      </c>
      <c r="AG177" s="5">
        <v>0.18955967078189306</v>
      </c>
      <c r="AH177" s="5">
        <v>2763.7800000000007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 t="s">
        <v>459</v>
      </c>
    </row>
    <row r="178" spans="1:52" ht="14.85" customHeight="1">
      <c r="A178" s="1" t="s">
        <v>52</v>
      </c>
      <c r="B178" s="1" t="s">
        <v>53</v>
      </c>
      <c r="C178" s="1">
        <v>80520</v>
      </c>
      <c r="D178" s="1" t="s">
        <v>647</v>
      </c>
      <c r="E178" s="1" t="s">
        <v>648</v>
      </c>
      <c r="F178" s="1" t="s">
        <v>91</v>
      </c>
      <c r="G178" s="1" t="s">
        <v>710</v>
      </c>
      <c r="H178" s="4" t="s">
        <v>711</v>
      </c>
      <c r="I178" s="1">
        <v>0</v>
      </c>
      <c r="K178" s="1">
        <v>6</v>
      </c>
      <c r="M178" s="1" t="s">
        <v>57</v>
      </c>
      <c r="O178" s="1">
        <v>550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16.079999999999998</v>
      </c>
      <c r="AA178" s="5">
        <v>0</v>
      </c>
      <c r="AB178" s="5">
        <v>0</v>
      </c>
      <c r="AC178" s="5">
        <v>0</v>
      </c>
      <c r="AD178" s="5">
        <v>566.08000000000004</v>
      </c>
      <c r="AE178" s="5">
        <v>0</v>
      </c>
      <c r="AF178" s="5">
        <v>0</v>
      </c>
      <c r="AG178" s="5">
        <v>0</v>
      </c>
      <c r="AH178" s="5">
        <v>566.08000000000004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 t="s">
        <v>649</v>
      </c>
    </row>
    <row r="179" spans="1:52" ht="14.85" customHeight="1">
      <c r="A179" s="1" t="s">
        <v>52</v>
      </c>
      <c r="B179" s="1" t="s">
        <v>53</v>
      </c>
      <c r="C179" s="1">
        <v>80550</v>
      </c>
      <c r="D179" s="1" t="s">
        <v>676</v>
      </c>
      <c r="E179" s="1" t="s">
        <v>466</v>
      </c>
      <c r="F179" s="1" t="s">
        <v>91</v>
      </c>
      <c r="G179" s="1" t="s">
        <v>712</v>
      </c>
      <c r="H179" s="4" t="s">
        <v>713</v>
      </c>
      <c r="I179" s="1">
        <v>0</v>
      </c>
      <c r="K179" s="1">
        <v>9</v>
      </c>
      <c r="M179" s="1" t="s">
        <v>66</v>
      </c>
      <c r="O179" s="1">
        <v>1005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36.020000000000003</v>
      </c>
      <c r="AA179" s="5">
        <v>0</v>
      </c>
      <c r="AB179" s="5">
        <v>0</v>
      </c>
      <c r="AC179" s="5">
        <v>0</v>
      </c>
      <c r="AD179" s="5">
        <v>1041.02</v>
      </c>
      <c r="AE179" s="5">
        <v>0</v>
      </c>
      <c r="AF179" s="5">
        <v>0</v>
      </c>
      <c r="AG179" s="5">
        <v>0</v>
      </c>
      <c r="AH179" s="5">
        <v>1041.02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 t="s">
        <v>677</v>
      </c>
    </row>
    <row r="180" spans="1:52" ht="14.85" customHeight="1">
      <c r="A180" s="1" t="s">
        <v>52</v>
      </c>
      <c r="B180" s="1" t="s">
        <v>53</v>
      </c>
      <c r="C180" s="1">
        <v>80560</v>
      </c>
      <c r="D180" s="1" t="s">
        <v>668</v>
      </c>
      <c r="E180" s="1" t="s">
        <v>669</v>
      </c>
      <c r="F180" s="1" t="s">
        <v>91</v>
      </c>
      <c r="G180" s="1" t="s">
        <v>714</v>
      </c>
      <c r="H180" s="4" t="s">
        <v>93</v>
      </c>
      <c r="I180" s="1">
        <v>0</v>
      </c>
      <c r="K180" s="1">
        <v>14</v>
      </c>
      <c r="M180" s="1" t="s">
        <v>66</v>
      </c>
      <c r="O180" s="1">
        <v>1315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23.19</v>
      </c>
      <c r="AA180" s="5">
        <v>0</v>
      </c>
      <c r="AB180" s="5">
        <v>0</v>
      </c>
      <c r="AC180" s="5">
        <v>0</v>
      </c>
      <c r="AD180" s="5">
        <v>1338.19</v>
      </c>
      <c r="AE180" s="5">
        <v>0</v>
      </c>
      <c r="AF180" s="5">
        <v>0</v>
      </c>
      <c r="AG180" s="5">
        <v>0</v>
      </c>
      <c r="AH180" s="5">
        <v>1338.19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 t="s">
        <v>671</v>
      </c>
    </row>
    <row r="181" spans="1:52" ht="14.85" customHeight="1">
      <c r="A181" s="1" t="s">
        <v>52</v>
      </c>
      <c r="B181" s="1" t="s">
        <v>53</v>
      </c>
      <c r="C181" s="1">
        <v>80570</v>
      </c>
      <c r="D181" s="1" t="s">
        <v>640</v>
      </c>
      <c r="E181" s="1" t="s">
        <v>284</v>
      </c>
      <c r="F181" s="1" t="s">
        <v>91</v>
      </c>
      <c r="G181" s="1" t="s">
        <v>715</v>
      </c>
      <c r="H181" s="4" t="s">
        <v>716</v>
      </c>
      <c r="I181" s="1">
        <v>0</v>
      </c>
      <c r="K181" s="1">
        <v>1</v>
      </c>
      <c r="M181" s="1" t="s">
        <v>57</v>
      </c>
      <c r="O181" s="1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11.58</v>
      </c>
      <c r="AA181" s="5">
        <v>0</v>
      </c>
      <c r="AB181" s="5">
        <v>0</v>
      </c>
      <c r="AC181" s="5">
        <v>0</v>
      </c>
      <c r="AD181" s="5">
        <v>11.58</v>
      </c>
      <c r="AE181" s="5">
        <v>0</v>
      </c>
      <c r="AF181" s="5">
        <v>0</v>
      </c>
      <c r="AG181" s="5">
        <v>0</v>
      </c>
      <c r="AH181" s="5">
        <v>11.58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 t="s">
        <v>642</v>
      </c>
    </row>
    <row r="182" spans="1:52" ht="14.85" customHeight="1">
      <c r="A182" s="1" t="s">
        <v>52</v>
      </c>
      <c r="B182" s="1" t="s">
        <v>53</v>
      </c>
      <c r="C182" s="1">
        <v>80580</v>
      </c>
      <c r="D182" s="1" t="s">
        <v>703</v>
      </c>
      <c r="E182" s="1" t="s">
        <v>704</v>
      </c>
      <c r="F182" s="1" t="s">
        <v>91</v>
      </c>
      <c r="G182" s="1" t="s">
        <v>593</v>
      </c>
      <c r="H182" s="4" t="s">
        <v>532</v>
      </c>
      <c r="I182" s="1">
        <v>0</v>
      </c>
      <c r="K182" s="1">
        <v>6</v>
      </c>
      <c r="M182" s="1" t="s">
        <v>57</v>
      </c>
      <c r="O182" s="1">
        <v>1500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48.24</v>
      </c>
      <c r="AA182" s="5">
        <v>0</v>
      </c>
      <c r="AB182" s="5">
        <v>0</v>
      </c>
      <c r="AC182" s="5">
        <v>0</v>
      </c>
      <c r="AD182" s="5">
        <v>1548.24</v>
      </c>
      <c r="AE182" s="5">
        <v>0</v>
      </c>
      <c r="AF182" s="5">
        <v>0</v>
      </c>
      <c r="AG182" s="5">
        <v>0</v>
      </c>
      <c r="AH182" s="5">
        <v>1548.24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 t="s">
        <v>706</v>
      </c>
    </row>
    <row r="183" spans="1:52" ht="14.85" customHeight="1">
      <c r="A183" s="1" t="s">
        <v>52</v>
      </c>
      <c r="B183" s="1" t="s">
        <v>53</v>
      </c>
      <c r="C183" s="1">
        <v>80590</v>
      </c>
      <c r="D183" s="1" t="s">
        <v>707</v>
      </c>
      <c r="E183" s="1" t="s">
        <v>64</v>
      </c>
      <c r="F183" s="1" t="s">
        <v>91</v>
      </c>
      <c r="G183" s="1" t="s">
        <v>593</v>
      </c>
      <c r="H183" s="4" t="s">
        <v>532</v>
      </c>
      <c r="I183" s="1">
        <v>0</v>
      </c>
      <c r="K183" s="1">
        <v>6</v>
      </c>
      <c r="M183" s="1" t="s">
        <v>57</v>
      </c>
      <c r="O183" s="1">
        <v>1500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48.24</v>
      </c>
      <c r="AA183" s="5">
        <v>0</v>
      </c>
      <c r="AB183" s="5">
        <v>0</v>
      </c>
      <c r="AC183" s="5">
        <v>0</v>
      </c>
      <c r="AD183" s="5">
        <v>1548.24</v>
      </c>
      <c r="AE183" s="5">
        <v>0</v>
      </c>
      <c r="AF183" s="5">
        <v>0</v>
      </c>
      <c r="AG183" s="5">
        <v>0</v>
      </c>
      <c r="AH183" s="5">
        <v>1548.24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 t="s">
        <v>708</v>
      </c>
    </row>
    <row r="184" spans="1:52" ht="14.85" customHeight="1">
      <c r="A184" s="1" t="s">
        <v>52</v>
      </c>
      <c r="B184" s="1" t="s">
        <v>53</v>
      </c>
      <c r="C184" s="1">
        <v>80600</v>
      </c>
      <c r="D184" s="1" t="s">
        <v>717</v>
      </c>
      <c r="E184" s="1" t="s">
        <v>718</v>
      </c>
      <c r="F184" s="1" t="s">
        <v>91</v>
      </c>
      <c r="G184" s="1" t="s">
        <v>719</v>
      </c>
      <c r="H184" s="4" t="s">
        <v>720</v>
      </c>
      <c r="I184" s="1">
        <v>0</v>
      </c>
      <c r="K184" s="1">
        <v>6</v>
      </c>
      <c r="M184" s="1" t="s">
        <v>57</v>
      </c>
      <c r="O184" s="1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 t="s">
        <v>721</v>
      </c>
    </row>
    <row r="185" spans="1:52" ht="14.85" customHeight="1">
      <c r="A185" s="1" t="s">
        <v>52</v>
      </c>
      <c r="B185" s="1" t="s">
        <v>53</v>
      </c>
      <c r="C185" s="1">
        <v>80610</v>
      </c>
      <c r="D185" s="1" t="s">
        <v>626</v>
      </c>
      <c r="E185" s="1" t="s">
        <v>627</v>
      </c>
      <c r="F185" s="1" t="s">
        <v>91</v>
      </c>
      <c r="G185" s="1" t="s">
        <v>722</v>
      </c>
      <c r="H185" s="4" t="s">
        <v>720</v>
      </c>
      <c r="I185" s="1">
        <v>0</v>
      </c>
      <c r="K185" s="1">
        <v>7</v>
      </c>
      <c r="M185" s="1" t="s">
        <v>57</v>
      </c>
      <c r="O185" s="1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23.91</v>
      </c>
      <c r="AA185" s="5">
        <v>0</v>
      </c>
      <c r="AB185" s="5">
        <v>0</v>
      </c>
      <c r="AC185" s="5">
        <v>0</v>
      </c>
      <c r="AD185" s="5">
        <v>23.91</v>
      </c>
      <c r="AE185" s="5">
        <v>0</v>
      </c>
      <c r="AF185" s="5">
        <v>0</v>
      </c>
      <c r="AG185" s="5">
        <v>0</v>
      </c>
      <c r="AH185" s="5">
        <v>23.91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 t="s">
        <v>628</v>
      </c>
    </row>
    <row r="186" spans="1:52" ht="14.85" customHeight="1">
      <c r="A186" s="1" t="s">
        <v>52</v>
      </c>
      <c r="B186" s="1" t="s">
        <v>53</v>
      </c>
      <c r="C186" s="1">
        <v>80620</v>
      </c>
      <c r="D186" s="1" t="s">
        <v>723</v>
      </c>
      <c r="E186" s="1" t="s">
        <v>724</v>
      </c>
      <c r="F186" s="1" t="s">
        <v>91</v>
      </c>
      <c r="G186" s="1" t="s">
        <v>615</v>
      </c>
      <c r="H186" s="4" t="s">
        <v>93</v>
      </c>
      <c r="I186" s="1">
        <v>0</v>
      </c>
      <c r="K186" s="1">
        <v>6</v>
      </c>
      <c r="M186" s="1" t="s">
        <v>57</v>
      </c>
      <c r="O186" s="1">
        <v>900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31.52</v>
      </c>
      <c r="AA186" s="5">
        <v>0</v>
      </c>
      <c r="AB186" s="5">
        <v>0</v>
      </c>
      <c r="AC186" s="5">
        <v>0</v>
      </c>
      <c r="AD186" s="5">
        <v>931.52</v>
      </c>
      <c r="AE186" s="5">
        <v>0</v>
      </c>
      <c r="AF186" s="5">
        <v>0</v>
      </c>
      <c r="AG186" s="5">
        <v>0</v>
      </c>
      <c r="AH186" s="5">
        <v>931.52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 t="s">
        <v>725</v>
      </c>
    </row>
    <row r="187" spans="1:52" ht="14.85" customHeight="1">
      <c r="A187" s="1" t="s">
        <v>52</v>
      </c>
      <c r="B187" s="1" t="s">
        <v>53</v>
      </c>
      <c r="C187" s="1">
        <v>80630</v>
      </c>
      <c r="D187" s="1" t="s">
        <v>665</v>
      </c>
      <c r="E187" s="1" t="s">
        <v>219</v>
      </c>
      <c r="F187" s="1" t="s">
        <v>91</v>
      </c>
      <c r="G187" s="1" t="s">
        <v>722</v>
      </c>
      <c r="H187" s="4" t="s">
        <v>663</v>
      </c>
      <c r="I187" s="1">
        <v>0</v>
      </c>
      <c r="K187" s="1">
        <v>1</v>
      </c>
      <c r="M187" s="1" t="s">
        <v>57</v>
      </c>
      <c r="O187" s="1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27.02</v>
      </c>
      <c r="AA187" s="5">
        <v>0</v>
      </c>
      <c r="AB187" s="5">
        <v>0</v>
      </c>
      <c r="AC187" s="5">
        <v>0</v>
      </c>
      <c r="AD187" s="5">
        <v>27.02</v>
      </c>
      <c r="AE187" s="5">
        <v>0</v>
      </c>
      <c r="AF187" s="5">
        <v>0</v>
      </c>
      <c r="AG187" s="5">
        <v>0</v>
      </c>
      <c r="AH187" s="5">
        <v>27.02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 t="s">
        <v>667</v>
      </c>
    </row>
    <row r="188" spans="1:52" ht="14.85" customHeight="1">
      <c r="A188" s="1" t="s">
        <v>52</v>
      </c>
      <c r="B188" s="1" t="s">
        <v>53</v>
      </c>
      <c r="C188" s="1">
        <v>80640</v>
      </c>
      <c r="D188" s="1" t="s">
        <v>726</v>
      </c>
      <c r="E188" s="1" t="s">
        <v>727</v>
      </c>
      <c r="G188" s="1" t="s">
        <v>728</v>
      </c>
      <c r="H188" s="4"/>
      <c r="I188" s="1">
        <v>0</v>
      </c>
      <c r="K188" s="1">
        <v>6</v>
      </c>
      <c r="M188" s="1" t="s">
        <v>57</v>
      </c>
      <c r="O188" s="1">
        <v>2850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96.48</v>
      </c>
      <c r="AA188" s="5">
        <v>0</v>
      </c>
      <c r="AB188" s="5">
        <v>0</v>
      </c>
      <c r="AC188" s="5">
        <v>0</v>
      </c>
      <c r="AD188" s="5">
        <v>2946.48</v>
      </c>
      <c r="AE188" s="5">
        <v>152</v>
      </c>
      <c r="AF188" s="5">
        <v>19.384736842105262</v>
      </c>
      <c r="AG188" s="5">
        <v>0.32307894736842102</v>
      </c>
      <c r="AH188" s="5">
        <v>2946.48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 t="s">
        <v>729</v>
      </c>
    </row>
    <row r="189" spans="1:52" ht="14.85" customHeight="1">
      <c r="A189" s="1" t="s">
        <v>52</v>
      </c>
      <c r="B189" s="1" t="s">
        <v>53</v>
      </c>
      <c r="C189" s="1">
        <v>80650</v>
      </c>
      <c r="D189" s="1" t="s">
        <v>730</v>
      </c>
      <c r="E189" s="1" t="s">
        <v>731</v>
      </c>
      <c r="G189" s="1" t="s">
        <v>732</v>
      </c>
      <c r="H189" s="4" t="s">
        <v>98</v>
      </c>
      <c r="I189" s="1">
        <v>0</v>
      </c>
      <c r="K189" s="1">
        <v>6</v>
      </c>
      <c r="M189" s="1" t="s">
        <v>57</v>
      </c>
      <c r="O189" s="1">
        <v>2850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96.48</v>
      </c>
      <c r="AA189" s="5">
        <v>0</v>
      </c>
      <c r="AB189" s="5">
        <v>0</v>
      </c>
      <c r="AC189" s="5">
        <v>0</v>
      </c>
      <c r="AD189" s="5">
        <v>2946.48</v>
      </c>
      <c r="AE189" s="5">
        <v>152</v>
      </c>
      <c r="AF189" s="5">
        <v>19.384736842105262</v>
      </c>
      <c r="AG189" s="5">
        <v>0.32307894736842102</v>
      </c>
      <c r="AH189" s="5">
        <v>2946.48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 t="s">
        <v>733</v>
      </c>
    </row>
    <row r="190" spans="1:52" ht="14.85" customHeight="1">
      <c r="A190" s="1" t="s">
        <v>52</v>
      </c>
      <c r="B190" s="1" t="s">
        <v>53</v>
      </c>
      <c r="C190" s="1">
        <v>80660</v>
      </c>
      <c r="D190" s="1" t="s">
        <v>734</v>
      </c>
      <c r="E190" s="1" t="s">
        <v>735</v>
      </c>
      <c r="F190" s="1" t="s">
        <v>91</v>
      </c>
      <c r="G190" s="1" t="s">
        <v>620</v>
      </c>
      <c r="H190" s="4" t="s">
        <v>736</v>
      </c>
      <c r="I190" s="1">
        <v>0</v>
      </c>
      <c r="K190" s="1">
        <v>2</v>
      </c>
      <c r="M190" s="1" t="s">
        <v>57</v>
      </c>
      <c r="O190" s="1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47.6</v>
      </c>
      <c r="AA190" s="5">
        <v>0</v>
      </c>
      <c r="AB190" s="5">
        <v>0</v>
      </c>
      <c r="AC190" s="5">
        <v>0</v>
      </c>
      <c r="AD190" s="5">
        <v>47.6</v>
      </c>
      <c r="AE190" s="5">
        <v>0</v>
      </c>
      <c r="AF190" s="5">
        <v>0</v>
      </c>
      <c r="AG190" s="5">
        <v>0</v>
      </c>
      <c r="AH190" s="5">
        <v>47.6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 t="s">
        <v>737</v>
      </c>
    </row>
    <row r="191" spans="1:52" ht="14.85" customHeight="1">
      <c r="A191" s="1" t="s">
        <v>52</v>
      </c>
      <c r="B191" s="1" t="s">
        <v>53</v>
      </c>
      <c r="C191" s="1">
        <v>80670</v>
      </c>
      <c r="D191" s="1" t="s">
        <v>697</v>
      </c>
      <c r="E191" s="1" t="s">
        <v>698</v>
      </c>
      <c r="F191" s="1" t="s">
        <v>91</v>
      </c>
      <c r="G191" s="1" t="s">
        <v>631</v>
      </c>
      <c r="H191" s="4" t="s">
        <v>738</v>
      </c>
      <c r="I191" s="1">
        <v>0</v>
      </c>
      <c r="K191" s="1">
        <v>2</v>
      </c>
      <c r="M191" s="1" t="s">
        <v>57</v>
      </c>
      <c r="O191" s="1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34.1</v>
      </c>
      <c r="AA191" s="5">
        <v>0</v>
      </c>
      <c r="AB191" s="5">
        <v>0</v>
      </c>
      <c r="AC191" s="5">
        <v>0</v>
      </c>
      <c r="AD191" s="5">
        <v>34.1</v>
      </c>
      <c r="AE191" s="5">
        <v>0</v>
      </c>
      <c r="AF191" s="5">
        <v>0</v>
      </c>
      <c r="AG191" s="5">
        <v>0</v>
      </c>
      <c r="AH191" s="5">
        <v>34.1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 t="s">
        <v>700</v>
      </c>
    </row>
    <row r="192" spans="1:52" ht="14.85" customHeight="1">
      <c r="A192" s="1" t="s">
        <v>52</v>
      </c>
      <c r="B192" s="1" t="s">
        <v>53</v>
      </c>
      <c r="C192" s="1">
        <v>80680</v>
      </c>
      <c r="D192" s="1" t="s">
        <v>739</v>
      </c>
      <c r="E192" s="1" t="s">
        <v>740</v>
      </c>
      <c r="F192" s="1" t="s">
        <v>91</v>
      </c>
      <c r="G192" s="1" t="s">
        <v>741</v>
      </c>
      <c r="H192" s="4" t="s">
        <v>742</v>
      </c>
      <c r="I192" s="1">
        <v>0</v>
      </c>
      <c r="K192" s="1">
        <v>6</v>
      </c>
      <c r="M192" s="1" t="s">
        <v>57</v>
      </c>
      <c r="O192" s="1">
        <v>240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9.01</v>
      </c>
      <c r="AA192" s="5">
        <v>0</v>
      </c>
      <c r="AB192" s="5">
        <v>0</v>
      </c>
      <c r="AC192" s="5">
        <v>0</v>
      </c>
      <c r="AD192" s="5">
        <v>249.01</v>
      </c>
      <c r="AE192" s="5">
        <v>0</v>
      </c>
      <c r="AF192" s="5">
        <v>0</v>
      </c>
      <c r="AG192" s="5">
        <v>0</v>
      </c>
      <c r="AH192" s="5">
        <v>249.01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 t="s">
        <v>743</v>
      </c>
    </row>
    <row r="193" spans="1:52" ht="14.85" customHeight="1">
      <c r="A193" s="1" t="s">
        <v>52</v>
      </c>
      <c r="B193" s="1" t="s">
        <v>53</v>
      </c>
      <c r="C193" s="1">
        <v>80690</v>
      </c>
      <c r="D193" s="1" t="s">
        <v>744</v>
      </c>
      <c r="E193" s="1" t="s">
        <v>109</v>
      </c>
      <c r="F193" s="1" t="s">
        <v>91</v>
      </c>
      <c r="G193" s="1" t="s">
        <v>745</v>
      </c>
      <c r="H193" s="4" t="s">
        <v>746</v>
      </c>
      <c r="I193" s="1">
        <v>0</v>
      </c>
      <c r="K193" s="1">
        <v>12</v>
      </c>
      <c r="M193" s="1" t="s">
        <v>66</v>
      </c>
      <c r="O193" s="1">
        <v>1395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20.45</v>
      </c>
      <c r="AA193" s="5">
        <v>0</v>
      </c>
      <c r="AB193" s="5">
        <v>0</v>
      </c>
      <c r="AC193" s="5">
        <v>0</v>
      </c>
      <c r="AD193" s="5">
        <v>1415.45</v>
      </c>
      <c r="AE193" s="5">
        <v>0</v>
      </c>
      <c r="AF193" s="5">
        <v>0</v>
      </c>
      <c r="AG193" s="5">
        <v>0</v>
      </c>
      <c r="AH193" s="5">
        <v>1415.45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 t="s">
        <v>747</v>
      </c>
    </row>
    <row r="194" spans="1:52" ht="14.85" customHeight="1">
      <c r="A194" s="1" t="s">
        <v>52</v>
      </c>
      <c r="B194" s="1" t="s">
        <v>53</v>
      </c>
      <c r="C194" s="1">
        <v>80700</v>
      </c>
      <c r="D194" s="1" t="s">
        <v>72</v>
      </c>
      <c r="E194" s="1" t="s">
        <v>748</v>
      </c>
      <c r="G194" s="1" t="s">
        <v>701</v>
      </c>
      <c r="H194" s="4" t="s">
        <v>98</v>
      </c>
      <c r="I194" s="1">
        <v>0</v>
      </c>
      <c r="K194" s="1">
        <v>2</v>
      </c>
      <c r="M194" s="1" t="s">
        <v>57</v>
      </c>
      <c r="O194" s="1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47.6</v>
      </c>
      <c r="AA194" s="5">
        <v>0</v>
      </c>
      <c r="AB194" s="5">
        <v>0</v>
      </c>
      <c r="AC194" s="5">
        <v>0</v>
      </c>
      <c r="AD194" s="5">
        <v>47.6</v>
      </c>
      <c r="AE194" s="5">
        <v>0</v>
      </c>
      <c r="AF194" s="5">
        <v>0</v>
      </c>
      <c r="AG194" s="5">
        <v>0</v>
      </c>
      <c r="AH194" s="5">
        <v>47.6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 t="s">
        <v>749</v>
      </c>
    </row>
    <row r="195" spans="1:52" ht="14.85" customHeight="1">
      <c r="A195" s="1" t="s">
        <v>52</v>
      </c>
      <c r="B195" s="1" t="s">
        <v>53</v>
      </c>
      <c r="C195" s="1">
        <v>80710</v>
      </c>
      <c r="D195" s="1" t="s">
        <v>750</v>
      </c>
      <c r="E195" s="1" t="s">
        <v>751</v>
      </c>
      <c r="G195" s="1" t="s">
        <v>690</v>
      </c>
      <c r="H195" s="4"/>
      <c r="I195" s="1">
        <v>0</v>
      </c>
      <c r="K195" s="1">
        <v>13</v>
      </c>
      <c r="M195" s="1" t="s">
        <v>66</v>
      </c>
      <c r="O195" s="1">
        <v>1455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21.23</v>
      </c>
      <c r="AA195" s="5">
        <v>0</v>
      </c>
      <c r="AB195" s="5">
        <v>0</v>
      </c>
      <c r="AC195" s="5">
        <v>0</v>
      </c>
      <c r="AD195" s="5">
        <v>1476.23</v>
      </c>
      <c r="AE195" s="5">
        <v>0</v>
      </c>
      <c r="AF195" s="5">
        <v>0</v>
      </c>
      <c r="AG195" s="5">
        <v>0</v>
      </c>
      <c r="AH195" s="5">
        <v>1476.23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 t="s">
        <v>752</v>
      </c>
    </row>
    <row r="196" spans="1:52" ht="14.85" customHeight="1">
      <c r="A196" s="1" t="s">
        <v>52</v>
      </c>
      <c r="B196" s="1" t="s">
        <v>53</v>
      </c>
      <c r="C196" s="1">
        <v>80720</v>
      </c>
      <c r="D196" s="1" t="s">
        <v>753</v>
      </c>
      <c r="E196" s="1" t="s">
        <v>180</v>
      </c>
      <c r="G196" s="1" t="s">
        <v>754</v>
      </c>
      <c r="H196" s="4"/>
      <c r="I196" s="1">
        <v>0</v>
      </c>
      <c r="K196" s="1">
        <v>6</v>
      </c>
      <c r="M196" s="1" t="s">
        <v>57</v>
      </c>
      <c r="O196" s="1">
        <v>2000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45.03</v>
      </c>
      <c r="AA196" s="5">
        <v>0</v>
      </c>
      <c r="AB196" s="5">
        <v>0</v>
      </c>
      <c r="AC196" s="5">
        <v>0</v>
      </c>
      <c r="AD196" s="5">
        <v>2045.03</v>
      </c>
      <c r="AE196" s="5">
        <v>0</v>
      </c>
      <c r="AF196" s="5">
        <v>0</v>
      </c>
      <c r="AG196" s="5">
        <v>0</v>
      </c>
      <c r="AH196" s="5">
        <v>2045.03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 t="s">
        <v>755</v>
      </c>
    </row>
    <row r="197" spans="1:52" ht="14.85" customHeight="1">
      <c r="A197" s="1" t="s">
        <v>52</v>
      </c>
      <c r="B197" s="1" t="s">
        <v>53</v>
      </c>
      <c r="C197" s="1">
        <v>80730</v>
      </c>
      <c r="D197" s="1" t="s">
        <v>756</v>
      </c>
      <c r="E197" s="1" t="s">
        <v>757</v>
      </c>
      <c r="G197" s="1" t="s">
        <v>758</v>
      </c>
      <c r="H197" s="4"/>
      <c r="I197" s="1">
        <v>0</v>
      </c>
      <c r="K197" s="1">
        <v>6</v>
      </c>
      <c r="M197" s="1" t="s">
        <v>57</v>
      </c>
      <c r="O197" s="1">
        <v>1020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36.659999999999997</v>
      </c>
      <c r="AA197" s="5">
        <v>0</v>
      </c>
      <c r="AB197" s="5">
        <v>0</v>
      </c>
      <c r="AC197" s="5">
        <v>0</v>
      </c>
      <c r="AD197" s="5">
        <v>1056.6600000000001</v>
      </c>
      <c r="AE197" s="5">
        <v>0</v>
      </c>
      <c r="AF197" s="5">
        <v>0</v>
      </c>
      <c r="AG197" s="5">
        <v>0</v>
      </c>
      <c r="AH197" s="5">
        <v>1056.6600000000001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 t="s">
        <v>759</v>
      </c>
    </row>
    <row r="198" spans="1:52" ht="14.85" customHeight="1">
      <c r="A198" s="1" t="s">
        <v>52</v>
      </c>
      <c r="B198" s="1" t="s">
        <v>53</v>
      </c>
      <c r="C198" s="1">
        <v>80740</v>
      </c>
      <c r="D198" s="1" t="s">
        <v>760</v>
      </c>
      <c r="E198" s="1" t="s">
        <v>761</v>
      </c>
      <c r="G198" s="1" t="s">
        <v>758</v>
      </c>
      <c r="H198" s="4"/>
      <c r="I198" s="1">
        <v>0</v>
      </c>
      <c r="K198" s="1">
        <v>6</v>
      </c>
      <c r="M198" s="1" t="s">
        <v>57</v>
      </c>
      <c r="O198" s="1">
        <v>1020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36.659999999999997</v>
      </c>
      <c r="AA198" s="5">
        <v>0</v>
      </c>
      <c r="AB198" s="5">
        <v>0</v>
      </c>
      <c r="AC198" s="5">
        <v>0</v>
      </c>
      <c r="AD198" s="5">
        <v>1056.6600000000001</v>
      </c>
      <c r="AE198" s="5">
        <v>0</v>
      </c>
      <c r="AF198" s="5">
        <v>0</v>
      </c>
      <c r="AG198" s="5">
        <v>0</v>
      </c>
      <c r="AH198" s="5">
        <v>1056.6600000000001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 t="s">
        <v>762</v>
      </c>
    </row>
    <row r="199" spans="1:52" ht="14.85" customHeight="1">
      <c r="A199" s="1" t="s">
        <v>52</v>
      </c>
      <c r="B199" s="1" t="s">
        <v>53</v>
      </c>
      <c r="C199" s="1">
        <v>80750</v>
      </c>
      <c r="D199" s="1" t="s">
        <v>763</v>
      </c>
      <c r="E199" s="1" t="s">
        <v>764</v>
      </c>
      <c r="G199" s="1" t="s">
        <v>754</v>
      </c>
      <c r="H199" s="4"/>
      <c r="I199" s="1">
        <v>0</v>
      </c>
      <c r="K199" s="1">
        <v>6</v>
      </c>
      <c r="M199" s="1" t="s">
        <v>57</v>
      </c>
      <c r="O199" s="1">
        <v>1575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45.03</v>
      </c>
      <c r="AA199" s="5">
        <v>0</v>
      </c>
      <c r="AB199" s="5">
        <v>0</v>
      </c>
      <c r="AC199" s="5">
        <v>0</v>
      </c>
      <c r="AD199" s="5">
        <v>1620.03</v>
      </c>
      <c r="AE199" s="5">
        <v>0</v>
      </c>
      <c r="AF199" s="5">
        <v>0</v>
      </c>
      <c r="AG199" s="5">
        <v>0</v>
      </c>
      <c r="AH199" s="5">
        <v>1620.03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 t="s">
        <v>765</v>
      </c>
    </row>
    <row r="200" spans="1:52" ht="14.85" customHeight="1">
      <c r="A200" s="1" t="s">
        <v>52</v>
      </c>
      <c r="B200" s="1" t="s">
        <v>53</v>
      </c>
      <c r="C200" s="1">
        <v>80760</v>
      </c>
      <c r="D200" s="1" t="s">
        <v>766</v>
      </c>
      <c r="E200" s="1" t="s">
        <v>767</v>
      </c>
      <c r="G200" s="1" t="s">
        <v>768</v>
      </c>
      <c r="H200" s="4"/>
      <c r="I200" s="1">
        <v>0</v>
      </c>
      <c r="K200" s="1">
        <v>6</v>
      </c>
      <c r="M200" s="1" t="s">
        <v>57</v>
      </c>
      <c r="O200" s="1">
        <v>1260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45.66</v>
      </c>
      <c r="AA200" s="5">
        <v>0</v>
      </c>
      <c r="AB200" s="5">
        <v>0</v>
      </c>
      <c r="AC200" s="5">
        <v>0</v>
      </c>
      <c r="AD200" s="5">
        <v>1305.6600000000001</v>
      </c>
      <c r="AE200" s="5">
        <v>0</v>
      </c>
      <c r="AF200" s="5">
        <v>0</v>
      </c>
      <c r="AG200" s="5">
        <v>0</v>
      </c>
      <c r="AH200" s="5">
        <v>1305.6600000000001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 t="s">
        <v>769</v>
      </c>
    </row>
    <row r="201" spans="1:52" ht="14.85" customHeight="1">
      <c r="A201" s="1" t="s">
        <v>52</v>
      </c>
      <c r="B201" s="1" t="s">
        <v>53</v>
      </c>
      <c r="C201" s="1">
        <v>80770</v>
      </c>
      <c r="D201" s="1" t="s">
        <v>770</v>
      </c>
      <c r="E201" s="1" t="s">
        <v>259</v>
      </c>
      <c r="G201" s="1" t="s">
        <v>771</v>
      </c>
      <c r="H201" s="4"/>
      <c r="I201" s="1">
        <v>0</v>
      </c>
      <c r="K201" s="1">
        <v>6</v>
      </c>
      <c r="M201" s="1" t="s">
        <v>57</v>
      </c>
      <c r="O201" s="1">
        <v>1215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44.38</v>
      </c>
      <c r="AA201" s="5">
        <v>0</v>
      </c>
      <c r="AB201" s="5">
        <v>0</v>
      </c>
      <c r="AC201" s="5">
        <v>0</v>
      </c>
      <c r="AD201" s="5">
        <v>1259.3800000000001</v>
      </c>
      <c r="AE201" s="5">
        <v>0</v>
      </c>
      <c r="AF201" s="5">
        <v>0</v>
      </c>
      <c r="AG201" s="5">
        <v>0</v>
      </c>
      <c r="AH201" s="5">
        <v>1259.3800000000001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 t="s">
        <v>772</v>
      </c>
    </row>
    <row r="202" spans="1:52" ht="14.85" customHeight="1">
      <c r="A202" s="1" t="s">
        <v>52</v>
      </c>
      <c r="B202" s="1" t="s">
        <v>53</v>
      </c>
      <c r="C202" s="1">
        <v>80780</v>
      </c>
      <c r="D202" s="1" t="s">
        <v>773</v>
      </c>
      <c r="E202" s="1" t="s">
        <v>774</v>
      </c>
      <c r="G202" s="1" t="s">
        <v>775</v>
      </c>
      <c r="H202" s="4"/>
      <c r="I202" s="1">
        <v>0</v>
      </c>
      <c r="K202" s="1">
        <v>6</v>
      </c>
      <c r="M202" s="1" t="s">
        <v>57</v>
      </c>
      <c r="O202" s="1">
        <v>735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27.66</v>
      </c>
      <c r="AA202" s="5">
        <v>0</v>
      </c>
      <c r="AB202" s="5">
        <v>0</v>
      </c>
      <c r="AC202" s="5">
        <v>0</v>
      </c>
      <c r="AD202" s="5">
        <v>762.66</v>
      </c>
      <c r="AE202" s="5">
        <v>0</v>
      </c>
      <c r="AF202" s="5">
        <v>0</v>
      </c>
      <c r="AG202" s="5">
        <v>0</v>
      </c>
      <c r="AH202" s="5">
        <v>762.66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 t="s">
        <v>776</v>
      </c>
    </row>
    <row r="203" spans="1:52" ht="14.85" customHeight="1">
      <c r="A203" s="1" t="s">
        <v>52</v>
      </c>
      <c r="B203" s="1" t="s">
        <v>53</v>
      </c>
      <c r="C203" s="1">
        <v>80790</v>
      </c>
      <c r="D203" s="1" t="s">
        <v>777</v>
      </c>
      <c r="E203" s="1" t="s">
        <v>778</v>
      </c>
      <c r="G203" s="1" t="s">
        <v>779</v>
      </c>
      <c r="H203" s="4"/>
      <c r="I203" s="1">
        <v>0</v>
      </c>
      <c r="K203" s="1">
        <v>6</v>
      </c>
      <c r="M203" s="1" t="s">
        <v>57</v>
      </c>
      <c r="O203" s="1">
        <v>450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16.079999999999998</v>
      </c>
      <c r="AA203" s="5">
        <v>0</v>
      </c>
      <c r="AB203" s="5">
        <v>0</v>
      </c>
      <c r="AC203" s="5">
        <v>0</v>
      </c>
      <c r="AD203" s="5">
        <v>466.08</v>
      </c>
      <c r="AE203" s="5">
        <v>0</v>
      </c>
      <c r="AF203" s="5">
        <v>0</v>
      </c>
      <c r="AG203" s="5">
        <v>0</v>
      </c>
      <c r="AH203" s="5">
        <v>466.08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 t="s">
        <v>780</v>
      </c>
    </row>
    <row r="204" spans="1:52" ht="14.85" customHeight="1">
      <c r="A204" s="1" t="s">
        <v>52</v>
      </c>
      <c r="B204" s="1" t="s">
        <v>53</v>
      </c>
      <c r="C204" s="1">
        <v>80800</v>
      </c>
      <c r="D204" s="1" t="s">
        <v>781</v>
      </c>
      <c r="E204" s="1" t="s">
        <v>782</v>
      </c>
      <c r="G204" s="1" t="s">
        <v>779</v>
      </c>
      <c r="H204" s="4"/>
      <c r="I204" s="1">
        <v>0</v>
      </c>
      <c r="K204" s="1">
        <v>6</v>
      </c>
      <c r="M204" s="1" t="s">
        <v>57</v>
      </c>
      <c r="O204" s="1">
        <v>550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16.079999999999998</v>
      </c>
      <c r="AA204" s="5">
        <v>0</v>
      </c>
      <c r="AB204" s="5">
        <v>0</v>
      </c>
      <c r="AC204" s="5">
        <v>0</v>
      </c>
      <c r="AD204" s="5">
        <v>566.08000000000004</v>
      </c>
      <c r="AE204" s="5">
        <v>0</v>
      </c>
      <c r="AF204" s="5">
        <v>0</v>
      </c>
      <c r="AG204" s="5">
        <v>0</v>
      </c>
      <c r="AH204" s="5">
        <v>566.08000000000004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 t="s">
        <v>783</v>
      </c>
    </row>
    <row r="205" spans="1:52" ht="14.85" customHeight="1">
      <c r="A205" s="1" t="s">
        <v>52</v>
      </c>
      <c r="B205" s="1" t="s">
        <v>53</v>
      </c>
      <c r="C205" s="1">
        <v>100000</v>
      </c>
      <c r="D205" s="1" t="s">
        <v>72</v>
      </c>
      <c r="E205" s="1" t="s">
        <v>73</v>
      </c>
      <c r="G205" s="1" t="s">
        <v>784</v>
      </c>
      <c r="H205" s="4"/>
      <c r="I205" s="1">
        <v>0</v>
      </c>
      <c r="K205" s="1">
        <v>12</v>
      </c>
      <c r="M205" s="1" t="s">
        <v>785</v>
      </c>
      <c r="O205" s="1">
        <v>7500</v>
      </c>
      <c r="P205" s="5">
        <v>1200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8700</v>
      </c>
      <c r="AE205" s="5">
        <v>0</v>
      </c>
      <c r="AF205" s="5">
        <v>0</v>
      </c>
      <c r="AG205" s="5">
        <v>0</v>
      </c>
      <c r="AH205" s="5">
        <v>8700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 t="s">
        <v>76</v>
      </c>
    </row>
  </sheetData>
  <autoFilter ref="A1:AZ205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4D85-B830-4645-B612-78E4C6600BA4}">
  <dimension ref="A2:B19"/>
  <sheetViews>
    <sheetView tabSelected="1" workbookViewId="0">
      <selection activeCell="B17" sqref="B17"/>
    </sheetView>
  </sheetViews>
  <sheetFormatPr defaultRowHeight="13.15"/>
  <cols>
    <col min="1" max="1" width="18.7109375" bestFit="1" customWidth="1"/>
    <col min="2" max="2" width="26.42578125" bestFit="1" customWidth="1"/>
  </cols>
  <sheetData>
    <row r="2" spans="1:2">
      <c r="A2" s="6" t="s">
        <v>10</v>
      </c>
      <c r="B2" s="7" t="s">
        <v>786</v>
      </c>
    </row>
    <row r="3" spans="1:2">
      <c r="A3">
        <v>1</v>
      </c>
      <c r="B3" s="7">
        <v>702646.10000000021</v>
      </c>
    </row>
    <row r="4" spans="1:2">
      <c r="A4">
        <v>2</v>
      </c>
      <c r="B4" s="7">
        <v>244245.87000000002</v>
      </c>
    </row>
    <row r="5" spans="1:2">
      <c r="A5">
        <v>5</v>
      </c>
      <c r="B5" s="7">
        <v>27585.179999999997</v>
      </c>
    </row>
    <row r="6" spans="1:2">
      <c r="A6">
        <v>6</v>
      </c>
      <c r="B6" s="7">
        <v>146945.66000000003</v>
      </c>
    </row>
    <row r="7" spans="1:2">
      <c r="A7">
        <v>7</v>
      </c>
      <c r="B7" s="7">
        <v>86749.3</v>
      </c>
    </row>
    <row r="8" spans="1:2">
      <c r="A8">
        <v>8</v>
      </c>
      <c r="B8" s="7">
        <v>82218.37000000001</v>
      </c>
    </row>
    <row r="9" spans="1:2">
      <c r="A9">
        <v>9</v>
      </c>
      <c r="B9" s="7">
        <v>109098.26000000002</v>
      </c>
    </row>
    <row r="10" spans="1:2">
      <c r="A10">
        <v>10</v>
      </c>
      <c r="B10" s="7">
        <v>26597.79</v>
      </c>
    </row>
    <row r="11" spans="1:2">
      <c r="A11">
        <v>11</v>
      </c>
      <c r="B11" s="7">
        <v>65796.440000000017</v>
      </c>
    </row>
    <row r="12" spans="1:2">
      <c r="A12">
        <v>12</v>
      </c>
      <c r="B12" s="7">
        <v>63586.53</v>
      </c>
    </row>
    <row r="13" spans="1:2">
      <c r="A13">
        <v>13</v>
      </c>
      <c r="B13" s="7">
        <v>179022.55000000002</v>
      </c>
    </row>
    <row r="14" spans="1:2">
      <c r="A14">
        <v>14</v>
      </c>
      <c r="B14" s="7">
        <v>252673.91999999998</v>
      </c>
    </row>
    <row r="15" spans="1:2">
      <c r="A15">
        <v>17</v>
      </c>
      <c r="B15" s="7">
        <v>41867.33</v>
      </c>
    </row>
    <row r="16" spans="1:2">
      <c r="A16" t="s">
        <v>787</v>
      </c>
      <c r="B16" s="7">
        <v>16329.3</v>
      </c>
    </row>
    <row r="17" spans="1:2">
      <c r="A17" t="s">
        <v>788</v>
      </c>
      <c r="B17" s="7">
        <v>2045362.6000000006</v>
      </c>
    </row>
    <row r="18" spans="1:2" ht="12.75">
      <c r="B18" s="8">
        <v>2151158.9770000004</v>
      </c>
    </row>
    <row r="19" spans="1:2">
      <c r="B19" s="7">
        <f>+B17-B18</f>
        <v>-105796.37699999986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1410BC82C0F6419A70804B64EB8458" ma:contentTypeVersion="10" ma:contentTypeDescription="Creare un nuovo documento." ma:contentTypeScope="" ma:versionID="dde8711be36e96850d5ffe6f2747d219">
  <xsd:schema xmlns:xsd="http://www.w3.org/2001/XMLSchema" xmlns:xs="http://www.w3.org/2001/XMLSchema" xmlns:p="http://schemas.microsoft.com/office/2006/metadata/properties" xmlns:ns2="8ece1749-21ed-430f-abcd-b12fb8673a96" xmlns:ns3="96ca274f-de30-4bc8-8ef6-6249e65cde7c" targetNamespace="http://schemas.microsoft.com/office/2006/metadata/properties" ma:root="true" ma:fieldsID="5ef935412751a5f9a550975e18e2d12e" ns2:_="" ns3:_="">
    <xsd:import namespace="8ece1749-21ed-430f-abcd-b12fb8673a96"/>
    <xsd:import namespace="96ca274f-de30-4bc8-8ef6-6249e65cde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e1749-21ed-430f-abcd-b12fb8673a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ae608134-5df1-4be4-bf76-fad8efa0f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a274f-de30-4bc8-8ef6-6249e65cde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775554-2d74-4c33-b0da-7619bbcbe4a2}" ma:internalName="TaxCatchAll" ma:showField="CatchAllData" ma:web="96ca274f-de30-4bc8-8ef6-6249e65cd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e1749-21ed-430f-abcd-b12fb8673a96">
      <Terms xmlns="http://schemas.microsoft.com/office/infopath/2007/PartnerControls"/>
    </lcf76f155ced4ddcb4097134ff3c332f>
    <TaxCatchAll xmlns="96ca274f-de30-4bc8-8ef6-6249e65cde7c" xsi:nil="true"/>
  </documentManagement>
</p:properties>
</file>

<file path=customXml/itemProps1.xml><?xml version="1.0" encoding="utf-8"?>
<ds:datastoreItem xmlns:ds="http://schemas.openxmlformats.org/officeDocument/2006/customXml" ds:itemID="{A22BA6FD-666B-4E38-A76D-15E230A93825}"/>
</file>

<file path=customXml/itemProps2.xml><?xml version="1.0" encoding="utf-8"?>
<ds:datastoreItem xmlns:ds="http://schemas.openxmlformats.org/officeDocument/2006/customXml" ds:itemID="{7A42CCF5-D705-4E80-9AA2-764D82C0BE70}"/>
</file>

<file path=customXml/itemProps3.xml><?xml version="1.0" encoding="utf-8"?>
<ds:datastoreItem xmlns:ds="http://schemas.openxmlformats.org/officeDocument/2006/customXml" ds:itemID="{EA4397C2-CA6B-475C-A8D0-42B663A993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Romina Masiero</cp:lastModifiedBy>
  <cp:revision/>
  <dcterms:created xsi:type="dcterms:W3CDTF">2025-07-11T14:44:01Z</dcterms:created>
  <dcterms:modified xsi:type="dcterms:W3CDTF">2025-09-08T09:38:31Z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0x0101008C1410BC82C0F6419A70804B64EB8458</vt:lpwstr>
  </property>
  <property fmtid="{D5CDD505-2E9C-101B-9397-08002B2CF9AE}" pid="3" name="MediaServiceImageTags">
    <vt:lpwstr/>
  </property>
</Properties>
</file>